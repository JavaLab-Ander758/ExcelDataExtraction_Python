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ThinkPad\OneDrive - UiT Office 365\UiT Narvik\Systemutvikling ITE1807\Prosjekt felles mappe\Timelister\"/>
    </mc:Choice>
  </mc:AlternateContent>
  <xr:revisionPtr revIDLastSave="218" documentId="13_ncr:1_{4F9BB47C-5F11-4498-A211-2F5D0FB62CFE}" xr6:coauthVersionLast="44" xr6:coauthVersionMax="45" xr10:uidLastSave="{2D067ACA-4F71-4A0C-98EB-743EF955F7EB}"/>
  <bookViews>
    <workbookView minimized="1" xWindow="31560" yWindow="5895" windowWidth="9270" windowHeight="10005" firstSheet="7" activeTab="19" xr2:uid="{00000000-000D-0000-FFFF-FFFF00000000}"/>
  </bookViews>
  <sheets>
    <sheet name="Først" sheetId="11" state="hidden" r:id="rId1"/>
    <sheet name="Uke3" sheetId="36" r:id="rId2"/>
    <sheet name="Uke4" sheetId="40" r:id="rId3"/>
    <sheet name="Uke5" sheetId="41" r:id="rId4"/>
    <sheet name="Uke6" sheetId="42" r:id="rId5"/>
    <sheet name="Uke7" sheetId="43" r:id="rId6"/>
    <sheet name="Uke8" sheetId="45" r:id="rId7"/>
    <sheet name="Uke9" sheetId="46" r:id="rId8"/>
    <sheet name="Uke10" sheetId="47" r:id="rId9"/>
    <sheet name="Uke11" sheetId="48" r:id="rId10"/>
    <sheet name="Uke12" sheetId="49" r:id="rId11"/>
    <sheet name="Uke13" sheetId="50" r:id="rId12"/>
    <sheet name="Uke14" sheetId="51" r:id="rId13"/>
    <sheet name="Uke15" sheetId="52" r:id="rId14"/>
    <sheet name="Uke16" sheetId="53" r:id="rId15"/>
    <sheet name="Uke17" sheetId="54" r:id="rId16"/>
    <sheet name="Uke18" sheetId="55" r:id="rId17"/>
    <sheet name="Uke19" sheetId="56" r:id="rId18"/>
    <sheet name="Uke20" sheetId="58" r:id="rId19"/>
    <sheet name="Uke21" sheetId="59" r:id="rId20"/>
    <sheet name="Sist" sheetId="12" state="hidden" r:id="rId21"/>
    <sheet name="Data" sheetId="2" state="hidden" r:id="rId22"/>
  </sheets>
  <functionGroups builtInGroupCount="19"/>
  <definedNames>
    <definedName name="DateCalc" localSheetId="8">Data!$C$2:INDEX(Data!$C$2:$C$32,DAY(DATE('Uke10'!#REF!,MATCH('Uke10'!#REF!,Data!$B$2:$B$13,0)+1,0)))</definedName>
    <definedName name="DateCalc" localSheetId="9">Data!$C$2:INDEX(Data!$C$2:$C$32,DAY(DATE('Uke11'!#REF!,MATCH('Uke11'!#REF!,Data!$B$2:$B$13,0)+1,0)))</definedName>
    <definedName name="DateCalc" localSheetId="10">Data!$C$2:INDEX(Data!$C$2:$C$32,DAY(DATE('Uke12'!#REF!,MATCH('Uke12'!#REF!,Data!$B$2:$B$13,0)+1,0)))</definedName>
    <definedName name="DateCalc" localSheetId="11">Data!$C$2:INDEX(Data!$C$2:$C$32,DAY(DATE('Uke13'!#REF!,MATCH('Uke13'!#REF!,Data!$B$2:$B$13,0)+1,0)))</definedName>
    <definedName name="DateCalc" localSheetId="12">Data!$C$2:INDEX(Data!$C$2:$C$32,DAY(DATE('Uke14'!#REF!,MATCH('Uke14'!#REF!,Data!$B$2:$B$13,0)+1,0)))</definedName>
    <definedName name="DateCalc" localSheetId="13">Data!$C$2:INDEX(Data!$C$2:$C$32,DAY(DATE('Uke15'!#REF!,MATCH('Uke15'!#REF!,Data!$B$2:$B$13,0)+1,0)))</definedName>
    <definedName name="DateCalc" localSheetId="14">Data!$C$2:INDEX(Data!$C$2:$C$32,DAY(DATE('Uke16'!#REF!,MATCH('Uke16'!#REF!,Data!$B$2:$B$13,0)+1,0)))</definedName>
    <definedName name="DateCalc" localSheetId="15">Data!$C$2:INDEX(Data!$C$2:$C$32,DAY(DATE('Uke17'!#REF!,MATCH('Uke17'!#REF!,Data!$B$2:$B$13,0)+1,0)))</definedName>
    <definedName name="DateCalc" localSheetId="16">Data!$C$2:INDEX(Data!$C$2:$C$32,DAY(DATE('Uke18'!#REF!,MATCH('Uke18'!#REF!,Data!$B$2:$B$13,0)+1,0)))</definedName>
    <definedName name="DateCalc" localSheetId="17">Data!$C$2:INDEX(Data!$C$2:$C$32,DAY(DATE('Uke19'!#REF!,MATCH('Uke19'!#REF!,Data!$B$2:$B$13,0)+1,0)))</definedName>
    <definedName name="DateCalc" localSheetId="18">Data!$C$2:INDEX(Data!$C$2:$C$32,DAY(DATE('Uke20'!#REF!,MATCH('Uke20'!#REF!,Data!$B$2:$B$13,0)+1,0)))</definedName>
    <definedName name="DateCalc" localSheetId="19">Data!$C$2:INDEX(Data!$C$2:$C$32,DAY(DATE('Uke21'!#REF!,MATCH('Uke21'!#REF!,Data!$B$2:$B$13,0)+1,0)))</definedName>
    <definedName name="DateCalc" localSheetId="1">Data!$C$2:INDEX(Data!$C$2:$C$32,DAY(DATE('Uke3'!#REF!,MATCH('Uke3'!#REF!,Data!$B$2:$B$13,0)+1,0)))</definedName>
    <definedName name="DateCalc" localSheetId="2">Data!$C$2:INDEX(Data!$C$2:$C$32,DAY(DATE('Uke4'!#REF!,MATCH('Uke4'!#REF!,Data!$B$2:$B$13,0)+1,0)))</definedName>
    <definedName name="DateCalc" localSheetId="3">Data!$C$2:INDEX(Data!$C$2:$C$32,DAY(DATE('Uke5'!#REF!,MATCH('Uke5'!#REF!,Data!$B$2:$B$13,0)+1,0)))</definedName>
    <definedName name="DateCalc" localSheetId="4">Data!$C$2:INDEX(Data!$C$2:$C$32,DAY(DATE('Uke6'!#REF!,MATCH('Uke6'!#REF!,Data!$B$2:$B$13,0)+1,0)))</definedName>
    <definedName name="DateCalc" localSheetId="5">Data!$C$2:INDEX(Data!$C$2:$C$32,DAY(DATE('Uke7'!#REF!,MATCH('Uke7'!#REF!,Data!$B$2:$B$13,0)+1,0)))</definedName>
    <definedName name="DateCalc" localSheetId="6">Data!$C$2:INDEX(Data!$C$2:$C$32,DAY(DATE('Uke8'!#REF!,MATCH('Uke8'!#REF!,Data!$B$2:$B$13,0)+1,0)))</definedName>
    <definedName name="DateCalc" localSheetId="7">Data!$C$2:INDEX(Data!$C$2:$C$32,DAY(DATE('Uke9'!#REF!,MATCH('Uke9'!#REF!,Data!$B$2:$B$13,0)+1,0)))</definedName>
    <definedName name="DateCalc">Data!$C$2:INDEX(Data!$C$2:$C$32,DAY(DATE(#REF!,MATCH(#REF!,Data!$B$2:$B$13,0)+1,0)))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58" l="1"/>
  <c r="D40" i="59"/>
  <c r="D38" i="59"/>
  <c r="D36" i="59"/>
  <c r="D34" i="59"/>
  <c r="D32" i="59"/>
  <c r="D30" i="59"/>
  <c r="D28" i="59"/>
  <c r="D26" i="59"/>
  <c r="D24" i="59"/>
  <c r="D22" i="59"/>
  <c r="D20" i="59"/>
  <c r="D18" i="59"/>
  <c r="D16" i="59"/>
  <c r="D14" i="59"/>
  <c r="D12" i="59"/>
  <c r="D10" i="59"/>
  <c r="C3" i="59"/>
  <c r="A3" i="59"/>
  <c r="E1" i="59"/>
  <c r="F4" i="54"/>
  <c r="F3" i="54"/>
  <c r="F6" i="59"/>
  <c r="F5" i="59"/>
  <c r="F3" i="59"/>
  <c r="F4" i="59"/>
  <c r="A6" i="59" l="1"/>
  <c r="D12" i="58"/>
  <c r="D10" i="58"/>
  <c r="A6" i="58" s="1"/>
  <c r="A3" i="58"/>
  <c r="E1" i="58"/>
  <c r="F5" i="58"/>
  <c r="F3" i="58"/>
  <c r="F4" i="58"/>
  <c r="F5" i="56"/>
  <c r="F6" i="58"/>
  <c r="C3" i="55" l="1"/>
  <c r="D24" i="56" l="1"/>
  <c r="D22" i="56"/>
  <c r="D20" i="56"/>
  <c r="D18" i="56"/>
  <c r="D16" i="56"/>
  <c r="D14" i="56"/>
  <c r="D12" i="56"/>
  <c r="D10" i="56"/>
  <c r="C3" i="56"/>
  <c r="A3" i="56"/>
  <c r="E1" i="56"/>
  <c r="F6" i="55"/>
  <c r="F4" i="56"/>
  <c r="F3" i="56"/>
  <c r="F6" i="56"/>
  <c r="A6" i="56" l="1"/>
  <c r="D20" i="55"/>
  <c r="D18" i="55"/>
  <c r="D16" i="55"/>
  <c r="D14" i="55"/>
  <c r="D12" i="55"/>
  <c r="D10" i="55"/>
  <c r="A3" i="55"/>
  <c r="E1" i="55"/>
  <c r="F3" i="55"/>
  <c r="F5" i="55"/>
  <c r="F4" i="55"/>
  <c r="A6" i="55" l="1"/>
  <c r="D28" i="54"/>
  <c r="D26" i="54"/>
  <c r="D24" i="54"/>
  <c r="D22" i="54"/>
  <c r="D20" i="54"/>
  <c r="D18" i="54"/>
  <c r="D16" i="54"/>
  <c r="D14" i="54"/>
  <c r="D12" i="54"/>
  <c r="D10" i="54"/>
  <c r="C3" i="54"/>
  <c r="A3" i="54"/>
  <c r="E1" i="54"/>
  <c r="F6" i="54"/>
  <c r="F5" i="54"/>
  <c r="A6" i="54" l="1"/>
  <c r="C3" i="52"/>
  <c r="K24" i="52"/>
  <c r="K25" i="52" s="1"/>
  <c r="C3" i="51" l="1"/>
  <c r="J60" i="51"/>
  <c r="K60" i="51" s="1"/>
  <c r="F6" i="51"/>
  <c r="F5" i="51"/>
  <c r="F3" i="51"/>
  <c r="F4" i="51"/>
  <c r="D16" i="53" l="1"/>
  <c r="D14" i="53"/>
  <c r="D12" i="53"/>
  <c r="D10" i="53"/>
  <c r="C3" i="53"/>
  <c r="A3" i="53"/>
  <c r="E1" i="53"/>
  <c r="F6" i="53"/>
  <c r="F5" i="53"/>
  <c r="F4" i="53"/>
  <c r="F3" i="53"/>
  <c r="A6" i="53" l="1"/>
  <c r="D16" i="52"/>
  <c r="D14" i="52"/>
  <c r="D12" i="52"/>
  <c r="D10" i="52"/>
  <c r="A3" i="52"/>
  <c r="E1" i="52"/>
  <c r="F4" i="52"/>
  <c r="F4" i="49"/>
  <c r="F6" i="52"/>
  <c r="F3" i="52"/>
  <c r="F5" i="52"/>
  <c r="F3" i="49"/>
  <c r="A6" i="52" l="1"/>
  <c r="C3" i="50"/>
  <c r="D30" i="51"/>
  <c r="D28" i="51"/>
  <c r="D26" i="51"/>
  <c r="D24" i="51"/>
  <c r="D22" i="51"/>
  <c r="D20" i="51"/>
  <c r="D18" i="51"/>
  <c r="D16" i="51"/>
  <c r="D14" i="51"/>
  <c r="D12" i="51"/>
  <c r="D10" i="51"/>
  <c r="A3" i="51"/>
  <c r="E1" i="51"/>
  <c r="F6" i="50"/>
  <c r="A6" i="51" l="1"/>
  <c r="C3" i="49"/>
  <c r="D18" i="50" l="1"/>
  <c r="D16" i="50"/>
  <c r="D14" i="50"/>
  <c r="D12" i="50"/>
  <c r="D10" i="50"/>
  <c r="A3" i="50"/>
  <c r="E1" i="50"/>
  <c r="D22" i="49"/>
  <c r="D20" i="49"/>
  <c r="D18" i="49"/>
  <c r="D16" i="49"/>
  <c r="D14" i="49"/>
  <c r="D12" i="49"/>
  <c r="D10" i="49"/>
  <c r="A3" i="49"/>
  <c r="E1" i="49"/>
  <c r="F3" i="50"/>
  <c r="F5" i="49"/>
  <c r="F4" i="50"/>
  <c r="F5" i="50"/>
  <c r="F6" i="49"/>
  <c r="A6" i="50" l="1"/>
  <c r="A6" i="49"/>
  <c r="D40" i="48"/>
  <c r="C3" i="48" l="1"/>
  <c r="D38" i="48" l="1"/>
  <c r="D36" i="48"/>
  <c r="D34" i="48"/>
  <c r="F4" i="48"/>
  <c r="F5" i="48"/>
  <c r="F3" i="48"/>
  <c r="C3" i="47" l="1"/>
  <c r="F4" i="47"/>
  <c r="F3" i="47"/>
  <c r="C3" i="46" l="1"/>
  <c r="D32" i="48"/>
  <c r="D30" i="48"/>
  <c r="D28" i="48"/>
  <c r="D26" i="48"/>
  <c r="D24" i="48"/>
  <c r="D22" i="48"/>
  <c r="D20" i="48"/>
  <c r="D18" i="48"/>
  <c r="D16" i="48"/>
  <c r="D14" i="48"/>
  <c r="D12" i="48"/>
  <c r="D10" i="48"/>
  <c r="A3" i="48"/>
  <c r="E1" i="48"/>
  <c r="F5" i="46"/>
  <c r="F6" i="48"/>
  <c r="F5" i="47"/>
  <c r="A6" i="48" l="1"/>
  <c r="D32" i="47"/>
  <c r="D30" i="47"/>
  <c r="D28" i="47"/>
  <c r="D26" i="47"/>
  <c r="D24" i="47"/>
  <c r="D22" i="47"/>
  <c r="D20" i="47"/>
  <c r="D18" i="47"/>
  <c r="D16" i="47"/>
  <c r="D14" i="47"/>
  <c r="D12" i="47"/>
  <c r="D10" i="47"/>
  <c r="A3" i="47"/>
  <c r="E1" i="47"/>
  <c r="F6" i="46"/>
  <c r="F6" i="47"/>
  <c r="A6" i="47" l="1"/>
  <c r="C3" i="45"/>
  <c r="C3" i="43" l="1"/>
  <c r="D32" i="46"/>
  <c r="D30" i="46"/>
  <c r="D28" i="46"/>
  <c r="D26" i="46"/>
  <c r="D24" i="46"/>
  <c r="D22" i="46"/>
  <c r="D20" i="46"/>
  <c r="D18" i="46"/>
  <c r="D16" i="46"/>
  <c r="D14" i="46"/>
  <c r="D12" i="46"/>
  <c r="D10" i="46"/>
  <c r="A3" i="46"/>
  <c r="E1" i="46"/>
  <c r="D26" i="45"/>
  <c r="D24" i="45"/>
  <c r="D22" i="45"/>
  <c r="D20" i="45"/>
  <c r="D18" i="45"/>
  <c r="D16" i="45"/>
  <c r="D14" i="45"/>
  <c r="D12" i="45"/>
  <c r="D10" i="45"/>
  <c r="A3" i="45"/>
  <c r="E1" i="45"/>
  <c r="F4" i="46"/>
  <c r="F5" i="45"/>
  <c r="F3" i="45"/>
  <c r="F4" i="45"/>
  <c r="F3" i="46"/>
  <c r="F6" i="45"/>
  <c r="A6" i="46" l="1"/>
  <c r="A6" i="45"/>
  <c r="D32" i="43"/>
  <c r="F5" i="43"/>
  <c r="D20" i="43" l="1"/>
  <c r="D22" i="43"/>
  <c r="D24" i="43"/>
  <c r="D26" i="43"/>
  <c r="D28" i="43"/>
  <c r="D30" i="43"/>
  <c r="F6" i="43"/>
  <c r="F3" i="43"/>
  <c r="F4" i="43"/>
  <c r="D18" i="43" l="1"/>
  <c r="D16" i="43"/>
  <c r="D14" i="43"/>
  <c r="D12" i="43"/>
  <c r="D10" i="43"/>
  <c r="A6" i="43" s="1"/>
  <c r="A3" i="43"/>
  <c r="E1" i="43"/>
  <c r="D18" i="42" l="1"/>
  <c r="D16" i="42"/>
  <c r="D14" i="42"/>
  <c r="D12" i="42"/>
  <c r="D10" i="42"/>
  <c r="C3" i="42"/>
  <c r="A3" i="42"/>
  <c r="E1" i="42"/>
  <c r="C3" i="41"/>
  <c r="D18" i="41"/>
  <c r="D16" i="41"/>
  <c r="D14" i="41"/>
  <c r="D12" i="41"/>
  <c r="D10" i="41"/>
  <c r="A3" i="41"/>
  <c r="E1" i="41"/>
  <c r="D18" i="40"/>
  <c r="D16" i="40"/>
  <c r="D14" i="40"/>
  <c r="D12" i="40"/>
  <c r="D10" i="40"/>
  <c r="C3" i="40"/>
  <c r="A3" i="40"/>
  <c r="E1" i="40"/>
  <c r="C3" i="36"/>
  <c r="F4" i="41"/>
  <c r="F6" i="36"/>
  <c r="F3" i="42"/>
  <c r="F3" i="40"/>
  <c r="F4" i="40"/>
  <c r="F6" i="42"/>
  <c r="F3" i="36"/>
  <c r="F5" i="42"/>
  <c r="F3" i="41"/>
  <c r="F4" i="42"/>
  <c r="F5" i="40"/>
  <c r="F5" i="41"/>
  <c r="F6" i="40"/>
  <c r="F6" i="41"/>
  <c r="G3" i="59" l="1"/>
  <c r="G6" i="59"/>
  <c r="G6" i="58"/>
  <c r="G3" i="58"/>
  <c r="G6" i="56"/>
  <c r="G3" i="56"/>
  <c r="G3" i="55"/>
  <c r="G6" i="55"/>
  <c r="G3" i="54"/>
  <c r="G6" i="54"/>
  <c r="G3" i="53"/>
  <c r="G6" i="53"/>
  <c r="G6" i="52"/>
  <c r="G3" i="52"/>
  <c r="G3" i="51"/>
  <c r="G6" i="51"/>
  <c r="G6" i="50"/>
  <c r="G3" i="50"/>
  <c r="G6" i="49"/>
  <c r="G3" i="49"/>
  <c r="G3" i="48"/>
  <c r="G6" i="46"/>
  <c r="G6" i="48"/>
  <c r="G6" i="47"/>
  <c r="G3" i="47"/>
  <c r="G3" i="46"/>
  <c r="G3" i="45"/>
  <c r="G6" i="45"/>
  <c r="G3" i="43"/>
  <c r="A6" i="41"/>
  <c r="A6" i="42"/>
  <c r="G6" i="36"/>
  <c r="G6" i="42"/>
  <c r="G6" i="41"/>
  <c r="G6" i="40"/>
  <c r="G6" i="43"/>
  <c r="G3" i="42"/>
  <c r="G3" i="36"/>
  <c r="G3" i="40"/>
  <c r="G3" i="41"/>
  <c r="A6" i="40"/>
  <c r="D18" i="36" l="1"/>
  <c r="D16" i="36"/>
  <c r="D14" i="36"/>
  <c r="D12" i="36"/>
  <c r="D10" i="36" l="1"/>
  <c r="A6" i="36" s="1"/>
  <c r="A3" i="36"/>
  <c r="E1" i="36"/>
  <c r="F5" i="36"/>
  <c r="F4" i="36"/>
  <c r="C6" i="55" l="1"/>
  <c r="C6" i="58"/>
  <c r="C6" i="59"/>
  <c r="C6" i="56"/>
  <c r="G4" i="59"/>
  <c r="G5" i="59"/>
  <c r="G4" i="58"/>
  <c r="G5" i="58"/>
  <c r="G4" i="56"/>
  <c r="G5" i="56"/>
  <c r="G4" i="55"/>
  <c r="G5" i="55"/>
  <c r="C6" i="54"/>
  <c r="C6" i="52"/>
  <c r="C6" i="53"/>
  <c r="C6" i="51"/>
  <c r="G4" i="54"/>
  <c r="G5" i="54"/>
  <c r="G4" i="53"/>
  <c r="G5" i="53"/>
  <c r="G4" i="52"/>
  <c r="G5" i="52"/>
  <c r="G4" i="51"/>
  <c r="G5" i="51"/>
  <c r="C6" i="50"/>
  <c r="C6" i="49"/>
  <c r="G4" i="50"/>
  <c r="G5" i="50"/>
  <c r="G4" i="49"/>
  <c r="G5" i="49"/>
  <c r="C6" i="47"/>
  <c r="C6" i="48"/>
  <c r="G4" i="48"/>
  <c r="G5" i="48"/>
  <c r="G4" i="47"/>
  <c r="G5" i="47"/>
  <c r="C6" i="45"/>
  <c r="C6" i="46"/>
  <c r="G4" i="46"/>
  <c r="G5" i="46"/>
  <c r="G4" i="45"/>
  <c r="G5" i="45"/>
  <c r="C6" i="43"/>
  <c r="G4" i="36"/>
  <c r="G4" i="42"/>
  <c r="G4" i="43"/>
  <c r="G4" i="40"/>
  <c r="G4" i="41"/>
  <c r="G5" i="42"/>
  <c r="G5" i="43"/>
  <c r="G5" i="40"/>
  <c r="G5" i="41"/>
  <c r="G5" i="36"/>
  <c r="C6" i="40"/>
  <c r="C6" i="36"/>
  <c r="C6" i="42"/>
  <c r="C6" i="41"/>
</calcChain>
</file>

<file path=xl/sharedStrings.xml><?xml version="1.0" encoding="utf-8"?>
<sst xmlns="http://schemas.openxmlformats.org/spreadsheetml/2006/main" count="568" uniqueCount="169">
  <si>
    <t>Timeliste   -   Martin Mikalsen  -   Uke</t>
  </si>
  <si>
    <t>Fra dato</t>
  </si>
  <si>
    <t>Til dato</t>
  </si>
  <si>
    <t>Kategorier</t>
  </si>
  <si>
    <t>Timer denne uken</t>
  </si>
  <si>
    <t>Timer brukt totalt</t>
  </si>
  <si>
    <t>Teori</t>
  </si>
  <si>
    <t>Totalt tid brukt denne 
uken:</t>
  </si>
  <si>
    <t>Totalt antall tid brukt på 
prosjektet:</t>
  </si>
  <si>
    <t>Utvikling</t>
  </si>
  <si>
    <t>Administrativt</t>
  </si>
  <si>
    <t>Logg/Oppgaver</t>
  </si>
  <si>
    <t>Dato</t>
  </si>
  <si>
    <t>Start</t>
  </si>
  <si>
    <t>Stopp</t>
  </si>
  <si>
    <t>Timer</t>
  </si>
  <si>
    <t>Kategori/notat</t>
  </si>
  <si>
    <t>Backlog item#</t>
  </si>
  <si>
    <r>
      <rPr>
        <b/>
        <sz val="12"/>
        <color theme="1"/>
        <rFont val="Calibri"/>
        <family val="2"/>
        <scheme val="minor"/>
      </rPr>
      <t>Teori</t>
    </r>
    <r>
      <rPr>
        <sz val="12"/>
        <color theme="1"/>
        <rFont val="Calibri"/>
        <family val="2"/>
        <scheme val="minor"/>
      </rPr>
      <t>: Forelesning</t>
    </r>
  </si>
  <si>
    <r>
      <t>Teori</t>
    </r>
    <r>
      <rPr>
        <sz val="12"/>
        <color theme="1"/>
        <rFont val="Calibri"/>
        <family val="2"/>
        <scheme val="minor"/>
      </rPr>
      <t>: Forelesning</t>
    </r>
  </si>
  <si>
    <r>
      <rPr>
        <b/>
        <sz val="12"/>
        <color theme="1"/>
        <rFont val="Calibri"/>
        <family val="2"/>
        <scheme val="minor"/>
      </rPr>
      <t xml:space="preserve">Logg/Oppgaver: </t>
    </r>
    <r>
      <rPr>
        <sz val="12"/>
        <color theme="1"/>
        <rFont val="Calibri"/>
        <family val="2"/>
        <scheme val="minor"/>
      </rPr>
      <t>Finpussing av logg</t>
    </r>
  </si>
  <si>
    <t>Oppsummering</t>
  </si>
  <si>
    <t>Denne uken hadde vi forelesninger, samt så jobbet jeg med timeplan.</t>
  </si>
  <si>
    <t>Denne uken har bestått hovedsakelig av forelesninger, siden foreleser var borte på onsdag og torsdag så så jeg på opptak av tidligere forelesninger.
I forhold til timelisten, har jeg brukt VBA for å fått summert timer per kategori basert på fargekode i funksjonen jeg lagde.
Dette var den største utfordringen i forhold til timelisten per nå.
Har fortsatt ikke fått lagt inn "itemnumber" siden jeg ikke helt vet hva dette går ut på.
Ellers har det gått greit å få lagt inn de forskjellige funksjonene som kreves.</t>
  </si>
  <si>
    <r>
      <t>Administrativt</t>
    </r>
    <r>
      <rPr>
        <sz val="12"/>
        <color theme="1"/>
        <rFont val="Calibri"/>
        <family val="2"/>
        <scheme val="minor"/>
      </rPr>
      <t>: Scrum-meeting</t>
    </r>
  </si>
  <si>
    <r>
      <rPr>
        <b/>
        <sz val="12"/>
        <color theme="1"/>
        <rFont val="Calibri"/>
        <family val="2"/>
        <scheme val="minor"/>
      </rPr>
      <t>Logg/Oppgaver</t>
    </r>
    <r>
      <rPr>
        <sz val="12"/>
        <color theme="1"/>
        <rFont val="Calibri"/>
        <family val="2"/>
        <scheme val="minor"/>
      </rPr>
      <t>: Finpussing av logg</t>
    </r>
  </si>
  <si>
    <t>Denne uken så har vi begynt smått med forbedringinger for start av prosjektet, vi har hatt et scrum-møte der vi diskuterte blant annet hvilken timeliste vi skal bruke for gruppen. Vi diskuterte også hvordan vi skal sette opp product backlog, spring backlog og story points. Adrian på gruppen vår meldte seg da frivilig for å sette opp malene for disse.
Vi har også satt opp en felles OneDrive mappe for gruppen, der vi har nå fått satt inn en gruppe timeliste som scrum-master skal oppføre timer.
Torsdag denne uken tok jeg en prat med foreleser angående timelisten, for å få en god ide om hvordan jeg skulle få flere timer på en dag der jeg har jobbet med flere ulike kategorier, jeg synes jeg har fått en god løsning på dette nå.</t>
  </si>
  <si>
    <r>
      <t>Administrativt</t>
    </r>
    <r>
      <rPr>
        <sz val="12"/>
        <color theme="1"/>
        <rFont val="Calibri"/>
        <family val="2"/>
        <scheme val="minor"/>
      </rPr>
      <t xml:space="preserve">: Scrum-meeting (backlog, sprint zero)
</t>
    </r>
  </si>
  <si>
    <r>
      <rPr>
        <b/>
        <sz val="12"/>
        <color theme="1"/>
        <rFont val="Calibri"/>
        <family val="2"/>
        <scheme val="minor"/>
      </rPr>
      <t>Logg/Oppgaver</t>
    </r>
    <r>
      <rPr>
        <sz val="12"/>
        <color theme="1"/>
        <rFont val="Calibri"/>
        <family val="2"/>
        <scheme val="minor"/>
      </rPr>
      <t>: Arbeidet med mal til
forprosjektet</t>
    </r>
  </si>
  <si>
    <r>
      <rPr>
        <b/>
        <sz val="12"/>
        <color theme="1"/>
        <rFont val="Calibri"/>
        <family val="2"/>
        <scheme val="minor"/>
      </rPr>
      <t xml:space="preserve">Logg/Oppgaver: </t>
    </r>
    <r>
      <rPr>
        <sz val="12"/>
        <color theme="1"/>
        <rFont val="Calibri"/>
        <family val="2"/>
        <scheme val="minor"/>
      </rPr>
      <t>Arbeider videre med 
malen tilforprosjektet</t>
    </r>
  </si>
  <si>
    <t>Vi startet denne uken med å gå gjennom de tre PDF'ene som ble lagt ut (Prosjektpresentasjon Morild 2020, Prosjekt Systemutvikling v2020 v1.0 og Mal for emnebeskrivelser".
Vi diskuterte rundt disse under møtet vårt onsdag 05.02 om hvordan vi skulle gå frem videre på gruppe-basis, hvem som skulle ta ansvar for ulike elementer.
På torsdagen 06.02 startet jeg og Alexander å jobbe med mal til forprosjektet. Etter litt undersøkelse har vi fått dannet oss et bilde av hvordan dette skal se ut, og gått fram deretter.
Har gjort en del arbeid i forhold til timelisten, har fulgt malen som ble stemt fram i gruppen og la inn min egen info, både på denne uken og ukene før denne.</t>
  </si>
  <si>
    <t>Timeliste Martin Mikalsen Uke</t>
  </si>
  <si>
    <r>
      <rPr>
        <b/>
        <sz val="12"/>
        <color theme="1"/>
        <rFont val="Calibri"/>
        <family val="2"/>
        <scheme val="minor"/>
      </rPr>
      <t xml:space="preserve">Administrativt: </t>
    </r>
    <r>
      <rPr>
        <sz val="12"/>
        <color theme="1"/>
        <rFont val="Calibri"/>
        <family val="2"/>
        <scheme val="minor"/>
      </rPr>
      <t>Scrum meeting</t>
    </r>
  </si>
  <si>
    <r>
      <t xml:space="preserve">Logg/Oppgaver: </t>
    </r>
    <r>
      <rPr>
        <sz val="12"/>
        <color theme="1"/>
        <rFont val="Calibri"/>
        <family val="2"/>
        <scheme val="minor"/>
      </rPr>
      <t>Jobber videre med forprosjekt</t>
    </r>
  </si>
  <si>
    <r>
      <t>Logg/Oppgaver</t>
    </r>
    <r>
      <rPr>
        <sz val="12"/>
        <color theme="1"/>
        <rFont val="Calibri"/>
        <family val="2"/>
        <scheme val="minor"/>
      </rPr>
      <t>: Jobber videre med forprosjekt</t>
    </r>
  </si>
  <si>
    <r>
      <rPr>
        <b/>
        <sz val="12"/>
        <color theme="1"/>
        <rFont val="Calibri"/>
        <family val="2"/>
        <scheme val="minor"/>
      </rPr>
      <t>Logg/Oppgaver</t>
    </r>
    <r>
      <rPr>
        <sz val="12"/>
        <color theme="1"/>
        <rFont val="Calibri"/>
        <family val="2"/>
        <scheme val="minor"/>
      </rPr>
      <t>: Jobber videre med forprosjekt</t>
    </r>
  </si>
  <si>
    <r>
      <rPr>
        <b/>
        <sz val="12"/>
        <color theme="1"/>
        <rFont val="Calibri"/>
        <family val="2"/>
        <scheme val="minor"/>
      </rPr>
      <t>Administrativt</t>
    </r>
    <r>
      <rPr>
        <sz val="12"/>
        <color theme="1"/>
        <rFont val="Calibri"/>
        <family val="2"/>
        <scheme val="minor"/>
      </rPr>
      <t>: Scrum meeting</t>
    </r>
  </si>
  <si>
    <r>
      <rPr>
        <b/>
        <sz val="12"/>
        <color theme="1"/>
        <rFont val="Calibri"/>
        <family val="2"/>
        <scheme val="minor"/>
      </rPr>
      <t>Administrativt:</t>
    </r>
    <r>
      <rPr>
        <sz val="12"/>
        <color theme="1"/>
        <rFont val="Calibri"/>
        <family val="2"/>
        <scheme val="minor"/>
      </rPr>
      <t xml:space="preserve"> Scrum meeting, Product Backlog og planning poker</t>
    </r>
  </si>
  <si>
    <r>
      <rPr>
        <b/>
        <sz val="12"/>
        <color theme="1"/>
        <rFont val="Calibri"/>
        <family val="2"/>
        <scheme val="minor"/>
      </rPr>
      <t>Administrativt</t>
    </r>
    <r>
      <rPr>
        <sz val="12"/>
        <color theme="1"/>
        <rFont val="Calibri"/>
        <family val="2"/>
        <scheme val="minor"/>
      </rPr>
      <t>: Gikk gjennom hva som skal gjøre fram til vi begynner med Sprint 1</t>
    </r>
  </si>
  <si>
    <r>
      <rPr>
        <b/>
        <sz val="12"/>
        <color theme="1"/>
        <rFont val="Calibri"/>
        <family val="2"/>
        <scheme val="minor"/>
      </rPr>
      <t>Administrativt</t>
    </r>
    <r>
      <rPr>
        <sz val="12"/>
        <color theme="1"/>
        <rFont val="Calibri"/>
        <family val="2"/>
        <scheme val="minor"/>
      </rPr>
      <t>: Gikk gjennom forprosjektet i plenum</t>
    </r>
  </si>
  <si>
    <r>
      <rPr>
        <b/>
        <sz val="12"/>
        <color theme="1"/>
        <rFont val="Calibri"/>
        <family val="2"/>
        <scheme val="minor"/>
      </rPr>
      <t>Logg/Oppgaver</t>
    </r>
    <r>
      <rPr>
        <sz val="12"/>
        <color theme="1"/>
        <rFont val="Calibri"/>
        <family val="2"/>
        <scheme val="minor"/>
      </rPr>
      <t>: Skriver oppsummering for uken</t>
    </r>
  </si>
  <si>
    <t>Denne uken har hovedsakelig gått til å skrive på forprosjektet, i denne har vi benyttet oss av tidligere prosjekt rapporter som vi har skrevet, og tatt i bruk stilen vi brukte der (APA 6). I forprosjektet skrev jeg om blant annet: Funksjonalitet, filosofi, problemstilling og organisering (både internt og eksternt).
På fredag kjørte vi i gang med å fullføre product backlog, og planning poker for å estimere antall timer for de ulike oppgavene vi har satt på Sprint 1.
På lørdag møttes vi for å gå gjennom hele forprosjektet i plenum, dette innebærte da finpussing og legge inn de siste bildene som trengtes.
Fram til nå har vi ikke hatt noen særlige utfordringer, synes gruppa har gitt god innsats og kan samarbeide på et ordentlig vis.</t>
  </si>
  <si>
    <r>
      <rPr>
        <b/>
        <sz val="12"/>
        <color theme="1"/>
        <rFont val="Calibri"/>
        <family val="2"/>
        <scheme val="minor"/>
      </rPr>
      <t>Teori</t>
    </r>
    <r>
      <rPr>
        <sz val="12"/>
        <color theme="1"/>
        <rFont val="Calibri"/>
        <family val="2"/>
        <scheme val="minor"/>
      </rPr>
      <t>: Bli kjent med StarUML</t>
    </r>
  </si>
  <si>
    <r>
      <t>Utvikling</t>
    </r>
    <r>
      <rPr>
        <sz val="12"/>
        <color theme="1"/>
        <rFont val="Calibri"/>
        <family val="2"/>
        <scheme val="minor"/>
      </rPr>
      <t>: Startet å lage UML diagram</t>
    </r>
    <r>
      <rPr>
        <b/>
        <sz val="12"/>
        <color theme="1"/>
        <rFont val="Calibri"/>
        <family val="2"/>
        <scheme val="minor"/>
      </rPr>
      <t xml:space="preserve"> </t>
    </r>
    <r>
      <rPr>
        <sz val="12"/>
        <color theme="1"/>
        <rFont val="Calibri"/>
        <family val="2"/>
        <scheme val="minor"/>
      </rPr>
      <t>for innlogging</t>
    </r>
  </si>
  <si>
    <r>
      <t>Administrativt</t>
    </r>
    <r>
      <rPr>
        <sz val="12"/>
        <color theme="1"/>
        <rFont val="Calibri"/>
        <family val="2"/>
        <scheme val="minor"/>
      </rPr>
      <t>: Scrum meeting, satte opp Git for prosjektet</t>
    </r>
  </si>
  <si>
    <r>
      <rPr>
        <b/>
        <sz val="12"/>
        <color theme="1"/>
        <rFont val="Calibri"/>
        <family val="2"/>
        <scheme val="minor"/>
      </rPr>
      <t>Utvikling</t>
    </r>
    <r>
      <rPr>
        <sz val="12"/>
        <color theme="1"/>
        <rFont val="Calibri"/>
        <family val="2"/>
        <scheme val="minor"/>
      </rPr>
      <t>: Arbeid med Wireframe</t>
    </r>
  </si>
  <si>
    <r>
      <rPr>
        <b/>
        <sz val="12"/>
        <color theme="1"/>
        <rFont val="Calibri"/>
        <family val="2"/>
        <scheme val="minor"/>
      </rPr>
      <t>Utvikling</t>
    </r>
    <r>
      <rPr>
        <sz val="12"/>
        <color theme="1"/>
        <rFont val="Calibri"/>
        <family val="2"/>
        <scheme val="minor"/>
      </rPr>
      <t>: Lagt inn Twig</t>
    </r>
  </si>
  <si>
    <r>
      <rPr>
        <b/>
        <sz val="12"/>
        <color theme="1"/>
        <rFont val="Calibri"/>
        <family val="2"/>
        <scheme val="minor"/>
      </rPr>
      <t>Utvikling</t>
    </r>
    <r>
      <rPr>
        <sz val="12"/>
        <color theme="1"/>
        <rFont val="Calibri"/>
        <family val="2"/>
        <scheme val="minor"/>
      </rPr>
      <t>: Oppdaterdt UML diagram etter svar på spørsmål til PO</t>
    </r>
  </si>
  <si>
    <r>
      <rPr>
        <b/>
        <sz val="12"/>
        <color theme="1"/>
        <rFont val="Calibri"/>
        <family val="2"/>
        <scheme val="minor"/>
      </rPr>
      <t>Utvikling</t>
    </r>
    <r>
      <rPr>
        <sz val="12"/>
        <color theme="1"/>
        <rFont val="Calibri"/>
        <family val="2"/>
        <scheme val="minor"/>
      </rPr>
      <t>: Arbeid med å legge inn databasen fra MySQL Workbench til PHPAdmin</t>
    </r>
  </si>
  <si>
    <r>
      <rPr>
        <b/>
        <sz val="12"/>
        <color theme="1"/>
        <rFont val="Calibri"/>
        <family val="2"/>
        <scheme val="minor"/>
      </rPr>
      <t>Utvikling</t>
    </r>
    <r>
      <rPr>
        <sz val="12"/>
        <color theme="1"/>
        <rFont val="Calibri"/>
        <family val="2"/>
        <scheme val="minor"/>
      </rPr>
      <t>: Arbeid med å lage login.php, og koble denne til blant annet databasen/spørringer</t>
    </r>
  </si>
  <si>
    <r>
      <rPr>
        <b/>
        <sz val="11"/>
        <color theme="1"/>
        <rFont val="Calibri"/>
        <family val="2"/>
        <scheme val="minor"/>
      </rPr>
      <t>Roller</t>
    </r>
    <r>
      <rPr>
        <sz val="11"/>
        <color theme="1"/>
        <rFont val="Calibri"/>
        <family val="2"/>
        <scheme val="minor"/>
      </rPr>
      <t xml:space="preserve">:
SCRUM-master i Sprint 1: Alexander Hansen
Backend: Martin Mikalsen, Anders Rubach Ese, Adrian-Alexandru Chirita, Vegard Simonsen 
Frontend: Joachim Kristensen, Alexander Hansen, Eivind Blom Eriksen
</t>
    </r>
    <r>
      <rPr>
        <b/>
        <sz val="11"/>
        <color theme="1"/>
        <rFont val="Calibri"/>
        <family val="2"/>
        <scheme val="minor"/>
      </rPr>
      <t xml:space="preserve">
Mandag</t>
    </r>
    <r>
      <rPr>
        <sz val="11"/>
        <color theme="1"/>
        <rFont val="Calibri"/>
        <family val="2"/>
        <scheme val="minor"/>
      </rPr>
      <t xml:space="preserve">: Gjorde meg kjent med StarUML, jeg og Anders lagde et første utkast for innloggings UML diagram. Møtet senere ut på dagen besto av scrum meeting (finne ut hva prosjektdeltakerne har gjort eller skal gjøre), deretter satte vi opp felles Git for prosjektet og planla hvordan vi skulle gå fram med å holde den oversiktlig. Senere på dagen hjalp jeg Alexander med utseende på Wireframe.
</t>
    </r>
    <r>
      <rPr>
        <b/>
        <sz val="11"/>
        <color theme="1"/>
        <rFont val="Calibri"/>
        <family val="2"/>
        <scheme val="minor"/>
      </rPr>
      <t>Onsdag</t>
    </r>
    <r>
      <rPr>
        <sz val="11"/>
        <color theme="1"/>
        <rFont val="Calibri"/>
        <family val="2"/>
        <scheme val="minor"/>
      </rPr>
      <t xml:space="preserve">: Lagt inn Twig i prosjektet.
</t>
    </r>
    <r>
      <rPr>
        <b/>
        <sz val="11"/>
        <color theme="1"/>
        <rFont val="Calibri"/>
        <family val="2"/>
        <scheme val="minor"/>
      </rPr>
      <t>Torsdag</t>
    </r>
    <r>
      <rPr>
        <sz val="11"/>
        <color theme="1"/>
        <rFont val="Calibri"/>
        <family val="2"/>
        <scheme val="minor"/>
      </rPr>
      <t>: Vi spurte PO om vi skulle ta hensyn til registrering av brukere i prosjektet, de sa at vi skulle forholde oss til FEIDE innlogging. Dermed endret vi UML-diagrammet etter dette svaret.
Senere ut på dagen tok jeg og Anders en Forward Engineering på databasen i MySQL Workbench, slik at vi kunne koble den opp til MyPHPAdmin nettsiden, slik at vi har kontakt med kark.uit.no.
Deretter begynte jeg å lage login.php, og prøvde å få sessions til å fungere, men siden vi tenker å lage sessions på en ryddigere måte enn de fleste av oss hadde gjort på tidligere prosjekt.</t>
    </r>
  </si>
  <si>
    <r>
      <t>Utvikling</t>
    </r>
    <r>
      <rPr>
        <sz val="12"/>
        <color theme="1"/>
        <rFont val="Calibri"/>
        <family val="2"/>
        <scheme val="minor"/>
      </rPr>
      <t>: Fortsatt arbeid med back end, prøver å finne ut av sessions</t>
    </r>
  </si>
  <si>
    <r>
      <t>Administrativt</t>
    </r>
    <r>
      <rPr>
        <sz val="12"/>
        <color theme="1"/>
        <rFont val="Calibri"/>
        <family val="2"/>
        <scheme val="minor"/>
      </rPr>
      <t>: Møte</t>
    </r>
  </si>
  <si>
    <r>
      <rPr>
        <b/>
        <sz val="12"/>
        <color theme="1"/>
        <rFont val="Calibri"/>
        <family val="2"/>
        <scheme val="minor"/>
      </rPr>
      <t>Utvikling</t>
    </r>
    <r>
      <rPr>
        <sz val="12"/>
        <color theme="1"/>
        <rFont val="Calibri"/>
        <family val="2"/>
        <scheme val="minor"/>
      </rPr>
      <t>: UML diagram for base for emnebeskrivelse</t>
    </r>
  </si>
  <si>
    <r>
      <rPr>
        <b/>
        <sz val="12"/>
        <color theme="1"/>
        <rFont val="Calibri"/>
        <family val="2"/>
        <scheme val="minor"/>
      </rPr>
      <t>Utvikling</t>
    </r>
    <r>
      <rPr>
        <sz val="12"/>
        <color theme="1"/>
        <rFont val="Calibri"/>
        <family val="2"/>
        <scheme val="minor"/>
      </rPr>
      <t>: Migrering av kode mellom frontend og backend (innlogging side), hjalp Joakim med å sjekke ut litt twig variabler og kobling til php sidene.</t>
    </r>
  </si>
  <si>
    <r>
      <rPr>
        <b/>
        <sz val="12"/>
        <color theme="1"/>
        <rFont val="Calibri"/>
        <family val="2"/>
        <scheme val="minor"/>
      </rPr>
      <t>Utvikling</t>
    </r>
    <r>
      <rPr>
        <sz val="12"/>
        <color theme="1"/>
        <rFont val="Calibri"/>
        <family val="2"/>
        <scheme val="minor"/>
      </rPr>
      <t>: Endret navn på variabler og metoder fra engelsk til norsk</t>
    </r>
  </si>
  <si>
    <r>
      <rPr>
        <b/>
        <sz val="12"/>
        <color theme="1"/>
        <rFont val="Calibri"/>
        <family val="2"/>
        <scheme val="minor"/>
      </rPr>
      <t>Administrativt</t>
    </r>
    <r>
      <rPr>
        <sz val="12"/>
        <color theme="1"/>
        <rFont val="Calibri"/>
        <family val="2"/>
        <scheme val="minor"/>
      </rPr>
      <t xml:space="preserve">: Gikk gjennom Sprint 2 Backlog og Product Backlog, så gjennom FEIDE innlogging dokument, </t>
    </r>
  </si>
  <si>
    <r>
      <rPr>
        <b/>
        <sz val="12"/>
        <color theme="1"/>
        <rFont val="Calibri"/>
        <family val="2"/>
        <scheme val="minor"/>
      </rPr>
      <t>Logg/Oppgaver</t>
    </r>
    <r>
      <rPr>
        <sz val="12"/>
        <color theme="1"/>
        <rFont val="Calibri"/>
        <family val="2"/>
        <scheme val="minor"/>
      </rPr>
      <t>: Planning poker for Sprint 2</t>
    </r>
  </si>
  <si>
    <r>
      <rPr>
        <b/>
        <sz val="12"/>
        <color theme="1"/>
        <rFont val="Calibri"/>
        <family val="2"/>
        <scheme val="minor"/>
      </rPr>
      <t>Logg/Oppgaver</t>
    </r>
    <r>
      <rPr>
        <sz val="12"/>
        <color theme="1"/>
        <rFont val="Calibri"/>
        <family val="2"/>
        <scheme val="minor"/>
      </rPr>
      <t>: Avhengighetstabell for Sprint 2</t>
    </r>
  </si>
  <si>
    <r>
      <rPr>
        <b/>
        <sz val="12"/>
        <color theme="1"/>
        <rFont val="Calibri"/>
        <family val="2"/>
        <scheme val="minor"/>
      </rPr>
      <t>Logg/Oppgaver</t>
    </r>
    <r>
      <rPr>
        <sz val="12"/>
        <color theme="1"/>
        <rFont val="Calibri"/>
        <family val="2"/>
        <scheme val="minor"/>
      </rPr>
      <t>: Scrum Retrospective</t>
    </r>
  </si>
  <si>
    <r>
      <t>Administrativt</t>
    </r>
    <r>
      <rPr>
        <sz val="12"/>
        <color theme="1"/>
        <rFont val="Calibri"/>
        <family val="2"/>
        <scheme val="minor"/>
      </rPr>
      <t>: Siste møte</t>
    </r>
    <r>
      <rPr>
        <b/>
        <sz val="12"/>
        <color theme="1"/>
        <rFont val="Calibri"/>
        <family val="2"/>
        <scheme val="minor"/>
      </rPr>
      <t xml:space="preserve"> </t>
    </r>
    <r>
      <rPr>
        <sz val="12"/>
        <color theme="1"/>
        <rFont val="Calibri"/>
        <family val="2"/>
        <scheme val="minor"/>
      </rPr>
      <t>i Sprint 1</t>
    </r>
  </si>
  <si>
    <r>
      <rPr>
        <b/>
        <sz val="11"/>
        <color theme="1"/>
        <rFont val="Calibri"/>
        <family val="2"/>
        <scheme val="minor"/>
      </rPr>
      <t>Roller:</t>
    </r>
    <r>
      <rPr>
        <sz val="11"/>
        <color theme="1"/>
        <rFont val="Calibri"/>
        <family val="2"/>
        <scheme val="minor"/>
      </rPr>
      <t xml:space="preserve">
SCRUM-master i Sprint 1: Alexander Hansen
Backend: Martin Mikalsen, Anders Rubach Ese, Adrian-Alexandru Chirita, Vegard Simonsen 
Frontend: Joachim Kristensen, Alexander Hansen, Eivind Blom Eriksen
</t>
    </r>
    <r>
      <rPr>
        <b/>
        <sz val="11"/>
        <color theme="1"/>
        <rFont val="Calibri"/>
        <family val="2"/>
        <scheme val="minor"/>
      </rPr>
      <t>Mandag</t>
    </r>
    <r>
      <rPr>
        <sz val="11"/>
        <color theme="1"/>
        <rFont val="Calibri"/>
        <family val="2"/>
        <scheme val="minor"/>
      </rPr>
      <t xml:space="preserve">: På møtet gikk vi gjennom hva folk har gjort siden forrige møte. Deretter fortsatte jeg med innloggingen på backend.
</t>
    </r>
    <r>
      <rPr>
        <b/>
        <sz val="11"/>
        <color theme="1"/>
        <rFont val="Calibri"/>
        <family val="2"/>
        <scheme val="minor"/>
      </rPr>
      <t>Onsdag</t>
    </r>
    <r>
      <rPr>
        <sz val="11"/>
        <color theme="1"/>
        <rFont val="Calibri"/>
        <family val="2"/>
        <scheme val="minor"/>
      </rPr>
      <t xml:space="preserve">: På møtet gikk vi gjennom hva folk har gjort fram til nå, og prøver å fokusere på å gi ut oppgaver til alle slik at de har noe å gjøre. Vi har også nå valgt SCRUM-master for Spring 2, her tok Eivind på seg denne jobben.
Anders hadde fullført innloggingen til vår test side, dermed tok vi en migrering mellom backend og frontend og prøvde å få sammenslått vår kode. Dette gikk forholdsvis greit, men vi har ikke fått til å logge inn på siden enda, fortsetter med dette arbeidet i morgen.
</t>
    </r>
    <r>
      <rPr>
        <b/>
        <sz val="11"/>
        <color theme="1"/>
        <rFont val="Calibri"/>
        <family val="2"/>
        <scheme val="minor"/>
      </rPr>
      <t>Torsdag</t>
    </r>
    <r>
      <rPr>
        <sz val="11"/>
        <color theme="1"/>
        <rFont val="Calibri"/>
        <family val="2"/>
        <scheme val="minor"/>
      </rPr>
      <t xml:space="preserve">: Vi hadde et møte der vi gikk gjennom Sprint 2 Backlog og Product Backlog i plenum, deretter så vi gjennom et dokument angående FEIDE som vi fikk fra PO, diskuterte dette litt om hvordan vi skulle gå fram med informasjonen som var gitt.
</t>
    </r>
    <r>
      <rPr>
        <b/>
        <sz val="11"/>
        <color theme="1"/>
        <rFont val="Calibri"/>
        <family val="2"/>
        <scheme val="minor"/>
      </rPr>
      <t>Fredag</t>
    </r>
    <r>
      <rPr>
        <sz val="11"/>
        <color theme="1"/>
        <rFont val="Calibri"/>
        <family val="2"/>
        <scheme val="minor"/>
      </rPr>
      <t>: Startet dagen med planning poker for Sprint 2, dette gikk mye bedre enn forrige Sprint siden vi fikk delt opp aktivitetene på en god måte. Deretter tok jeg og Vegard ansvar for å lage avhengighetstabell for neste Sprint og fikk innspill fra resten av gruppa.
Deretter kjørte vi gjennom Scrum Retrospective, laget et delt dokument på Onedrive der alle kunne legge inn sine meninger om hvordan Sprinten gikk, og hva vi skulle gjøre til neste gang.</t>
    </r>
  </si>
  <si>
    <t>.</t>
  </si>
  <si>
    <r>
      <t xml:space="preserve">Administrativt: </t>
    </r>
    <r>
      <rPr>
        <sz val="12"/>
        <color theme="1"/>
        <rFont val="Calibri"/>
        <family val="2"/>
        <scheme val="minor"/>
      </rPr>
      <t>Scrum meeting</t>
    </r>
  </si>
  <si>
    <r>
      <t>Administrativt</t>
    </r>
    <r>
      <rPr>
        <sz val="12"/>
        <color theme="1"/>
        <rFont val="Calibri"/>
        <family val="2"/>
        <scheme val="minor"/>
      </rPr>
      <t>: Ordnet mappestruktur i felles mappe på Onedrive.</t>
    </r>
  </si>
  <si>
    <r>
      <t>Logg/Oppgaver</t>
    </r>
    <r>
      <rPr>
        <sz val="12"/>
        <color theme="1"/>
        <rFont val="Calibri"/>
        <family val="2"/>
        <scheme val="minor"/>
      </rPr>
      <t>: Ordnet ny innlevering til Sprint 0</t>
    </r>
  </si>
  <si>
    <t>Years</t>
  </si>
  <si>
    <t>Months</t>
  </si>
  <si>
    <t>Days</t>
  </si>
  <si>
    <t>Weekend</t>
  </si>
  <si>
    <t>Check Box</t>
  </si>
  <si>
    <t>January</t>
  </si>
  <si>
    <t>No Weekend</t>
  </si>
  <si>
    <t>February</t>
  </si>
  <si>
    <t>Sat &amp; Sun</t>
  </si>
  <si>
    <t>March</t>
  </si>
  <si>
    <t>Sun &amp; Mon</t>
  </si>
  <si>
    <t>April</t>
  </si>
  <si>
    <t>Mon &amp; Tue</t>
  </si>
  <si>
    <t>May</t>
  </si>
  <si>
    <t>Tue &amp; Wed</t>
  </si>
  <si>
    <t>June</t>
  </si>
  <si>
    <t>Wed &amp; Thu</t>
  </si>
  <si>
    <t>July</t>
  </si>
  <si>
    <t>Thu &amp; Fri</t>
  </si>
  <si>
    <t>August</t>
  </si>
  <si>
    <t>Fri &amp; Sat</t>
  </si>
  <si>
    <t>September</t>
  </si>
  <si>
    <t>Mon Only</t>
  </si>
  <si>
    <t>October</t>
  </si>
  <si>
    <t>Tue Only</t>
  </si>
  <si>
    <t>November</t>
  </si>
  <si>
    <t>Wed Only</t>
  </si>
  <si>
    <t>December</t>
  </si>
  <si>
    <t>Thu Only</t>
  </si>
  <si>
    <t>Fri Only</t>
  </si>
  <si>
    <t>Sat Only</t>
  </si>
  <si>
    <t>Sun Only</t>
  </si>
  <si>
    <r>
      <rPr>
        <b/>
        <sz val="11"/>
        <color theme="1"/>
        <rFont val="Calibri"/>
        <family val="2"/>
        <scheme val="minor"/>
      </rPr>
      <t xml:space="preserve">Roller:
SCRUM-master i Sprint 2: </t>
    </r>
    <r>
      <rPr>
        <sz val="11"/>
        <color theme="1"/>
        <rFont val="Calibri"/>
        <family val="2"/>
        <scheme val="minor"/>
      </rPr>
      <t>Eivind Blom Eriksen</t>
    </r>
    <r>
      <rPr>
        <b/>
        <sz val="11"/>
        <color theme="1"/>
        <rFont val="Calibri"/>
        <family val="2"/>
        <scheme val="minor"/>
      </rPr>
      <t xml:space="preserve">
Backend: </t>
    </r>
    <r>
      <rPr>
        <sz val="11"/>
        <color theme="1"/>
        <rFont val="Calibri"/>
        <family val="2"/>
        <scheme val="minor"/>
      </rPr>
      <t xml:space="preserve">Martin Mikalsen, Anders Rubach Ese, Adrian-Alexandru Chirita, Vegard Simonsen </t>
    </r>
    <r>
      <rPr>
        <b/>
        <sz val="11"/>
        <color theme="1"/>
        <rFont val="Calibri"/>
        <family val="2"/>
        <scheme val="minor"/>
      </rPr>
      <t xml:space="preserve">
Frontend: </t>
    </r>
    <r>
      <rPr>
        <sz val="11"/>
        <color theme="1"/>
        <rFont val="Calibri"/>
        <family val="2"/>
        <scheme val="minor"/>
      </rPr>
      <t xml:space="preserve">Joachim Kristensen, Alexander Hansen, Eivind Blom Eriksen
</t>
    </r>
    <r>
      <rPr>
        <b/>
        <sz val="11"/>
        <color theme="1"/>
        <rFont val="Calibri"/>
        <family val="2"/>
        <scheme val="minor"/>
      </rPr>
      <t>Mandag</t>
    </r>
    <r>
      <rPr>
        <sz val="11"/>
        <color theme="1"/>
        <rFont val="Calibri"/>
        <family val="2"/>
        <scheme val="minor"/>
      </rPr>
      <t>: Startet dagen med et møte, vi snakket litt rundt Sprint 2 Backlog om hvem som tenker å gjøre hvilken aktivitet i løpet av starten av sprinten.
Deretter så jeg og Vegard gjennom dokumentasjon som vi fikk via PO for integrering med FEIDE i vårt system, skrev ned ulike spørsmål til PO angående dette.
Ons</t>
    </r>
    <r>
      <rPr>
        <b/>
        <sz val="11"/>
        <color theme="1"/>
        <rFont val="Calibri"/>
        <family val="2"/>
        <scheme val="minor"/>
      </rPr>
      <t>dag</t>
    </r>
    <r>
      <rPr>
        <sz val="11"/>
        <color theme="1"/>
        <rFont val="Calibri"/>
        <family val="2"/>
        <scheme val="minor"/>
      </rPr>
      <t xml:space="preserve">: Kjørte på med Scrum-meeting der vi snakket om status for de ulike aktivitetene som vi hadde planlagt for denne sprinten. Deretter ordnet vi mappestrukturen på fellesmappen i Onedrive, den er nå enklere å se på og benytte seg av.
Vi fikk melding om at Sprint 0 forprosjekt ikke ble godkjent, dermed satt jeg, Adrian og Anders oss ned og begynte å fikse opp i de problemene som var levert inn. Her fikk vi gjort mye på liten tid, effektiv jobbing.
</t>
    </r>
    <r>
      <rPr>
        <b/>
        <sz val="11"/>
        <color theme="1"/>
        <rFont val="Calibri"/>
        <family val="2"/>
        <scheme val="minor"/>
      </rPr>
      <t>Søndag:</t>
    </r>
    <r>
      <rPr>
        <sz val="11"/>
        <color theme="1"/>
        <rFont val="Calibri"/>
        <family val="2"/>
        <scheme val="minor"/>
      </rPr>
      <t xml:space="preserve"> Fullførte de siste dokumentene i plenum som trengtes for å levere Sprint 0 på nytt.</t>
    </r>
  </si>
  <si>
    <r>
      <t xml:space="preserve">Logg/Oppgaver: </t>
    </r>
    <r>
      <rPr>
        <sz val="12"/>
        <color theme="1"/>
        <rFont val="Calibri"/>
        <family val="2"/>
        <scheme val="minor"/>
      </rPr>
      <t>Ferdigstilling av Sprint 0</t>
    </r>
  </si>
  <si>
    <r>
      <t>Utvikling</t>
    </r>
    <r>
      <rPr>
        <sz val="12"/>
        <color theme="1"/>
        <rFont val="Calibri"/>
        <family val="2"/>
        <scheme val="minor"/>
      </rPr>
      <t>: Så på dokumentene vi har fått angående FEIDE, om hvordan vi skal implementere dette i vårt system.</t>
    </r>
  </si>
  <si>
    <t>11.1</t>
  </si>
  <si>
    <r>
      <rPr>
        <b/>
        <sz val="12"/>
        <color theme="1"/>
        <rFont val="Calibri"/>
        <family val="2"/>
        <scheme val="minor"/>
      </rPr>
      <t>Administrativt:</t>
    </r>
    <r>
      <rPr>
        <sz val="12"/>
        <color theme="1"/>
        <rFont val="Calibri"/>
        <family val="2"/>
        <scheme val="minor"/>
      </rPr>
      <t xml:space="preserve"> Scrum meeting</t>
    </r>
  </si>
  <si>
    <r>
      <t xml:space="preserve">Utvikling: </t>
    </r>
    <r>
      <rPr>
        <sz val="12"/>
        <color theme="1"/>
        <rFont val="Calibri"/>
        <family val="2"/>
        <scheme val="minor"/>
      </rPr>
      <t>Database</t>
    </r>
    <r>
      <rPr>
        <b/>
        <sz val="12"/>
        <color theme="1"/>
        <rFont val="Calibri"/>
        <family val="2"/>
        <scheme val="minor"/>
      </rPr>
      <t xml:space="preserve"> </t>
    </r>
    <r>
      <rPr>
        <sz val="12"/>
        <color theme="1"/>
        <rFont val="Calibri"/>
        <family val="2"/>
        <scheme val="minor"/>
      </rPr>
      <t>diskusjon og endringer</t>
    </r>
  </si>
  <si>
    <r>
      <t>Utvikling:</t>
    </r>
    <r>
      <rPr>
        <sz val="12"/>
        <color theme="1"/>
        <rFont val="Calibri"/>
        <family val="2"/>
        <scheme val="minor"/>
      </rPr>
      <t xml:space="preserve"> Lagde spørringer for å hente ut alle emner, og satt mer kommentarer på variabler.</t>
    </r>
  </si>
  <si>
    <t>10.2</t>
  </si>
  <si>
    <r>
      <t>Utvikling</t>
    </r>
    <r>
      <rPr>
        <sz val="12"/>
        <color theme="1"/>
        <rFont val="Calibri"/>
        <family val="2"/>
        <scheme val="minor"/>
      </rPr>
      <t>: Fortsatte på UML-diagrammet på arbeidet vi skal gjøre løpet av Sprint 2</t>
    </r>
  </si>
  <si>
    <t>7.1</t>
  </si>
  <si>
    <r>
      <rPr>
        <b/>
        <sz val="12"/>
        <color theme="1"/>
        <rFont val="Calibri"/>
        <family val="2"/>
        <scheme val="minor"/>
      </rPr>
      <t>Utvikling</t>
    </r>
    <r>
      <rPr>
        <sz val="12"/>
        <color theme="1"/>
        <rFont val="Calibri"/>
        <family val="2"/>
        <scheme val="minor"/>
      </rPr>
      <t>: Jobbet med emner på backend</t>
    </r>
  </si>
  <si>
    <r>
      <rPr>
        <b/>
        <sz val="12"/>
        <color theme="1"/>
        <rFont val="Calibri"/>
        <family val="2"/>
        <scheme val="minor"/>
      </rPr>
      <t>Utvikling</t>
    </r>
    <r>
      <rPr>
        <sz val="12"/>
        <color theme="1"/>
        <rFont val="Calibri"/>
        <family val="2"/>
        <scheme val="minor"/>
      </rPr>
      <t>: Fortsatte jobbing med emner på backend</t>
    </r>
  </si>
  <si>
    <r>
      <rPr>
        <b/>
        <sz val="12"/>
        <color theme="1"/>
        <rFont val="Calibri"/>
        <family val="2"/>
        <scheme val="minor"/>
      </rPr>
      <t>Utvikling</t>
    </r>
    <r>
      <rPr>
        <sz val="12"/>
        <color theme="1"/>
        <rFont val="Calibri"/>
        <family val="2"/>
        <scheme val="minor"/>
      </rPr>
      <t>: Startet med oppretteEmne.php og lagt til funksjon i databaseQuery.php</t>
    </r>
  </si>
  <si>
    <t>8.2</t>
  </si>
  <si>
    <r>
      <rPr>
        <b/>
        <sz val="12"/>
        <color theme="1"/>
        <rFont val="Calibri"/>
        <family val="2"/>
        <scheme val="minor"/>
      </rPr>
      <t>Utvikling</t>
    </r>
    <r>
      <rPr>
        <sz val="12"/>
        <color theme="1"/>
        <rFont val="Calibri"/>
        <family val="2"/>
        <scheme val="minor"/>
      </rPr>
      <t>: Fortsatte jobbing med insertEmne funksjon i databaseQuery.php klassen</t>
    </r>
  </si>
  <si>
    <r>
      <rPr>
        <b/>
        <sz val="12"/>
        <color theme="1"/>
        <rFont val="Calibri"/>
        <family val="2"/>
        <scheme val="minor"/>
      </rPr>
      <t>Logg/Oppgaver</t>
    </r>
    <r>
      <rPr>
        <sz val="12"/>
        <color theme="1"/>
        <rFont val="Calibri"/>
        <family val="2"/>
        <scheme val="minor"/>
      </rPr>
      <t>: Endret litt på Sprint 2 Backlog i forhold til hva vi hadde gjort frem til nå.</t>
    </r>
  </si>
  <si>
    <r>
      <rPr>
        <b/>
        <sz val="12"/>
        <color theme="1"/>
        <rFont val="Calibri"/>
        <family val="2"/>
        <scheme val="minor"/>
      </rPr>
      <t>Logg/Oppgaver</t>
    </r>
    <r>
      <rPr>
        <sz val="12"/>
        <color theme="1"/>
        <rFont val="Calibri"/>
        <family val="2"/>
        <scheme val="minor"/>
      </rPr>
      <t>: Opprettet møteinnkalling for Sprint Review.</t>
    </r>
  </si>
  <si>
    <r>
      <rPr>
        <b/>
        <sz val="12"/>
        <color theme="1"/>
        <rFont val="Calibri"/>
        <family val="2"/>
        <scheme val="minor"/>
      </rPr>
      <t>Utvikling</t>
    </r>
    <r>
      <rPr>
        <sz val="12"/>
        <color theme="1"/>
        <rFont val="Calibri"/>
        <family val="2"/>
        <scheme val="minor"/>
      </rPr>
      <t>: Jobbet med oppretteEmne.php for å sende informasjon fra bruker til databasen.</t>
    </r>
  </si>
  <si>
    <r>
      <rPr>
        <b/>
        <sz val="12"/>
        <color theme="1"/>
        <rFont val="Calibri"/>
        <family val="2"/>
        <scheme val="minor"/>
      </rPr>
      <t>Utvikling</t>
    </r>
    <r>
      <rPr>
        <sz val="12"/>
        <color theme="1"/>
        <rFont val="Calibri"/>
        <family val="2"/>
        <scheme val="minor"/>
      </rPr>
      <t>: Sett over Vegard sin kode for å hjelpe til å finne feil, fant en liten skrivefeil</t>
    </r>
  </si>
  <si>
    <r>
      <rPr>
        <b/>
        <sz val="12"/>
        <color theme="1"/>
        <rFont val="Calibri"/>
        <family val="2"/>
        <scheme val="minor"/>
      </rPr>
      <t>Logg/Oppgaver</t>
    </r>
    <r>
      <rPr>
        <sz val="12"/>
        <color theme="1"/>
        <rFont val="Calibri"/>
        <family val="2"/>
        <scheme val="minor"/>
      </rPr>
      <t>: Ferdigstilling av det som skulle leveres inn for denne sprinten.</t>
    </r>
  </si>
  <si>
    <r>
      <rPr>
        <b/>
        <sz val="11"/>
        <color theme="1"/>
        <rFont val="Calibri"/>
        <family val="2"/>
        <scheme val="minor"/>
      </rPr>
      <t xml:space="preserve">Nye roller:
SCRUM-master for neste sprint: </t>
    </r>
    <r>
      <rPr>
        <sz val="11"/>
        <color theme="1"/>
        <rFont val="Calibri"/>
        <family val="2"/>
        <scheme val="minor"/>
      </rPr>
      <t>Ander Rubach Ese</t>
    </r>
    <r>
      <rPr>
        <b/>
        <sz val="11"/>
        <color theme="1"/>
        <rFont val="Calibri"/>
        <family val="2"/>
        <scheme val="minor"/>
      </rPr>
      <t xml:space="preserve">
Roller:</t>
    </r>
    <r>
      <rPr>
        <sz val="11"/>
        <color theme="1"/>
        <rFont val="Calibri"/>
        <family val="2"/>
        <scheme val="minor"/>
      </rPr>
      <t xml:space="preserve">
</t>
    </r>
    <r>
      <rPr>
        <b/>
        <sz val="11"/>
        <color theme="1"/>
        <rFont val="Calibri"/>
        <family val="2"/>
        <scheme val="minor"/>
      </rPr>
      <t>SCRUM-master i Sprint 2</t>
    </r>
    <r>
      <rPr>
        <sz val="11"/>
        <color theme="1"/>
        <rFont val="Calibri"/>
        <family val="2"/>
        <scheme val="minor"/>
      </rPr>
      <t xml:space="preserve">: Eivind Blom Eriksen
</t>
    </r>
    <r>
      <rPr>
        <b/>
        <sz val="11"/>
        <color theme="1"/>
        <rFont val="Calibri"/>
        <family val="2"/>
        <scheme val="minor"/>
      </rPr>
      <t>Backend</t>
    </r>
    <r>
      <rPr>
        <sz val="11"/>
        <color theme="1"/>
        <rFont val="Calibri"/>
        <family val="2"/>
        <scheme val="minor"/>
      </rPr>
      <t xml:space="preserve">: Martin Mikalsen, Anders Rubach Ese, Adrian-Alexandru Chirita, Vegard Simonsen 
</t>
    </r>
    <r>
      <rPr>
        <b/>
        <sz val="11"/>
        <color theme="1"/>
        <rFont val="Calibri"/>
        <family val="2"/>
        <scheme val="minor"/>
      </rPr>
      <t>Frontend</t>
    </r>
    <r>
      <rPr>
        <sz val="11"/>
        <color theme="1"/>
        <rFont val="Calibri"/>
        <family val="2"/>
        <scheme val="minor"/>
      </rPr>
      <t xml:space="preserve">: Joachim Kristensen, Alexander Hansen, Eivind Blom Eriksen
</t>
    </r>
    <r>
      <rPr>
        <b/>
        <sz val="11"/>
        <color theme="1"/>
        <rFont val="Calibri"/>
        <family val="2"/>
        <scheme val="minor"/>
      </rPr>
      <t>Mandag:</t>
    </r>
    <r>
      <rPr>
        <sz val="11"/>
        <color theme="1"/>
        <rFont val="Calibri"/>
        <family val="2"/>
        <scheme val="minor"/>
      </rPr>
      <t xml:space="preserve"> Startet dagen med Scrum meeting, der vi pratet om hva vi hadde gjort løpet av helgen om det var noe, og sjekket om alle hadde noe å gjøre løpet av dagen. Når vi var ferdig med dette så sjekket vi ut på kommentaren fra Sprint 1 i plenum.
Deretter disktuterte jeg Anders og Vegard endringer i databasen, vi ble enige om at vi fjerner Nivaa og UndervisningsTermin tabellene siden de kun har en verdi per emne. Deretter la vi inn disse som verdier under Emne tabellen.
Videre jobbet jeg og Anders med UML diagrammet for Sprint 2.
</t>
    </r>
    <r>
      <rPr>
        <b/>
        <sz val="11"/>
        <color theme="1"/>
        <rFont val="Calibri"/>
        <family val="2"/>
        <scheme val="minor"/>
      </rPr>
      <t>Tirsdag:</t>
    </r>
    <r>
      <rPr>
        <sz val="11"/>
        <color theme="1"/>
        <rFont val="Calibri"/>
        <family val="2"/>
        <scheme val="minor"/>
      </rPr>
      <t xml:space="preserve"> I dag har jeg og Anders jobbet med databasespørringer for Emner, spørringene ble litt kompliserte dermed brukte vi en del tid på dette og å få testet at de fungerte.
Deretter startet jeg og Anders med backend for oppretting av emner som skal sende informasjon til databasen.
</t>
    </r>
    <r>
      <rPr>
        <b/>
        <sz val="11"/>
        <color theme="1"/>
        <rFont val="Calibri"/>
        <family val="2"/>
        <scheme val="minor"/>
      </rPr>
      <t>Onsdag:</t>
    </r>
    <r>
      <rPr>
        <sz val="11"/>
        <color theme="1"/>
        <rFont val="Calibri"/>
        <family val="2"/>
        <scheme val="minor"/>
      </rPr>
      <t xml:space="preserve"> Startet dagen med Scrum meeting, der vi snakket om hva folk har gjort siden forrige møte. Vi har nå bestemt oss for at Anders skal være Scrum-master for neste sprint.
Deretter kjørte jeg og Anders på med insertEmne funksjonen inne i databaseQuery.php klassen, denne ble ganske stor (100+ linjer) siden den skal sende all informasjonen til databasen når vi oppretter emner, men det gikk forsåvidt greit å lage.
Så begynte vi merging med front-end for oppretting av emner, og så litt på hva de hadde i forhold til hva som lagres i databasen, og gjorde et par endringer der.
</t>
    </r>
    <r>
      <rPr>
        <b/>
        <sz val="11"/>
        <color theme="1"/>
        <rFont val="Calibri"/>
        <family val="2"/>
        <scheme val="minor"/>
      </rPr>
      <t>Fredag</t>
    </r>
    <r>
      <rPr>
        <sz val="11"/>
        <color theme="1"/>
        <rFont val="Calibri"/>
        <family val="2"/>
        <scheme val="minor"/>
      </rPr>
      <t xml:space="preserve">: Startet dagen med Scrum meeting, snakket litt om hva vi hadde gjort siden forrige møte. Og planlagt hvordan vi skal gå frem med møte med kunde. Så lagde vi møteinnkalling for Sprint Review møte med kunde.
Deretter fortsatte jeg og Anders med arbeidet for oppretteEmne.php, jobbet godt og effektivt vil jeg si.
</t>
    </r>
    <r>
      <rPr>
        <b/>
        <sz val="11"/>
        <color theme="1"/>
        <rFont val="Calibri"/>
        <family val="2"/>
        <scheme val="minor"/>
      </rPr>
      <t>Søndag</t>
    </r>
    <r>
      <rPr>
        <sz val="11"/>
        <color theme="1"/>
        <rFont val="Calibri"/>
        <family val="2"/>
        <scheme val="minor"/>
      </rPr>
      <t>: Startet dagen med Scrum meeting, snakket litt om hva vi hadde gjort siden forrige møte. Deretter hadde Vegard en feil som han slet litt med, fant løsning i plenum over discord.
Deretter jobbet vi med de administrative dokumentene som skal leveres inn for denne sprinten, dette gjelder da fullføring av sprint 3 backlog, planning poker, avhengighetstabell og sprint retrospetive.</t>
    </r>
  </si>
  <si>
    <r>
      <t>Administrativt</t>
    </r>
    <r>
      <rPr>
        <sz val="12"/>
        <color theme="1"/>
        <rFont val="Calibri"/>
        <family val="2"/>
        <scheme val="minor"/>
      </rPr>
      <t>: Scrum meeting</t>
    </r>
  </si>
  <si>
    <r>
      <rPr>
        <b/>
        <sz val="12"/>
        <color theme="1"/>
        <rFont val="Calibri"/>
        <family val="2"/>
        <scheme val="minor"/>
      </rPr>
      <t>Administrativt</t>
    </r>
    <r>
      <rPr>
        <sz val="12"/>
        <color theme="1"/>
        <rFont val="Calibri"/>
        <family val="2"/>
        <scheme val="minor"/>
      </rPr>
      <t>: Sprint review meeting</t>
    </r>
  </si>
  <si>
    <r>
      <t xml:space="preserve">Utvikling: </t>
    </r>
    <r>
      <rPr>
        <sz val="12"/>
        <color theme="1"/>
        <rFont val="Calibri"/>
        <family val="2"/>
        <scheme val="minor"/>
      </rPr>
      <t>Gjennomgang av utfylling av informasjon for registrering av applikasjon til FEIDE</t>
    </r>
  </si>
  <si>
    <r>
      <rPr>
        <b/>
        <sz val="12"/>
        <color theme="1"/>
        <rFont val="Calibri"/>
        <family val="2"/>
        <scheme val="minor"/>
      </rPr>
      <t>Utvikling</t>
    </r>
    <r>
      <rPr>
        <sz val="12"/>
        <color theme="1"/>
        <rFont val="Calibri"/>
        <family val="2"/>
        <scheme val="minor"/>
      </rPr>
      <t>: Fortsetter med oppretteEmne.php</t>
    </r>
  </si>
  <si>
    <r>
      <rPr>
        <b/>
        <sz val="11"/>
        <color theme="1"/>
        <rFont val="Calibri"/>
        <family val="2"/>
        <scheme val="minor"/>
      </rPr>
      <t>Roller:</t>
    </r>
    <r>
      <rPr>
        <sz val="11"/>
        <color theme="1"/>
        <rFont val="Calibri"/>
        <family val="2"/>
        <scheme val="minor"/>
      </rPr>
      <t xml:space="preserve">
</t>
    </r>
    <r>
      <rPr>
        <b/>
        <sz val="11"/>
        <color theme="1"/>
        <rFont val="Calibri"/>
        <family val="2"/>
        <scheme val="minor"/>
      </rPr>
      <t>SCRUM-master i Sprint 3</t>
    </r>
    <r>
      <rPr>
        <sz val="11"/>
        <color theme="1"/>
        <rFont val="Calibri"/>
        <family val="2"/>
        <scheme val="minor"/>
      </rPr>
      <t xml:space="preserve">: Ander Rubach Ese
</t>
    </r>
    <r>
      <rPr>
        <b/>
        <sz val="11"/>
        <color theme="1"/>
        <rFont val="Calibri"/>
        <family val="2"/>
        <scheme val="minor"/>
      </rPr>
      <t>Backend</t>
    </r>
    <r>
      <rPr>
        <sz val="11"/>
        <color theme="1"/>
        <rFont val="Calibri"/>
        <family val="2"/>
        <scheme val="minor"/>
      </rPr>
      <t xml:space="preserve">: Martin Mikalsen, Anders Rubach Ese, Adrian-Alexandru Chirita, Vegard Simonsen 
</t>
    </r>
    <r>
      <rPr>
        <b/>
        <sz val="11"/>
        <color theme="1"/>
        <rFont val="Calibri"/>
        <family val="2"/>
        <scheme val="minor"/>
      </rPr>
      <t>Frontend</t>
    </r>
    <r>
      <rPr>
        <sz val="11"/>
        <color theme="1"/>
        <rFont val="Calibri"/>
        <family val="2"/>
        <scheme val="minor"/>
      </rPr>
      <t xml:space="preserve">: Joachim Kristensen, Alexander Hansen, Eivind Blom Eriksen
</t>
    </r>
    <r>
      <rPr>
        <b/>
        <sz val="11"/>
        <color theme="1"/>
        <rFont val="Calibri"/>
        <family val="2"/>
        <scheme val="minor"/>
      </rPr>
      <t xml:space="preserve">Mandag: </t>
    </r>
    <r>
      <rPr>
        <sz val="11"/>
        <color theme="1"/>
        <rFont val="Calibri"/>
        <family val="2"/>
        <scheme val="minor"/>
      </rPr>
      <t xml:space="preserve">Møte med kunde, fikk prøve litt hvordan et møte med kunde skulle være, gikk forsåvidt greit for å være første gang vi gjorde dette. Fikk deretter noen tips på hva vi kunne ha gjort bedre neste gang.
</t>
    </r>
    <r>
      <rPr>
        <b/>
        <sz val="11"/>
        <color theme="1"/>
        <rFont val="Calibri"/>
        <family val="2"/>
        <scheme val="minor"/>
      </rPr>
      <t>Onsdag:</t>
    </r>
    <r>
      <rPr>
        <sz val="11"/>
        <color theme="1"/>
        <rFont val="Calibri"/>
        <family val="2"/>
        <scheme val="minor"/>
      </rPr>
      <t xml:space="preserve"> Scrum møte, gikk gjennom hva folk har gjort siden forrige møte.
</t>
    </r>
    <r>
      <rPr>
        <b/>
        <sz val="11"/>
        <color theme="1"/>
        <rFont val="Calibri"/>
        <family val="2"/>
        <scheme val="minor"/>
      </rPr>
      <t xml:space="preserve">Lørdag: </t>
    </r>
    <r>
      <rPr>
        <sz val="11"/>
        <color theme="1"/>
        <rFont val="Calibri"/>
        <family val="2"/>
        <scheme val="minor"/>
      </rPr>
      <t xml:space="preserve">Startet dagen med et scrum møte, deretter gikk vi gjennom i plenum hvordan vi skulle gå fram med FEIDE implemetasjon i vårt system.
Etter en pause fortsatte jeg Alexander og Anders med oppretteEmne.php og tilkobling til oppretteEmne.twig, vi hadde noen problemer men vi fikk ordnet mye.
</t>
    </r>
    <r>
      <rPr>
        <b/>
        <sz val="11"/>
        <color theme="1"/>
        <rFont val="Calibri"/>
        <family val="2"/>
        <scheme val="minor"/>
      </rPr>
      <t>Søndag:</t>
    </r>
    <r>
      <rPr>
        <sz val="11"/>
        <color theme="1"/>
        <rFont val="Calibri"/>
        <family val="2"/>
        <scheme val="minor"/>
      </rPr>
      <t xml:space="preserve"> Jeg, Anders og Alexander fortsatte der vi slapp på lørdag angående oppretteEmne.php og oppretteEmne.twig, fikk løst mye problemer og nå får vi sendt informasjon fra nettsiden til databasen på et ordentlig vis. Mulig vi har beregnet lite tid på denne aktiviteten da den har tatt så lang tid å fullføre, men det var mye uforutsigbart arbeid.</t>
    </r>
  </si>
  <si>
    <r>
      <t>Logg/Oppgaver:</t>
    </r>
    <r>
      <rPr>
        <sz val="12"/>
        <color theme="1"/>
        <rFont val="Calibri"/>
        <family val="2"/>
        <scheme val="minor"/>
      </rPr>
      <t xml:space="preserve"> Planning poker</t>
    </r>
  </si>
  <si>
    <r>
      <t xml:space="preserve">Logg/Oppgaver: </t>
    </r>
    <r>
      <rPr>
        <sz val="12"/>
        <color theme="1"/>
        <rFont val="Calibri"/>
        <family val="2"/>
        <scheme val="minor"/>
      </rPr>
      <t>Ferdigstiller Sprint 3 innlevering</t>
    </r>
  </si>
  <si>
    <r>
      <rPr>
        <b/>
        <sz val="11"/>
        <color theme="1"/>
        <rFont val="Calibri"/>
        <family val="2"/>
        <scheme val="minor"/>
      </rPr>
      <t>Nye roller:
Jeg er SCRUM-master for Sprint 4.
Roller:</t>
    </r>
    <r>
      <rPr>
        <sz val="11"/>
        <color theme="1"/>
        <rFont val="Calibri"/>
        <family val="2"/>
        <scheme val="minor"/>
      </rPr>
      <t xml:space="preserve">
</t>
    </r>
    <r>
      <rPr>
        <b/>
        <sz val="11"/>
        <color theme="1"/>
        <rFont val="Calibri"/>
        <family val="2"/>
        <scheme val="minor"/>
      </rPr>
      <t>SCRUM-master i Sprint 3</t>
    </r>
    <r>
      <rPr>
        <sz val="11"/>
        <color theme="1"/>
        <rFont val="Calibri"/>
        <family val="2"/>
        <scheme val="minor"/>
      </rPr>
      <t xml:space="preserve">: Anders Rubach Ese
</t>
    </r>
    <r>
      <rPr>
        <b/>
        <sz val="11"/>
        <color theme="1"/>
        <rFont val="Calibri"/>
        <family val="2"/>
        <scheme val="minor"/>
      </rPr>
      <t>Backend</t>
    </r>
    <r>
      <rPr>
        <sz val="11"/>
        <color theme="1"/>
        <rFont val="Calibri"/>
        <family val="2"/>
        <scheme val="minor"/>
      </rPr>
      <t xml:space="preserve">: Martin Mikalsen, Anders Rubach Ese, Adrian-Alexandru Chirita, Vegard Simonsen 
</t>
    </r>
    <r>
      <rPr>
        <b/>
        <sz val="11"/>
        <color theme="1"/>
        <rFont val="Calibri"/>
        <family val="2"/>
        <scheme val="minor"/>
      </rPr>
      <t>Frontend</t>
    </r>
    <r>
      <rPr>
        <sz val="11"/>
        <color theme="1"/>
        <rFont val="Calibri"/>
        <family val="2"/>
        <scheme val="minor"/>
      </rPr>
      <t xml:space="preserve">: Joachim Kristensen, Alexander Hansen, Eivind Blom Eriksen
</t>
    </r>
    <r>
      <rPr>
        <b/>
        <sz val="11"/>
        <color theme="1"/>
        <rFont val="Calibri"/>
        <family val="2"/>
        <scheme val="minor"/>
      </rPr>
      <t xml:space="preserve">Mandag: </t>
    </r>
    <r>
      <rPr>
        <sz val="11"/>
        <color theme="1"/>
        <rFont val="Calibri"/>
        <family val="2"/>
        <scheme val="minor"/>
      </rPr>
      <t>Status møte, hva folk har gjort siden forrige uke.</t>
    </r>
    <r>
      <rPr>
        <b/>
        <sz val="11"/>
        <color theme="1"/>
        <rFont val="Calibri"/>
        <family val="2"/>
        <scheme val="minor"/>
      </rPr>
      <t xml:space="preserve">
Fredag:</t>
    </r>
    <r>
      <rPr>
        <sz val="11"/>
        <color theme="1"/>
        <rFont val="Calibri"/>
        <family val="2"/>
        <scheme val="minor"/>
      </rPr>
      <t xml:space="preserve"> Status møte, hva folk har gjort siden forrige møte.</t>
    </r>
    <r>
      <rPr>
        <b/>
        <sz val="11"/>
        <color theme="1"/>
        <rFont val="Calibri"/>
        <family val="2"/>
        <scheme val="minor"/>
      </rPr>
      <t xml:space="preserve">
Lørdag: </t>
    </r>
    <r>
      <rPr>
        <sz val="11"/>
        <color theme="1"/>
        <rFont val="Calibri"/>
        <family val="2"/>
        <scheme val="minor"/>
      </rPr>
      <t>I dag hadde vi planning poker for neste sprint. Jeg tror estimatene blir bedre for hver gang, siden vi nå har mer erfaring.</t>
    </r>
    <r>
      <rPr>
        <b/>
        <sz val="11"/>
        <color theme="1"/>
        <rFont val="Calibri"/>
        <family val="2"/>
        <scheme val="minor"/>
      </rPr>
      <t xml:space="preserve">
Søndag: </t>
    </r>
    <r>
      <rPr>
        <sz val="11"/>
        <color theme="1"/>
        <rFont val="Calibri"/>
        <family val="2"/>
        <scheme val="minor"/>
      </rPr>
      <t xml:space="preserve">Ferdigstillte dokumentene vi trenger for innlevering av Sprint 3, jeg har ikke gjort så mye denne uken, har fokusert på andre fag, tenker å fortsette med aktivitetene jeg har tatt ansvar for neste uke.
</t>
    </r>
    <r>
      <rPr>
        <b/>
        <sz val="11"/>
        <color theme="1"/>
        <rFont val="Calibri"/>
        <family val="2"/>
        <scheme val="minor"/>
      </rPr>
      <t xml:space="preserve">Individuell oppgave:
</t>
    </r>
    <r>
      <rPr>
        <sz val="11"/>
        <color theme="1"/>
        <rFont val="Calibri"/>
        <family val="2"/>
        <scheme val="minor"/>
      </rPr>
      <t>Månedsinntekt for årslønn ansatt = (550000kr * 7 ansatte) / 12 mnd = 321000kr
Månedsinntekt bedrift = 321000 + 29000 (grovt estimat av admn. tillegg) = 350000kr
Ukesinntekt bedrift = 350000kr / 4 uker = 87500kr
Dagsinntekt bedrift = 87500kr / 7 dager = 12500kr
Timesinntekt bedrift = 12500kr / 24 timer = 521kr
Gjennomsnitt storypoints per uke: ((55 / 2) + (91 / 2) + (71 / 2)) / 3 = 36,16 timer
Timesbetaling = Ukesinntekt / Gjennomsnitt storypoints = 87500kr / 36,16 timer = 2420kr / time</t>
    </r>
  </si>
  <si>
    <r>
      <rPr>
        <b/>
        <sz val="12"/>
        <color theme="1"/>
        <rFont val="Calibri"/>
        <family val="2"/>
        <scheme val="minor"/>
      </rPr>
      <t>Administrativt</t>
    </r>
    <r>
      <rPr>
        <sz val="12"/>
        <color theme="1"/>
        <rFont val="Calibri"/>
        <family val="2"/>
        <scheme val="minor"/>
      </rPr>
      <t>: Forberedelse til sprint review</t>
    </r>
  </si>
  <si>
    <r>
      <t xml:space="preserve">Administrativt: </t>
    </r>
    <r>
      <rPr>
        <sz val="12"/>
        <color theme="1"/>
        <rFont val="Calibri"/>
        <family val="2"/>
        <scheme val="minor"/>
      </rPr>
      <t>Sprint review</t>
    </r>
  </si>
  <si>
    <r>
      <t>Logg/Oppgaver:</t>
    </r>
    <r>
      <rPr>
        <sz val="12"/>
        <color theme="1"/>
        <rFont val="Calibri"/>
        <family val="2"/>
        <scheme val="minor"/>
      </rPr>
      <t xml:space="preserve"> Forbedring av innlevering til Sprint 3</t>
    </r>
  </si>
  <si>
    <r>
      <rPr>
        <b/>
        <sz val="12"/>
        <color theme="1"/>
        <rFont val="Calibri"/>
        <family val="2"/>
        <scheme val="minor"/>
      </rPr>
      <t>Utvikling</t>
    </r>
    <r>
      <rPr>
        <sz val="12"/>
        <color theme="1"/>
        <rFont val="Calibri"/>
        <family val="2"/>
        <scheme val="minor"/>
      </rPr>
      <t>: La inn timestamps ved opprettelse av emne</t>
    </r>
  </si>
  <si>
    <t>8.4</t>
  </si>
  <si>
    <r>
      <t>Logg/Oppgaver:</t>
    </r>
    <r>
      <rPr>
        <sz val="12"/>
        <color theme="1"/>
        <rFont val="Calibri"/>
        <family val="2"/>
        <scheme val="minor"/>
      </rPr>
      <t xml:space="preserve"> Ferdigstilling av innlevering</t>
    </r>
  </si>
  <si>
    <r>
      <t>Administrativt:</t>
    </r>
    <r>
      <rPr>
        <sz val="12"/>
        <color theme="1"/>
        <rFont val="Calibri"/>
        <family val="2"/>
        <scheme val="minor"/>
      </rPr>
      <t xml:space="preserve"> Scrum meeting</t>
    </r>
  </si>
  <si>
    <t>Teori: Forsker på FEIDE integrasjon</t>
  </si>
  <si>
    <t>Utvikling: Implementerer FEIDE til vårt system</t>
  </si>
  <si>
    <t>14.4</t>
  </si>
  <si>
    <r>
      <rPr>
        <b/>
        <sz val="11"/>
        <color theme="1"/>
        <rFont val="Calibri"/>
        <family val="2"/>
        <scheme val="minor"/>
      </rPr>
      <t xml:space="preserve">Gjennomsnittlig arbeidstimer i prosjektet denne uken: </t>
    </r>
    <r>
      <rPr>
        <sz val="11"/>
        <color theme="1"/>
        <rFont val="Calibri"/>
        <family val="2"/>
        <scheme val="minor"/>
      </rPr>
      <t>08:48 timer</t>
    </r>
    <r>
      <rPr>
        <b/>
        <sz val="11"/>
        <color theme="1"/>
        <rFont val="Calibri"/>
        <family val="2"/>
        <scheme val="minor"/>
      </rPr>
      <t xml:space="preserve">
Roller:</t>
    </r>
    <r>
      <rPr>
        <sz val="11"/>
        <color theme="1"/>
        <rFont val="Calibri"/>
        <family val="2"/>
        <scheme val="minor"/>
      </rPr>
      <t xml:space="preserve">
</t>
    </r>
    <r>
      <rPr>
        <b/>
        <sz val="11"/>
        <color theme="1"/>
        <rFont val="Calibri"/>
        <family val="2"/>
        <scheme val="minor"/>
      </rPr>
      <t>SCRUM-master i Sprint 4</t>
    </r>
    <r>
      <rPr>
        <sz val="11"/>
        <color theme="1"/>
        <rFont val="Calibri"/>
        <family val="2"/>
        <scheme val="minor"/>
      </rPr>
      <t xml:space="preserve">: Martin Mikalsen
</t>
    </r>
    <r>
      <rPr>
        <b/>
        <sz val="11"/>
        <color theme="1"/>
        <rFont val="Calibri"/>
        <family val="2"/>
        <scheme val="minor"/>
      </rPr>
      <t>Backend</t>
    </r>
    <r>
      <rPr>
        <sz val="11"/>
        <color theme="1"/>
        <rFont val="Calibri"/>
        <family val="2"/>
        <scheme val="minor"/>
      </rPr>
      <t xml:space="preserve">: Martin Mikalsen, Anders Rubach Ese, Adrian-Alexandru Chirita, Vegard Simonsen 
</t>
    </r>
    <r>
      <rPr>
        <b/>
        <sz val="11"/>
        <color theme="1"/>
        <rFont val="Calibri"/>
        <family val="2"/>
        <scheme val="minor"/>
      </rPr>
      <t>Frontend</t>
    </r>
    <r>
      <rPr>
        <sz val="11"/>
        <color theme="1"/>
        <rFont val="Calibri"/>
        <family val="2"/>
        <scheme val="minor"/>
      </rPr>
      <t xml:space="preserve">: Joachim Kristensen, Alexander Hansen, Eivind Blom Eriksen
</t>
    </r>
    <r>
      <rPr>
        <b/>
        <sz val="11"/>
        <color theme="1"/>
        <rFont val="Calibri"/>
        <family val="2"/>
        <scheme val="minor"/>
      </rPr>
      <t>Mandag:</t>
    </r>
    <r>
      <rPr>
        <sz val="11"/>
        <color theme="1"/>
        <rFont val="Calibri"/>
        <family val="2"/>
        <scheme val="minor"/>
      </rPr>
      <t xml:space="preserve"> Vi startet dagen med en liten samling for å forberede oss på hvordan vi skulle gå fram med Sprint Review, dette gikk forsåvidt fort og greit.
</t>
    </r>
    <r>
      <rPr>
        <b/>
        <sz val="11"/>
        <color theme="1"/>
        <rFont val="Calibri"/>
        <family val="2"/>
        <scheme val="minor"/>
      </rPr>
      <t xml:space="preserve">Tirsdag: </t>
    </r>
    <r>
      <rPr>
        <sz val="11"/>
        <color theme="1"/>
        <rFont val="Calibri"/>
        <family val="2"/>
        <scheme val="minor"/>
      </rPr>
      <t xml:space="preserve">Startet med en Scrum møte, der vi snakket litt om hva folk skulle gjøre fremover i henhold til de aktivitetene som ikke ble gjort forrige sprint. Deretter så vi i plenum på innleveringen som skulle leveres på kvelden, og tok fatt de dokumentene som trengtes til dette.
Så tok jeg å la inn timestamps ved opprettelse på emne, dette ble laget på samme måte som siste endring som vi har lagt til tidligere, rask å grei arbeidsoppgave.
Senere på kvelden så møttes vi igjen for å ferdigstille de dokumentene som skulle leveres på innleveringen.
</t>
    </r>
    <r>
      <rPr>
        <b/>
        <sz val="11"/>
        <color theme="1"/>
        <rFont val="Calibri"/>
        <family val="2"/>
        <scheme val="minor"/>
      </rPr>
      <t xml:space="preserve">Torsdag: </t>
    </r>
    <r>
      <rPr>
        <sz val="11"/>
        <color theme="1"/>
        <rFont val="Calibri"/>
        <family val="2"/>
        <scheme val="minor"/>
      </rPr>
      <t xml:space="preserve">Startet dagen som vanlig med et Scrum møte, deretter tok jeg fatt i oppgaven å finne ut av hvordan vi skulle implementere FEIDE inn i systemet vårt. Etter mye lesing på dokumentasjon og lignende dokumenter, så fant jeg ut av en måte vi kunne gjøre dette på. Innkalte Alexander, Joachim og Anders til et lite treff for å snakke med de om hvordan vi skulle gjøre dette, da fant vi ut av en fin løsning i plenum. Dette er fortsatt under arbeid, og må finjusteres etter vårt behov.
</t>
    </r>
    <r>
      <rPr>
        <b/>
        <sz val="11"/>
        <color theme="1"/>
        <rFont val="Calibri"/>
        <family val="2"/>
        <scheme val="minor"/>
      </rPr>
      <t xml:space="preserve">Lørdag: </t>
    </r>
    <r>
      <rPr>
        <sz val="11"/>
        <color theme="1"/>
        <rFont val="Calibri"/>
        <family val="2"/>
        <scheme val="minor"/>
      </rPr>
      <t>Scrum-møte sammen med PO, der vi snakket om hvordan vi skulle gå frem videre.</t>
    </r>
  </si>
  <si>
    <r>
      <t xml:space="preserve">Utvikling: </t>
    </r>
    <r>
      <rPr>
        <sz val="12"/>
        <color theme="1"/>
        <rFont val="Calibri"/>
        <family val="2"/>
        <scheme val="minor"/>
      </rPr>
      <t>Fortsetter med implementering av FEIDE</t>
    </r>
  </si>
  <si>
    <r>
      <rPr>
        <b/>
        <sz val="11"/>
        <color theme="1"/>
        <rFont val="Calibri"/>
        <family val="2"/>
        <scheme val="minor"/>
      </rPr>
      <t>Gjennomsnittlig arbeidstimer i prosjektet denne uken:</t>
    </r>
    <r>
      <rPr>
        <sz val="11"/>
        <color theme="1"/>
        <rFont val="Calibri"/>
        <family val="2"/>
        <scheme val="minor"/>
      </rPr>
      <t xml:space="preserve"> 2:57 timer</t>
    </r>
    <r>
      <rPr>
        <b/>
        <sz val="11"/>
        <color theme="1"/>
        <rFont val="Calibri"/>
        <family val="2"/>
        <scheme val="minor"/>
      </rPr>
      <t xml:space="preserve">
Nye roller: </t>
    </r>
    <r>
      <rPr>
        <sz val="11"/>
        <color theme="1"/>
        <rFont val="Calibri"/>
        <family val="2"/>
        <scheme val="minor"/>
      </rPr>
      <t>For at alle skulle få prøve å være SCRUM-master i dette prosjektet, så har vi vedtatt at Adrian skal være SCRUM-master for uke 16 og 17, det vil si siste uken av Sprint 4 og første av Sprint 5.</t>
    </r>
    <r>
      <rPr>
        <b/>
        <sz val="11"/>
        <color theme="1"/>
        <rFont val="Calibri"/>
        <family val="2"/>
        <scheme val="minor"/>
      </rPr>
      <t xml:space="preserve">
Roller:</t>
    </r>
    <r>
      <rPr>
        <sz val="11"/>
        <color theme="1"/>
        <rFont val="Calibri"/>
        <family val="2"/>
        <scheme val="minor"/>
      </rPr>
      <t xml:space="preserve">
</t>
    </r>
    <r>
      <rPr>
        <b/>
        <sz val="11"/>
        <color theme="1"/>
        <rFont val="Calibri"/>
        <family val="2"/>
        <scheme val="minor"/>
      </rPr>
      <t>SCRUM-master i Sprint 4</t>
    </r>
    <r>
      <rPr>
        <sz val="11"/>
        <color theme="1"/>
        <rFont val="Calibri"/>
        <family val="2"/>
        <scheme val="minor"/>
      </rPr>
      <t xml:space="preserve">: Martin Mikalsen
</t>
    </r>
    <r>
      <rPr>
        <b/>
        <sz val="11"/>
        <color theme="1"/>
        <rFont val="Calibri"/>
        <family val="2"/>
        <scheme val="minor"/>
      </rPr>
      <t>Backend</t>
    </r>
    <r>
      <rPr>
        <sz val="11"/>
        <color theme="1"/>
        <rFont val="Calibri"/>
        <family val="2"/>
        <scheme val="minor"/>
      </rPr>
      <t xml:space="preserve">: Martin Mikalsen, Anders Rubach Ese, Adrian-Alexandru Chirita, Vegard Simonsen 
</t>
    </r>
    <r>
      <rPr>
        <b/>
        <sz val="11"/>
        <color theme="1"/>
        <rFont val="Calibri"/>
        <family val="2"/>
        <scheme val="minor"/>
      </rPr>
      <t>Frontend</t>
    </r>
    <r>
      <rPr>
        <sz val="11"/>
        <color theme="1"/>
        <rFont val="Calibri"/>
        <family val="2"/>
        <scheme val="minor"/>
      </rPr>
      <t xml:space="preserve">: Joachim Kristensen, Alexander Hansen, Eivind Blom Eriksen
</t>
    </r>
    <r>
      <rPr>
        <b/>
        <sz val="11"/>
        <color theme="1"/>
        <rFont val="Calibri"/>
        <family val="2"/>
        <scheme val="minor"/>
      </rPr>
      <t xml:space="preserve">Mandag: </t>
    </r>
    <r>
      <rPr>
        <sz val="11"/>
        <color theme="1"/>
        <rFont val="Calibri"/>
        <family val="2"/>
        <scheme val="minor"/>
      </rPr>
      <t xml:space="preserve">Status møte.
</t>
    </r>
    <r>
      <rPr>
        <b/>
        <sz val="11"/>
        <color theme="1"/>
        <rFont val="Calibri"/>
        <family val="2"/>
        <scheme val="minor"/>
      </rPr>
      <t>Onsdag:</t>
    </r>
    <r>
      <rPr>
        <sz val="11"/>
        <color theme="1"/>
        <rFont val="Calibri"/>
        <family val="2"/>
        <scheme val="minor"/>
      </rPr>
      <t xml:space="preserve"> Startet dagen med å finne ut mer om hvordan jeg kan koble opp FEIDE til vårt system, deretter hadde vi et scrum møte for å få status rapport på medlemmene.
</t>
    </r>
    <r>
      <rPr>
        <b/>
        <sz val="11"/>
        <color theme="1"/>
        <rFont val="Calibri"/>
        <family val="2"/>
        <scheme val="minor"/>
      </rPr>
      <t xml:space="preserve">Lørdag: </t>
    </r>
    <r>
      <rPr>
        <sz val="11"/>
        <color theme="1"/>
        <rFont val="Calibri"/>
        <family val="2"/>
        <scheme val="minor"/>
      </rPr>
      <t>Startet dagen med å sjekke status på aktiviteter, deretter tok jeg opp saken om at alle skulle kunne prøve å være scrum-master, da vedtok vi at Adrian skulle være scrum-master for siste uken av Sprint 4 og første uken av Sprint 5, deretter er det kun Vegard som ikke har vært scrum-master enda, så han tar vel de siste ukene av prosjektet.
Denne uken har bestått mest av påske-ferie for nesten alle i gruppen, dermed ble det lite jobbing.</t>
    </r>
  </si>
  <si>
    <r>
      <t xml:space="preserve">Logg/Oppgaver: </t>
    </r>
    <r>
      <rPr>
        <sz val="12"/>
        <color theme="1"/>
        <rFont val="Calibri"/>
        <family val="2"/>
        <scheme val="minor"/>
      </rPr>
      <t>Jobbet med Sprint 5 Backlog</t>
    </r>
  </si>
  <si>
    <r>
      <t xml:space="preserve">Utvikling: </t>
    </r>
    <r>
      <rPr>
        <sz val="12"/>
        <color theme="1"/>
        <rFont val="Calibri"/>
        <family val="2"/>
        <scheme val="minor"/>
      </rPr>
      <t>Jobber videre med FEIDE implementering</t>
    </r>
  </si>
  <si>
    <r>
      <t xml:space="preserve">Logg/Oppgaver: </t>
    </r>
    <r>
      <rPr>
        <sz val="12"/>
        <color theme="1"/>
        <rFont val="Calibri"/>
        <family val="2"/>
        <scheme val="minor"/>
      </rPr>
      <t>Satte opp demo på kark</t>
    </r>
  </si>
  <si>
    <r>
      <t>Logg/Oppgaver:</t>
    </r>
    <r>
      <rPr>
        <sz val="12"/>
        <color theme="1"/>
        <rFont val="Calibri"/>
        <family val="2"/>
        <scheme val="minor"/>
      </rPr>
      <t xml:space="preserve"> Ferdigstilling av innleveringspapirer</t>
    </r>
  </si>
  <si>
    <r>
      <rPr>
        <b/>
        <sz val="11"/>
        <color theme="1"/>
        <rFont val="Calibri"/>
        <family val="2"/>
        <scheme val="minor"/>
      </rPr>
      <t>Roller:</t>
    </r>
    <r>
      <rPr>
        <sz val="11"/>
        <color theme="1"/>
        <rFont val="Calibri"/>
        <family val="2"/>
        <scheme val="minor"/>
      </rPr>
      <t xml:space="preserve">
</t>
    </r>
    <r>
      <rPr>
        <b/>
        <sz val="11"/>
        <color theme="1"/>
        <rFont val="Calibri"/>
        <family val="2"/>
        <scheme val="minor"/>
      </rPr>
      <t>SCRUM-master i Sprint 4</t>
    </r>
    <r>
      <rPr>
        <sz val="11"/>
        <color theme="1"/>
        <rFont val="Calibri"/>
        <family val="2"/>
        <scheme val="minor"/>
      </rPr>
      <t xml:space="preserve">: Adrian-Alexandru Chirita
</t>
    </r>
    <r>
      <rPr>
        <b/>
        <sz val="11"/>
        <color theme="1"/>
        <rFont val="Calibri"/>
        <family val="2"/>
        <scheme val="minor"/>
      </rPr>
      <t>Backend</t>
    </r>
    <r>
      <rPr>
        <sz val="11"/>
        <color theme="1"/>
        <rFont val="Calibri"/>
        <family val="2"/>
        <scheme val="minor"/>
      </rPr>
      <t xml:space="preserve">: Martin Mikalsen, Anders Rubach Ese, Adrian-Alexandru Chirita, Vegard Simonsen 
</t>
    </r>
    <r>
      <rPr>
        <b/>
        <sz val="11"/>
        <color theme="1"/>
        <rFont val="Calibri"/>
        <family val="2"/>
        <scheme val="minor"/>
      </rPr>
      <t>Frontend</t>
    </r>
    <r>
      <rPr>
        <sz val="11"/>
        <color theme="1"/>
        <rFont val="Calibri"/>
        <family val="2"/>
        <scheme val="minor"/>
      </rPr>
      <t xml:space="preserve">: Joachim Kristensen, Alexander Hansen, Eivind Blom Eriksen
</t>
    </r>
    <r>
      <rPr>
        <b/>
        <sz val="11"/>
        <color theme="1"/>
        <rFont val="Calibri"/>
        <family val="2"/>
        <scheme val="minor"/>
      </rPr>
      <t xml:space="preserve">Lørdag: </t>
    </r>
    <r>
      <rPr>
        <sz val="11"/>
        <color theme="1"/>
        <rFont val="Calibri"/>
        <family val="2"/>
        <scheme val="minor"/>
      </rPr>
      <t xml:space="preserve">Jobbet med papirer som skal leveres inn.
</t>
    </r>
    <r>
      <rPr>
        <b/>
        <sz val="11"/>
        <color theme="1"/>
        <rFont val="Calibri"/>
        <family val="2"/>
        <scheme val="minor"/>
      </rPr>
      <t>Søndag:</t>
    </r>
    <r>
      <rPr>
        <sz val="11"/>
        <color theme="1"/>
        <rFont val="Calibri"/>
        <family val="2"/>
        <scheme val="minor"/>
      </rPr>
      <t xml:space="preserve"> Startet dagen med å se videre på implementeringen av FEIDE, dette er nå stort sett ferdigstillt, men trengs et par finjusteringer før jeg sier meg ferdig.
Deretter jobbet vi med å sette opp en demo kunde kan se på, og teste ut.
På slutten av dagen ferdigstillte vi papirene som skal innleveres.</t>
    </r>
  </si>
  <si>
    <r>
      <t xml:space="preserve">Logg/Oppgaver: </t>
    </r>
    <r>
      <rPr>
        <sz val="12"/>
        <color theme="1"/>
        <rFont val="Calibri"/>
        <family val="2"/>
        <scheme val="minor"/>
      </rPr>
      <t>Forberedelse av Sprint-review</t>
    </r>
  </si>
  <si>
    <r>
      <t xml:space="preserve">Administrativt: </t>
    </r>
    <r>
      <rPr>
        <sz val="12"/>
        <color theme="1"/>
        <rFont val="Calibri"/>
        <family val="2"/>
        <scheme val="minor"/>
      </rPr>
      <t>Sprint review meeting</t>
    </r>
  </si>
  <si>
    <r>
      <t xml:space="preserve">Logg/Oppgaver: </t>
    </r>
    <r>
      <rPr>
        <sz val="12"/>
        <color theme="1"/>
        <rFont val="Calibri"/>
        <family val="2"/>
        <scheme val="minor"/>
      </rPr>
      <t>Planning poker</t>
    </r>
  </si>
  <si>
    <r>
      <t>Logg/Oppgaver:</t>
    </r>
    <r>
      <rPr>
        <sz val="12"/>
        <color theme="1"/>
        <rFont val="Calibri"/>
        <family val="2"/>
        <scheme val="minor"/>
      </rPr>
      <t xml:space="preserve"> Avhengighetstabell</t>
    </r>
  </si>
  <si>
    <r>
      <rPr>
        <b/>
        <sz val="12"/>
        <color theme="1"/>
        <rFont val="Calibri"/>
        <family val="2"/>
        <scheme val="minor"/>
      </rPr>
      <t xml:space="preserve">Utvikling: </t>
    </r>
    <r>
      <rPr>
        <sz val="12"/>
        <color theme="1"/>
        <rFont val="Calibri"/>
        <family val="2"/>
        <scheme val="minor"/>
      </rPr>
      <t>Rydder opp i FEIDE kode</t>
    </r>
  </si>
  <si>
    <r>
      <rPr>
        <b/>
        <sz val="12"/>
        <color theme="1"/>
        <rFont val="Calibri"/>
        <family val="2"/>
        <scheme val="minor"/>
      </rPr>
      <t>Utvikling:</t>
    </r>
    <r>
      <rPr>
        <sz val="12"/>
        <color theme="1"/>
        <rFont val="Calibri"/>
        <family val="2"/>
        <scheme val="minor"/>
      </rPr>
      <t xml:space="preserve"> Jobber med registrering av bruker</t>
    </r>
  </si>
  <si>
    <r>
      <rPr>
        <b/>
        <sz val="11"/>
        <color theme="1"/>
        <rFont val="Calibri"/>
        <family val="2"/>
        <scheme val="minor"/>
      </rPr>
      <t xml:space="preserve">Nye roller:
SCRUM-master i Sprint 5 (uke 2): </t>
    </r>
    <r>
      <rPr>
        <sz val="11"/>
        <color theme="1"/>
        <rFont val="Calibri"/>
        <family val="2"/>
        <scheme val="minor"/>
      </rPr>
      <t>Vegard Simonsen</t>
    </r>
    <r>
      <rPr>
        <b/>
        <sz val="11"/>
        <color theme="1"/>
        <rFont val="Calibri"/>
        <family val="2"/>
        <scheme val="minor"/>
      </rPr>
      <t xml:space="preserve">
Roller:</t>
    </r>
    <r>
      <rPr>
        <sz val="11"/>
        <color theme="1"/>
        <rFont val="Calibri"/>
        <family val="2"/>
        <scheme val="minor"/>
      </rPr>
      <t xml:space="preserve">
</t>
    </r>
    <r>
      <rPr>
        <b/>
        <sz val="11"/>
        <color theme="1"/>
        <rFont val="Calibri"/>
        <family val="2"/>
        <scheme val="minor"/>
      </rPr>
      <t>SCRUM-master i Sprint 5</t>
    </r>
    <r>
      <rPr>
        <sz val="11"/>
        <color theme="1"/>
        <rFont val="Calibri"/>
        <family val="2"/>
        <scheme val="minor"/>
      </rPr>
      <t xml:space="preserve">: Adrian-Alexandru Chirita
</t>
    </r>
    <r>
      <rPr>
        <b/>
        <sz val="11"/>
        <color theme="1"/>
        <rFont val="Calibri"/>
        <family val="2"/>
        <scheme val="minor"/>
      </rPr>
      <t>Backend</t>
    </r>
    <r>
      <rPr>
        <sz val="11"/>
        <color theme="1"/>
        <rFont val="Calibri"/>
        <family val="2"/>
        <scheme val="minor"/>
      </rPr>
      <t xml:space="preserve">: Martin Mikalsen, Anders Rubach Ese, Adrian-Alexandru Chirita, Vegard Simonsen 
</t>
    </r>
    <r>
      <rPr>
        <b/>
        <sz val="11"/>
        <color theme="1"/>
        <rFont val="Calibri"/>
        <family val="2"/>
        <scheme val="minor"/>
      </rPr>
      <t>Frontend</t>
    </r>
    <r>
      <rPr>
        <sz val="11"/>
        <color theme="1"/>
        <rFont val="Calibri"/>
        <family val="2"/>
        <scheme val="minor"/>
      </rPr>
      <t xml:space="preserve">: Joachim Kristensen, Alexander Hansen, Eivind Blom Eriksen
</t>
    </r>
    <r>
      <rPr>
        <b/>
        <sz val="11"/>
        <color theme="1"/>
        <rFont val="Calibri"/>
        <family val="2"/>
        <scheme val="minor"/>
      </rPr>
      <t xml:space="preserve">Mandag: </t>
    </r>
    <r>
      <rPr>
        <sz val="11"/>
        <color theme="1"/>
        <rFont val="Calibri"/>
        <family val="2"/>
        <scheme val="minor"/>
      </rPr>
      <t>Startet dagen med en liten forberedelse av Sprint-review møte, hvem som skulle si hva og når. Deretter gjennomførte vi Sprint-review, gikk forsåvidt bra. Når vi var ferdig med dette tok vi et kjapp gjennomgang av planning-poker for å få et overslag av hvor mye timer skulle gå inn i Sprint 5, deretter laget vi et avhengighetstabell med de timene fra planning-poker.</t>
    </r>
    <r>
      <rPr>
        <b/>
        <sz val="11"/>
        <color theme="1"/>
        <rFont val="Calibri"/>
        <family val="2"/>
        <scheme val="minor"/>
      </rPr>
      <t xml:space="preserve">
Torsdag: </t>
    </r>
    <r>
      <rPr>
        <sz val="11"/>
        <color theme="1"/>
        <rFont val="Calibri"/>
        <family val="2"/>
        <scheme val="minor"/>
      </rPr>
      <t>I dag har jeg ryddet opp i FEIDE koden jeg har satt opp, slik at det er lettere å forstå hvordan den fungerer. Deretter hadde vi en scrum-møte.</t>
    </r>
    <r>
      <rPr>
        <b/>
        <sz val="11"/>
        <color theme="1"/>
        <rFont val="Calibri"/>
        <family val="2"/>
        <scheme val="minor"/>
      </rPr>
      <t xml:space="preserve">
Lørdag: </t>
    </r>
    <r>
      <rPr>
        <sz val="11"/>
        <color theme="1"/>
        <rFont val="Calibri"/>
        <family val="2"/>
        <scheme val="minor"/>
      </rPr>
      <t>Siden vi ikke fikk til å få data fra FEIDE, satte jeg opp en registrerings mulighet på nettsiden, slik at vi kan benytte oss av data av bruker. Deretter hadde vi et scrum-møte, så forsatte jeg med registreringen med bistand fra Anders.</t>
    </r>
    <r>
      <rPr>
        <b/>
        <sz val="11"/>
        <color theme="1"/>
        <rFont val="Calibri"/>
        <family val="2"/>
        <scheme val="minor"/>
      </rPr>
      <t xml:space="preserve">
Søndag: </t>
    </r>
    <r>
      <rPr>
        <sz val="11"/>
        <color theme="1"/>
        <rFont val="Calibri"/>
        <family val="2"/>
        <scheme val="minor"/>
      </rPr>
      <t>Idag har jeg fått ferdigstillt registrering av bruker med litt bistand fra Joachim.</t>
    </r>
  </si>
  <si>
    <r>
      <t>Utvikling:</t>
    </r>
    <r>
      <rPr>
        <sz val="12"/>
        <color theme="1"/>
        <rFont val="Calibri"/>
        <family val="2"/>
        <scheme val="minor"/>
      </rPr>
      <t xml:space="preserve"> Lagde dekryptering for innlogging</t>
    </r>
  </si>
  <si>
    <r>
      <t xml:space="preserve">Utvikling: </t>
    </r>
    <r>
      <rPr>
        <sz val="12"/>
        <color theme="1"/>
        <rFont val="Calibri"/>
        <family val="2"/>
        <scheme val="minor"/>
      </rPr>
      <t>Ryddet opp i registrering og innloggings kode, satte opp filter i registrering</t>
    </r>
  </si>
  <si>
    <r>
      <t xml:space="preserve">Utvikling: </t>
    </r>
    <r>
      <rPr>
        <sz val="12"/>
        <color theme="1"/>
        <rFont val="Calibri"/>
        <family val="2"/>
        <scheme val="minor"/>
      </rPr>
      <t>Fortsatte opprydding i kode, og lagde varsler for feil ved registering og innlogging.</t>
    </r>
  </si>
  <si>
    <r>
      <rPr>
        <b/>
        <sz val="11"/>
        <color theme="1"/>
        <rFont val="Calibri"/>
        <family val="2"/>
        <scheme val="minor"/>
      </rPr>
      <t>Roller:</t>
    </r>
    <r>
      <rPr>
        <sz val="11"/>
        <color theme="1"/>
        <rFont val="Calibri"/>
        <family val="2"/>
        <scheme val="minor"/>
      </rPr>
      <t xml:space="preserve">
</t>
    </r>
    <r>
      <rPr>
        <b/>
        <sz val="11"/>
        <color theme="1"/>
        <rFont val="Calibri"/>
        <family val="2"/>
        <scheme val="minor"/>
      </rPr>
      <t>SCRUM-master i Sprint 5</t>
    </r>
    <r>
      <rPr>
        <sz val="11"/>
        <color theme="1"/>
        <rFont val="Calibri"/>
        <family val="2"/>
        <scheme val="minor"/>
      </rPr>
      <t xml:space="preserve">: Vegard Simonsen
</t>
    </r>
    <r>
      <rPr>
        <b/>
        <sz val="11"/>
        <color theme="1"/>
        <rFont val="Calibri"/>
        <family val="2"/>
        <scheme val="minor"/>
      </rPr>
      <t>Backend</t>
    </r>
    <r>
      <rPr>
        <sz val="11"/>
        <color theme="1"/>
        <rFont val="Calibri"/>
        <family val="2"/>
        <scheme val="minor"/>
      </rPr>
      <t xml:space="preserve">: Martin Mikalsen, Anders Rubach Ese, Adrian-Alexandru Chirita, Vegard Simonsen 
</t>
    </r>
    <r>
      <rPr>
        <b/>
        <sz val="11"/>
        <color theme="1"/>
        <rFont val="Calibri"/>
        <family val="2"/>
        <scheme val="minor"/>
      </rPr>
      <t>Frontend</t>
    </r>
    <r>
      <rPr>
        <sz val="11"/>
        <color theme="1"/>
        <rFont val="Calibri"/>
        <family val="2"/>
        <scheme val="minor"/>
      </rPr>
      <t xml:space="preserve">: Joachim Kristensen, Alexander Hansen, Eivind Blom Eriksen
</t>
    </r>
    <r>
      <rPr>
        <b/>
        <sz val="11"/>
        <color theme="1"/>
        <rFont val="Calibri"/>
        <family val="2"/>
        <scheme val="minor"/>
      </rPr>
      <t xml:space="preserve">Mandag: </t>
    </r>
    <r>
      <rPr>
        <sz val="11"/>
        <color theme="1"/>
        <rFont val="Calibri"/>
        <family val="2"/>
        <scheme val="minor"/>
      </rPr>
      <t xml:space="preserve">Et lite møte for å se hvor vi står i forhold til slutten av prosjektet.
</t>
    </r>
    <r>
      <rPr>
        <b/>
        <sz val="11"/>
        <color theme="1"/>
        <rFont val="Calibri"/>
        <family val="2"/>
        <scheme val="minor"/>
      </rPr>
      <t xml:space="preserve">Lørdag: </t>
    </r>
    <r>
      <rPr>
        <sz val="11"/>
        <color theme="1"/>
        <rFont val="Calibri"/>
        <family val="2"/>
        <scheme val="minor"/>
      </rPr>
      <t>Etter at jeg lagde registrering med hashing av passord, måtte jeg sette opp innloggingen slik at den dekrypterte hashen fra databasen, slik at ingen passord blir lagret synlig. Deretter startet jeg å rydde opp i koden, og satte på et par filter ved registrering.</t>
    </r>
    <r>
      <rPr>
        <b/>
        <sz val="11"/>
        <color theme="1"/>
        <rFont val="Calibri"/>
        <family val="2"/>
        <scheme val="minor"/>
      </rPr>
      <t xml:space="preserve">
Søndag: </t>
    </r>
    <r>
      <rPr>
        <sz val="11"/>
        <color theme="1"/>
        <rFont val="Calibri"/>
        <family val="2"/>
        <scheme val="minor"/>
      </rPr>
      <t>Fortsatte med oppryddingen fra i går, og satte opp flere filter slik at registreringen er "idiot-sikker". Deretter tok jeg en liten finpuss på hvordan utseende er, både backend og frontend.
Denne uken ble det lite arbeid på meg, dette er pga vi har nylig fått informasjon om at alle eksamenene skulle foregå digitalt, dermed har jeg brukt uken på å flytte hjem.</t>
    </r>
  </si>
  <si>
    <r>
      <rPr>
        <b/>
        <sz val="11"/>
        <color theme="1"/>
        <rFont val="Calibri"/>
        <family val="2"/>
        <scheme val="minor"/>
      </rPr>
      <t>Roller:</t>
    </r>
    <r>
      <rPr>
        <sz val="11"/>
        <color theme="1"/>
        <rFont val="Calibri"/>
        <family val="2"/>
        <scheme val="minor"/>
      </rPr>
      <t xml:space="preserve">
</t>
    </r>
    <r>
      <rPr>
        <b/>
        <sz val="11"/>
        <color theme="1"/>
        <rFont val="Calibri"/>
        <family val="2"/>
        <scheme val="minor"/>
      </rPr>
      <t>SCRUM-master i Sprint 5</t>
    </r>
    <r>
      <rPr>
        <sz val="11"/>
        <color theme="1"/>
        <rFont val="Calibri"/>
        <family val="2"/>
        <scheme val="minor"/>
      </rPr>
      <t xml:space="preserve">: Vegard Simonsen
</t>
    </r>
    <r>
      <rPr>
        <b/>
        <sz val="11"/>
        <color theme="1"/>
        <rFont val="Calibri"/>
        <family val="2"/>
        <scheme val="minor"/>
      </rPr>
      <t>Backend</t>
    </r>
    <r>
      <rPr>
        <sz val="11"/>
        <color theme="1"/>
        <rFont val="Calibri"/>
        <family val="2"/>
        <scheme val="minor"/>
      </rPr>
      <t xml:space="preserve">: Martin Mikalsen, Anders Rubach Ese, Adrian-Alexandru Chirita, Vegard Simonsen 
</t>
    </r>
    <r>
      <rPr>
        <b/>
        <sz val="11"/>
        <color theme="1"/>
        <rFont val="Calibri"/>
        <family val="2"/>
        <scheme val="minor"/>
      </rPr>
      <t>Frontend</t>
    </r>
    <r>
      <rPr>
        <sz val="11"/>
        <color theme="1"/>
        <rFont val="Calibri"/>
        <family val="2"/>
        <scheme val="minor"/>
      </rPr>
      <t xml:space="preserve">: Joachim Kristensen, Alexander Hansen, Eivind Blom Eriksen
</t>
    </r>
    <r>
      <rPr>
        <b/>
        <sz val="11"/>
        <color theme="1"/>
        <rFont val="Calibri"/>
        <family val="2"/>
        <scheme val="minor"/>
      </rPr>
      <t xml:space="preserve">Lørdag: </t>
    </r>
  </si>
  <si>
    <r>
      <t xml:space="preserve">Utvikling: </t>
    </r>
    <r>
      <rPr>
        <sz val="12"/>
        <color theme="1"/>
        <rFont val="Calibri"/>
        <family val="2"/>
        <scheme val="minor"/>
      </rPr>
      <t>Fuilførte opprydding av registrering og innlogging, deretter merget sammen med hoved branch.</t>
    </r>
  </si>
  <si>
    <r>
      <t>Utvikling:</t>
    </r>
    <r>
      <rPr>
        <sz val="12"/>
        <color theme="1"/>
        <rFont val="Calibri"/>
        <family val="2"/>
        <scheme val="minor"/>
      </rPr>
      <t xml:space="preserve"> Skjedde noen feil under merging, retter opp i dette</t>
    </r>
  </si>
  <si>
    <r>
      <t xml:space="preserve">Utvikling: </t>
    </r>
    <r>
      <rPr>
        <sz val="12"/>
        <color theme="1"/>
        <rFont val="Calibri"/>
        <family val="2"/>
        <scheme val="minor"/>
      </rPr>
      <t>Satt inn epost verifikasjon av bruker samt filtrering i innlogging</t>
    </r>
  </si>
  <si>
    <r>
      <rPr>
        <b/>
        <sz val="12"/>
        <color theme="1"/>
        <rFont val="Calibri"/>
        <family val="2"/>
        <scheme val="minor"/>
      </rPr>
      <t>Utvikling:</t>
    </r>
    <r>
      <rPr>
        <sz val="12"/>
        <color theme="1"/>
        <rFont val="Calibri"/>
        <family val="2"/>
        <scheme val="minor"/>
      </rPr>
      <t xml:space="preserve"> Visning av dine emner som emneansvarlig</t>
    </r>
  </si>
  <si>
    <r>
      <rPr>
        <b/>
        <sz val="12"/>
        <color theme="1"/>
        <rFont val="Calibri"/>
        <family val="2"/>
        <scheme val="minor"/>
      </rPr>
      <t>Utvikling</t>
    </r>
    <r>
      <rPr>
        <sz val="12"/>
        <color theme="1"/>
        <rFont val="Calibri"/>
        <family val="2"/>
        <scheme val="minor"/>
      </rPr>
      <t>: Jobbet med visning av emne til emneansvarlig</t>
    </r>
  </si>
  <si>
    <r>
      <rPr>
        <b/>
        <sz val="12"/>
        <color theme="1"/>
        <rFont val="Calibri"/>
        <family val="2"/>
        <scheme val="minor"/>
      </rPr>
      <t>Utvikling:</t>
    </r>
    <r>
      <rPr>
        <sz val="12"/>
        <color theme="1"/>
        <rFont val="Calibri"/>
        <family val="2"/>
        <scheme val="minor"/>
      </rPr>
      <t xml:space="preserve"> Testing av visning av emne til emneansvarlig</t>
    </r>
  </si>
  <si>
    <r>
      <rPr>
        <b/>
        <sz val="12"/>
        <color theme="1"/>
        <rFont val="Calibri"/>
        <family val="2"/>
        <scheme val="minor"/>
      </rPr>
      <t>Logg/Oppgaver</t>
    </r>
    <r>
      <rPr>
        <sz val="12"/>
        <color theme="1"/>
        <rFont val="Calibri"/>
        <family val="2"/>
        <scheme val="minor"/>
      </rPr>
      <t>: Ordnet nødvendige papirer i plenum til innlevering på søndag</t>
    </r>
  </si>
  <si>
    <t>39.1</t>
  </si>
  <si>
    <t>39.2</t>
  </si>
  <si>
    <t>25.1</t>
  </si>
  <si>
    <r>
      <t xml:space="preserve">Administrativt: </t>
    </r>
    <r>
      <rPr>
        <sz val="12"/>
        <color theme="1"/>
        <rFont val="Calibri"/>
        <family val="2"/>
        <scheme val="minor"/>
      </rPr>
      <t>Diskusjon og arbeid angående slutt presentasjon</t>
    </r>
  </si>
  <si>
    <r>
      <t xml:space="preserve">Administrativt: </t>
    </r>
    <r>
      <rPr>
        <sz val="12"/>
        <color theme="1"/>
        <rFont val="Calibri"/>
        <family val="2"/>
        <scheme val="minor"/>
      </rPr>
      <t>Testing av nettside i plenum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</si>
</sst>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hh:mm;@"/>
    <numFmt numFmtId="166" formatCode="[h]:mm"/>
    <numFmt numFmtId="167" formatCode="yyyy\-mm\-dd;@"/>
    <numFmt numFmtId="168" formatCode="[hh]:mm;@"/>
  </numFmts>
  <fonts count="38" x14ac:knownFonts="1">
    <font>
      <sz val="10"/>
      <color theme="1"/>
      <name val="Verdan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i/>
      <sz val="10"/>
      <color theme="1"/>
      <name val="Verdana"/>
      <family val="2"/>
    </font>
    <font>
      <sz val="9"/>
      <color theme="1"/>
      <name val="Verdana"/>
      <family val="2"/>
    </font>
    <font>
      <i/>
      <sz val="9"/>
      <color theme="1"/>
      <name val="Verdana"/>
      <family val="2"/>
    </font>
    <font>
      <b/>
      <sz val="9"/>
      <color theme="8" tint="-0.249977111117893"/>
      <name val="Verdana"/>
      <family val="2"/>
    </font>
    <font>
      <sz val="8"/>
      <color theme="1"/>
      <name val="Verdana"/>
      <family val="2"/>
    </font>
    <font>
      <b/>
      <sz val="10"/>
      <color theme="8" tint="-0.249977111117893"/>
      <name val="Verdana"/>
      <family val="2"/>
    </font>
    <font>
      <u/>
      <sz val="10"/>
      <color theme="10"/>
      <name val="Verdana"/>
      <family val="2"/>
    </font>
    <font>
      <sz val="10"/>
      <color theme="10"/>
      <name val="Verdana"/>
      <family val="2"/>
    </font>
    <font>
      <sz val="11"/>
      <color theme="1"/>
      <name val="Verdana"/>
      <family val="2"/>
    </font>
    <font>
      <sz val="18"/>
      <color theme="1"/>
      <name val="Verdana"/>
      <family val="2"/>
    </font>
    <font>
      <sz val="10"/>
      <color theme="1"/>
      <name val="Verdana"/>
      <family val="2"/>
    </font>
    <font>
      <sz val="20"/>
      <color theme="1"/>
      <name val="Verdana"/>
      <family val="2"/>
    </font>
    <font>
      <b/>
      <sz val="18"/>
      <color theme="1"/>
      <name val="Calibri Light"/>
      <family val="2"/>
      <scheme val="major"/>
    </font>
    <font>
      <sz val="12"/>
      <color theme="1"/>
      <name val="Calibri"/>
      <family val="2"/>
      <scheme val="minor"/>
    </font>
    <font>
      <b/>
      <sz val="12"/>
      <color theme="1"/>
      <name val="Calibri Light"/>
      <family val="2"/>
      <scheme val="major"/>
    </font>
    <font>
      <b/>
      <sz val="12"/>
      <color theme="1"/>
      <name val="Calibri"/>
      <family val="2"/>
      <scheme val="minor"/>
    </font>
    <font>
      <b/>
      <sz val="12"/>
      <color theme="8" tint="-0.249977111117893"/>
      <name val="Calibri"/>
      <family val="2"/>
      <scheme val="minor"/>
    </font>
    <font>
      <b/>
      <sz val="16"/>
      <color theme="1"/>
      <name val="Calibri"/>
      <family val="2"/>
      <scheme val="minor"/>
    </font>
    <font>
      <b/>
      <sz val="18"/>
      <color theme="1"/>
      <name val="Calibri"/>
      <family val="2"/>
      <scheme val="minor"/>
    </font>
    <font>
      <sz val="10"/>
      <color theme="1"/>
      <name val="Calibri"/>
      <family val="2"/>
      <scheme val="minor"/>
    </font>
    <font>
      <sz val="20"/>
      <color theme="1"/>
      <name val="Calibri"/>
      <family val="2"/>
      <scheme val="minor"/>
    </font>
    <font>
      <b/>
      <sz val="12"/>
      <color rgb="FF305496"/>
      <name val="Calibri"/>
      <family val="2"/>
    </font>
    <font>
      <b/>
      <sz val="11"/>
      <color theme="1"/>
      <name val="Verdana"/>
      <family val="2"/>
    </font>
    <font>
      <b/>
      <sz val="11"/>
      <color theme="1"/>
      <name val="Calibri"/>
      <family val="2"/>
      <scheme val="minor"/>
    </font>
    <font>
      <b/>
      <sz val="10"/>
      <color theme="1"/>
      <name val="Verdana"/>
      <family val="2"/>
    </font>
  </fonts>
  <fills count="12">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9" tint="0.59999389629810485"/>
        <bgColor indexed="65"/>
      </patternFill>
    </fill>
    <fill>
      <patternFill patternType="solid">
        <fgColor rgb="FFFF5757"/>
        <bgColor indexed="64"/>
      </patternFill>
    </fill>
    <fill>
      <patternFill patternType="solid">
        <fgColor theme="9" tint="0.59999389629810485"/>
        <bgColor indexed="64"/>
      </patternFill>
    </fill>
    <fill>
      <patternFill patternType="solid">
        <fgColor theme="7" tint="0.59999389629810485"/>
        <bgColor indexed="64"/>
      </patternFill>
    </fill>
  </fills>
  <borders count="2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ck">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rgb="FF000000"/>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style="medium">
        <color auto="1"/>
      </top>
      <bottom/>
      <diagonal/>
    </border>
    <border>
      <left/>
      <right style="medium">
        <color rgb="FF000000"/>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0" fontId="19" fillId="0" borderId="0" applyNumberFormat="0" applyFill="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cellStyleXfs>
  <cellXfs count="305">
    <xf numFmtId="0" fontId="0" fillId="0" borderId="0" xfId="0"/>
    <xf numFmtId="0" fontId="0" fillId="0" borderId="0" xfId="0" applyAlignment="1">
      <alignment vertical="center"/>
    </xf>
    <xf numFmtId="0" fontId="0" fillId="0" borderId="1" xfId="0" applyBorder="1"/>
    <xf numFmtId="14" fontId="0" fillId="0" borderId="1" xfId="0" applyNumberFormat="1" applyBorder="1"/>
    <xf numFmtId="0" fontId="13" fillId="2" borderId="1" xfId="0" applyFont="1" applyFill="1" applyBorder="1"/>
    <xf numFmtId="0" fontId="0" fillId="0" borderId="0" xfId="0" applyBorder="1"/>
    <xf numFmtId="0" fontId="20" fillId="3" borderId="0" xfId="1" applyFont="1" applyFill="1" applyBorder="1" applyAlignment="1">
      <alignment horizontal="center" vertical="center"/>
    </xf>
    <xf numFmtId="0" fontId="0" fillId="3" borderId="0" xfId="0" applyFill="1" applyBorder="1"/>
    <xf numFmtId="164" fontId="14" fillId="3" borderId="0" xfId="0" applyNumberFormat="1" applyFont="1" applyFill="1" applyBorder="1" applyAlignment="1">
      <alignment horizontal="center"/>
    </xf>
    <xf numFmtId="0" fontId="17" fillId="3" borderId="0" xfId="0" applyFont="1" applyFill="1" applyBorder="1"/>
    <xf numFmtId="164" fontId="18" fillId="3" borderId="0" xfId="0" applyNumberFormat="1" applyFont="1" applyFill="1" applyBorder="1" applyAlignment="1">
      <alignment horizontal="center"/>
    </xf>
    <xf numFmtId="164" fontId="16" fillId="3" borderId="0" xfId="0" applyNumberFormat="1" applyFont="1" applyFill="1" applyBorder="1" applyAlignment="1">
      <alignment horizontal="center"/>
    </xf>
    <xf numFmtId="20" fontId="14" fillId="0" borderId="0" xfId="0" applyNumberFormat="1" applyFont="1" applyBorder="1" applyAlignment="1">
      <alignment horizontal="center"/>
    </xf>
    <xf numFmtId="0" fontId="0" fillId="3" borderId="0" xfId="0" applyFill="1" applyBorder="1" applyAlignment="1">
      <alignment vertical="center"/>
    </xf>
    <xf numFmtId="0" fontId="15" fillId="0" borderId="0" xfId="0" applyFont="1" applyAlignment="1"/>
    <xf numFmtId="0" fontId="0" fillId="0" borderId="0" xfId="0" applyBorder="1" applyAlignment="1">
      <alignment horizontal="right"/>
    </xf>
    <xf numFmtId="0" fontId="18" fillId="0" borderId="0" xfId="0" applyFont="1" applyBorder="1" applyAlignment="1">
      <alignment horizontal="center"/>
    </xf>
    <xf numFmtId="0" fontId="18" fillId="0" borderId="0" xfId="0" applyFont="1" applyBorder="1" applyAlignment="1">
      <alignment horizontal="right"/>
    </xf>
    <xf numFmtId="165" fontId="16" fillId="0" borderId="0" xfId="0" applyNumberFormat="1" applyFont="1" applyFill="1" applyBorder="1" applyAlignment="1">
      <alignment horizontal="center"/>
    </xf>
    <xf numFmtId="165" fontId="22" fillId="0" borderId="0" xfId="0" applyNumberFormat="1" applyFont="1" applyAlignment="1">
      <alignment vertical="top"/>
    </xf>
    <xf numFmtId="0" fontId="21" fillId="0" borderId="0" xfId="0" applyFont="1" applyAlignment="1">
      <alignment vertical="center"/>
    </xf>
    <xf numFmtId="165" fontId="0" fillId="0" borderId="0" xfId="0" applyNumberFormat="1"/>
    <xf numFmtId="165" fontId="23" fillId="0" borderId="0" xfId="0" applyNumberFormat="1" applyFont="1" applyBorder="1" applyAlignment="1"/>
    <xf numFmtId="0" fontId="23" fillId="0" borderId="0" xfId="0" applyFont="1" applyAlignment="1">
      <alignment vertical="top"/>
    </xf>
    <xf numFmtId="0" fontId="23" fillId="0" borderId="0" xfId="0" applyFont="1" applyAlignment="1">
      <alignment vertical="top" wrapText="1"/>
    </xf>
    <xf numFmtId="0" fontId="23" fillId="0" borderId="0" xfId="0" applyFont="1"/>
    <xf numFmtId="0" fontId="24" fillId="3" borderId="0" xfId="3" applyFont="1" applyFill="1" applyBorder="1" applyAlignment="1">
      <alignment horizontal="centerContinuous" vertical="center"/>
    </xf>
    <xf numFmtId="0" fontId="17" fillId="0" borderId="2" xfId="0" applyFont="1" applyBorder="1"/>
    <xf numFmtId="0" fontId="25" fillId="0" borderId="2" xfId="0" applyFont="1" applyBorder="1" applyAlignment="1"/>
    <xf numFmtId="0" fontId="0" fillId="0" borderId="0" xfId="0" applyBorder="1" applyAlignment="1">
      <alignment vertical="top"/>
    </xf>
    <xf numFmtId="0" fontId="0" fillId="0" borderId="0" xfId="0" applyBorder="1" applyAlignment="1">
      <alignment vertical="top" wrapText="1"/>
    </xf>
    <xf numFmtId="14" fontId="26" fillId="0" borderId="10" xfId="0" applyNumberFormat="1" applyFont="1" applyBorder="1" applyAlignment="1">
      <alignment horizontal="left"/>
    </xf>
    <xf numFmtId="20" fontId="26" fillId="0" borderId="2" xfId="0" applyNumberFormat="1" applyFont="1" applyBorder="1" applyAlignment="1">
      <alignment horizontal="left"/>
    </xf>
    <xf numFmtId="0" fontId="29" fillId="0" borderId="0" xfId="0" applyFont="1" applyBorder="1" applyAlignment="1">
      <alignment horizontal="left"/>
    </xf>
    <xf numFmtId="0" fontId="28" fillId="4" borderId="0" xfId="2" applyFont="1" applyAlignment="1">
      <alignment horizontal="center" vertical="top"/>
    </xf>
    <xf numFmtId="0" fontId="28" fillId="7" borderId="0" xfId="5" applyFont="1" applyAlignment="1">
      <alignment horizontal="center" vertical="top"/>
    </xf>
    <xf numFmtId="0" fontId="28" fillId="9" borderId="0" xfId="4" applyFont="1" applyFill="1" applyAlignment="1">
      <alignment horizontal="center" vertical="top"/>
    </xf>
    <xf numFmtId="0" fontId="28" fillId="8" borderId="2" xfId="6" applyFont="1" applyBorder="1" applyAlignment="1">
      <alignment horizontal="center" vertical="center"/>
    </xf>
    <xf numFmtId="165" fontId="28" fillId="0" borderId="0" xfId="0" applyNumberFormat="1" applyFont="1" applyAlignment="1">
      <alignment horizontal="center" vertical="center"/>
    </xf>
    <xf numFmtId="165" fontId="28" fillId="0" borderId="0" xfId="0" applyNumberFormat="1" applyFont="1" applyBorder="1" applyAlignment="1">
      <alignment horizontal="center" vertical="center"/>
    </xf>
    <xf numFmtId="165" fontId="28" fillId="0" borderId="2" xfId="0" applyNumberFormat="1" applyFont="1" applyBorder="1" applyAlignment="1">
      <alignment horizontal="center" vertical="center"/>
    </xf>
    <xf numFmtId="0" fontId="29" fillId="0" borderId="0" xfId="0" applyFont="1" applyAlignment="1">
      <alignment horizontal="left"/>
    </xf>
    <xf numFmtId="165" fontId="30" fillId="0" borderId="2" xfId="0" applyNumberFormat="1" applyFont="1" applyBorder="1" applyAlignment="1">
      <alignment horizontal="left" vertical="top"/>
    </xf>
    <xf numFmtId="165" fontId="31" fillId="0" borderId="2" xfId="0" applyNumberFormat="1" applyFont="1" applyBorder="1" applyAlignment="1">
      <alignment vertical="top"/>
    </xf>
    <xf numFmtId="0" fontId="32" fillId="0" borderId="2" xfId="0" applyFont="1" applyBorder="1" applyAlignment="1">
      <alignment vertical="top" wrapText="1"/>
    </xf>
    <xf numFmtId="14" fontId="28" fillId="0" borderId="2" xfId="0" applyNumberFormat="1" applyFont="1" applyBorder="1" applyAlignment="1">
      <alignment horizontal="left" vertical="top"/>
    </xf>
    <xf numFmtId="0" fontId="29" fillId="0" borderId="0" xfId="0" applyFont="1" applyAlignment="1">
      <alignment horizontal="center"/>
    </xf>
    <xf numFmtId="0" fontId="33" fillId="5" borderId="6" xfId="3" applyFont="1" applyBorder="1" applyAlignment="1">
      <alignment horizontal="left"/>
    </xf>
    <xf numFmtId="0" fontId="33" fillId="5" borderId="6" xfId="3" applyFont="1" applyBorder="1" applyAlignment="1"/>
    <xf numFmtId="0" fontId="33" fillId="5" borderId="6" xfId="3" applyFont="1" applyBorder="1" applyAlignment="1">
      <alignment horizontal="center" vertical="center"/>
    </xf>
    <xf numFmtId="165" fontId="27" fillId="3" borderId="2" xfId="6" applyNumberFormat="1" applyFont="1" applyFill="1" applyBorder="1" applyAlignment="1">
      <alignment horizontal="left" vertical="top"/>
    </xf>
    <xf numFmtId="0" fontId="0" fillId="0" borderId="12" xfId="0" applyBorder="1"/>
    <xf numFmtId="0" fontId="0" fillId="0" borderId="13" xfId="0" applyBorder="1"/>
    <xf numFmtId="0" fontId="0" fillId="0" borderId="14" xfId="0" applyBorder="1"/>
    <xf numFmtId="0" fontId="34" fillId="0" borderId="0" xfId="0" applyFont="1"/>
    <xf numFmtId="14" fontId="28" fillId="5" borderId="3" xfId="3" applyNumberFormat="1" applyFont="1" applyBorder="1" applyAlignment="1">
      <alignment horizontal="left"/>
    </xf>
    <xf numFmtId="165" fontId="28" fillId="5" borderId="0" xfId="3" applyNumberFormat="1" applyFont="1" applyBorder="1" applyAlignment="1">
      <alignment horizontal="left"/>
    </xf>
    <xf numFmtId="14" fontId="28" fillId="4" borderId="7" xfId="2" applyNumberFormat="1" applyFont="1" applyBorder="1" applyAlignment="1">
      <alignment horizontal="left"/>
    </xf>
    <xf numFmtId="165" fontId="28" fillId="4" borderId="8" xfId="2" applyNumberFormat="1" applyFont="1" applyBorder="1" applyAlignment="1">
      <alignment horizontal="left"/>
    </xf>
    <xf numFmtId="14" fontId="28" fillId="4" borderId="3" xfId="2" applyNumberFormat="1" applyFont="1" applyBorder="1" applyAlignment="1">
      <alignment horizontal="left"/>
    </xf>
    <xf numFmtId="165" fontId="28" fillId="4" borderId="0" xfId="2" applyNumberFormat="1" applyFont="1" applyBorder="1" applyAlignment="1">
      <alignment horizontal="left"/>
    </xf>
    <xf numFmtId="165" fontId="28" fillId="4" borderId="8" xfId="2" applyNumberFormat="1" applyFont="1" applyBorder="1" applyAlignment="1">
      <alignment horizontal="left" vertical="top"/>
    </xf>
    <xf numFmtId="165" fontId="28" fillId="4" borderId="0" xfId="2" applyNumberFormat="1" applyFont="1" applyBorder="1" applyAlignment="1">
      <alignment horizontal="left" vertical="top"/>
    </xf>
    <xf numFmtId="165" fontId="28" fillId="3" borderId="0" xfId="6" applyNumberFormat="1" applyFont="1" applyFill="1" applyBorder="1" applyAlignment="1">
      <alignment horizontal="left" vertical="top"/>
    </xf>
    <xf numFmtId="14" fontId="28" fillId="2" borderId="3" xfId="3" applyNumberFormat="1" applyFont="1" applyFill="1" applyBorder="1" applyAlignment="1">
      <alignment horizontal="left"/>
    </xf>
    <xf numFmtId="165" fontId="28" fillId="2" borderId="0" xfId="3" applyNumberFormat="1" applyFont="1" applyFill="1" applyBorder="1" applyAlignment="1">
      <alignment horizontal="left"/>
    </xf>
    <xf numFmtId="165" fontId="28" fillId="2" borderId="0" xfId="2" applyNumberFormat="1" applyFont="1" applyFill="1" applyBorder="1" applyAlignment="1">
      <alignment horizontal="left" vertical="top"/>
    </xf>
    <xf numFmtId="165" fontId="27" fillId="2" borderId="0" xfId="2" applyNumberFormat="1" applyFont="1" applyFill="1" applyBorder="1" applyAlignment="1">
      <alignment horizontal="left" vertical="top"/>
    </xf>
    <xf numFmtId="14" fontId="28" fillId="2" borderId="3" xfId="0" applyNumberFormat="1" applyFont="1" applyFill="1" applyBorder="1" applyAlignment="1">
      <alignment horizontal="left"/>
    </xf>
    <xf numFmtId="165" fontId="28" fillId="2" borderId="0" xfId="0" applyNumberFormat="1" applyFont="1" applyFill="1" applyBorder="1" applyAlignment="1">
      <alignment horizontal="left"/>
    </xf>
    <xf numFmtId="14" fontId="28" fillId="10" borderId="3" xfId="3" applyNumberFormat="1" applyFont="1" applyFill="1" applyBorder="1" applyAlignment="1">
      <alignment horizontal="left"/>
    </xf>
    <xf numFmtId="165" fontId="28" fillId="10" borderId="0" xfId="3" applyNumberFormat="1" applyFont="1" applyFill="1" applyBorder="1" applyAlignment="1">
      <alignment horizontal="left"/>
    </xf>
    <xf numFmtId="165" fontId="28" fillId="10" borderId="0" xfId="6" applyNumberFormat="1" applyFont="1" applyFill="1" applyBorder="1" applyAlignment="1">
      <alignment horizontal="left" vertical="top"/>
    </xf>
    <xf numFmtId="165" fontId="27" fillId="10" borderId="0" xfId="6" applyNumberFormat="1" applyFont="1" applyFill="1" applyBorder="1" applyAlignment="1">
      <alignment horizontal="left" vertical="top"/>
    </xf>
    <xf numFmtId="14" fontId="26" fillId="10" borderId="10" xfId="0" applyNumberFormat="1" applyFont="1" applyFill="1" applyBorder="1" applyAlignment="1">
      <alignment horizontal="left"/>
    </xf>
    <xf numFmtId="20" fontId="26" fillId="10" borderId="2" xfId="0" applyNumberFormat="1" applyFont="1" applyFill="1" applyBorder="1" applyAlignment="1">
      <alignment horizontal="left"/>
    </xf>
    <xf numFmtId="165" fontId="27" fillId="10" borderId="2" xfId="6" applyNumberFormat="1" applyFont="1" applyFill="1" applyBorder="1" applyAlignment="1">
      <alignment horizontal="left" vertical="top"/>
    </xf>
    <xf numFmtId="14" fontId="28" fillId="9" borderId="3" xfId="3" applyNumberFormat="1" applyFont="1" applyFill="1" applyBorder="1" applyAlignment="1">
      <alignment horizontal="left"/>
    </xf>
    <xf numFmtId="165" fontId="28" fillId="9" borderId="0" xfId="3" applyNumberFormat="1" applyFont="1" applyFill="1" applyBorder="1" applyAlignment="1">
      <alignment horizontal="left"/>
    </xf>
    <xf numFmtId="165" fontId="28" fillId="9" borderId="0" xfId="2" applyNumberFormat="1" applyFont="1" applyFill="1" applyBorder="1" applyAlignment="1">
      <alignment horizontal="left" vertical="top"/>
    </xf>
    <xf numFmtId="165" fontId="27" fillId="9" borderId="0" xfId="2" applyNumberFormat="1" applyFont="1" applyFill="1" applyBorder="1" applyAlignment="1">
      <alignment horizontal="left" vertical="top"/>
    </xf>
    <xf numFmtId="165" fontId="28" fillId="10" borderId="0" xfId="2" applyNumberFormat="1" applyFont="1" applyFill="1" applyBorder="1" applyAlignment="1">
      <alignment horizontal="left" vertical="top"/>
    </xf>
    <xf numFmtId="14" fontId="28" fillId="10" borderId="3" xfId="0" applyNumberFormat="1" applyFont="1" applyFill="1" applyBorder="1" applyAlignment="1">
      <alignment horizontal="left"/>
    </xf>
    <xf numFmtId="165" fontId="28" fillId="10" borderId="0" xfId="0" applyNumberFormat="1" applyFont="1" applyFill="1" applyBorder="1" applyAlignment="1">
      <alignment horizontal="left"/>
    </xf>
    <xf numFmtId="165" fontId="27" fillId="10" borderId="0" xfId="2" applyNumberFormat="1" applyFont="1" applyFill="1" applyBorder="1" applyAlignment="1">
      <alignment horizontal="left" vertical="top"/>
    </xf>
    <xf numFmtId="165" fontId="28" fillId="3" borderId="0" xfId="3" applyNumberFormat="1" applyFont="1" applyFill="1" applyBorder="1" applyAlignment="1">
      <alignment horizontal="left"/>
    </xf>
    <xf numFmtId="20" fontId="26" fillId="3" borderId="2" xfId="0" applyNumberFormat="1" applyFont="1" applyFill="1" applyBorder="1" applyAlignment="1">
      <alignment horizontal="left"/>
    </xf>
    <xf numFmtId="165" fontId="28" fillId="9" borderId="8" xfId="2" applyNumberFormat="1" applyFont="1" applyFill="1" applyBorder="1" applyAlignment="1">
      <alignment horizontal="left"/>
    </xf>
    <xf numFmtId="165" fontId="28" fillId="9" borderId="8" xfId="2" applyNumberFormat="1" applyFont="1" applyFill="1" applyBorder="1" applyAlignment="1">
      <alignment horizontal="left" vertical="top"/>
    </xf>
    <xf numFmtId="166" fontId="30" fillId="0" borderId="2" xfId="0" applyNumberFormat="1" applyFont="1" applyBorder="1" applyAlignment="1">
      <alignment horizontal="left" vertical="top" wrapText="1"/>
    </xf>
    <xf numFmtId="20" fontId="26" fillId="9" borderId="2" xfId="0" applyNumberFormat="1" applyFont="1" applyFill="1" applyBorder="1" applyAlignment="1">
      <alignment horizontal="left"/>
    </xf>
    <xf numFmtId="165" fontId="27" fillId="9" borderId="2" xfId="6" applyNumberFormat="1" applyFont="1" applyFill="1" applyBorder="1" applyAlignment="1">
      <alignment horizontal="left" vertical="top"/>
    </xf>
    <xf numFmtId="165" fontId="28" fillId="9" borderId="2" xfId="2" applyNumberFormat="1" applyFont="1" applyFill="1" applyBorder="1" applyAlignment="1">
      <alignment horizontal="left"/>
    </xf>
    <xf numFmtId="165" fontId="28" fillId="9" borderId="2" xfId="2" applyNumberFormat="1" applyFont="1" applyFill="1" applyBorder="1" applyAlignment="1">
      <alignment horizontal="left" vertical="top"/>
    </xf>
    <xf numFmtId="165" fontId="28" fillId="10" borderId="8" xfId="3" applyNumberFormat="1" applyFont="1" applyFill="1" applyBorder="1" applyAlignment="1">
      <alignment horizontal="left"/>
    </xf>
    <xf numFmtId="165" fontId="28" fillId="10" borderId="8" xfId="2" applyNumberFormat="1" applyFont="1" applyFill="1" applyBorder="1" applyAlignment="1">
      <alignment horizontal="left" vertical="top"/>
    </xf>
    <xf numFmtId="165" fontId="28" fillId="10" borderId="2" xfId="3" applyNumberFormat="1" applyFont="1" applyFill="1" applyBorder="1" applyAlignment="1">
      <alignment horizontal="left"/>
    </xf>
    <xf numFmtId="165" fontId="27" fillId="10" borderId="2" xfId="2" applyNumberFormat="1" applyFont="1" applyFill="1" applyBorder="1" applyAlignment="1">
      <alignment horizontal="left" vertical="top"/>
    </xf>
    <xf numFmtId="165" fontId="28" fillId="10" borderId="2" xfId="0" applyNumberFormat="1" applyFont="1" applyFill="1" applyBorder="1" applyAlignment="1">
      <alignment horizontal="left"/>
    </xf>
    <xf numFmtId="165" fontId="28" fillId="10" borderId="8" xfId="6" applyNumberFormat="1" applyFont="1" applyFill="1" applyBorder="1" applyAlignment="1">
      <alignment horizontal="left" vertical="top"/>
    </xf>
    <xf numFmtId="165" fontId="28" fillId="9" borderId="8" xfId="3" applyNumberFormat="1" applyFont="1" applyFill="1" applyBorder="1" applyAlignment="1">
      <alignment horizontal="left"/>
    </xf>
    <xf numFmtId="165" fontId="28" fillId="9" borderId="8" xfId="6" applyNumberFormat="1" applyFont="1" applyFill="1" applyBorder="1" applyAlignment="1">
      <alignment horizontal="left" vertical="top"/>
    </xf>
    <xf numFmtId="165" fontId="28" fillId="9" borderId="0" xfId="6" applyNumberFormat="1" applyFont="1" applyFill="1" applyBorder="1" applyAlignment="1">
      <alignment horizontal="left" vertical="top"/>
    </xf>
    <xf numFmtId="167" fontId="28" fillId="0" borderId="2" xfId="0" applyNumberFormat="1" applyFont="1" applyBorder="1" applyAlignment="1">
      <alignment horizontal="left" vertical="top"/>
    </xf>
    <xf numFmtId="167" fontId="28" fillId="9" borderId="7" xfId="2" applyNumberFormat="1" applyFont="1" applyFill="1" applyBorder="1" applyAlignment="1">
      <alignment horizontal="left"/>
    </xf>
    <xf numFmtId="167" fontId="28" fillId="9" borderId="10" xfId="2" applyNumberFormat="1" applyFont="1" applyFill="1" applyBorder="1" applyAlignment="1">
      <alignment horizontal="left"/>
    </xf>
    <xf numFmtId="167" fontId="28" fillId="10" borderId="7" xfId="3" applyNumberFormat="1" applyFont="1" applyFill="1" applyBorder="1" applyAlignment="1">
      <alignment horizontal="left"/>
    </xf>
    <xf numFmtId="167" fontId="28" fillId="10" borderId="10" xfId="3" applyNumberFormat="1" applyFont="1" applyFill="1" applyBorder="1" applyAlignment="1">
      <alignment horizontal="left"/>
    </xf>
    <xf numFmtId="167" fontId="28" fillId="10" borderId="10" xfId="0" applyNumberFormat="1" applyFont="1" applyFill="1" applyBorder="1" applyAlignment="1">
      <alignment horizontal="left"/>
    </xf>
    <xf numFmtId="167" fontId="28" fillId="9" borderId="7" xfId="3" applyNumberFormat="1" applyFont="1" applyFill="1" applyBorder="1" applyAlignment="1">
      <alignment horizontal="left"/>
    </xf>
    <xf numFmtId="167" fontId="26" fillId="9" borderId="10" xfId="0" applyNumberFormat="1" applyFont="1" applyFill="1" applyBorder="1" applyAlignment="1">
      <alignment horizontal="left"/>
    </xf>
    <xf numFmtId="167" fontId="26" fillId="10" borderId="10" xfId="0" applyNumberFormat="1" applyFont="1" applyFill="1" applyBorder="1" applyAlignment="1">
      <alignment horizontal="left"/>
    </xf>
    <xf numFmtId="167" fontId="28" fillId="9" borderId="3" xfId="3" applyNumberFormat="1" applyFont="1" applyFill="1" applyBorder="1" applyAlignment="1">
      <alignment horizontal="left"/>
    </xf>
    <xf numFmtId="0" fontId="0" fillId="0" borderId="2" xfId="0" applyBorder="1"/>
    <xf numFmtId="0" fontId="0" fillId="0" borderId="2" xfId="0" applyBorder="1" applyAlignment="1">
      <alignment vertical="top" wrapText="1"/>
    </xf>
    <xf numFmtId="0" fontId="29" fillId="0" borderId="2" xfId="0" applyFont="1" applyBorder="1" applyAlignment="1">
      <alignment horizontal="left"/>
    </xf>
    <xf numFmtId="0" fontId="0" fillId="0" borderId="17" xfId="0" applyBorder="1"/>
    <xf numFmtId="0" fontId="0" fillId="0" borderId="18" xfId="0" applyBorder="1"/>
    <xf numFmtId="0" fontId="0" fillId="0" borderId="19" xfId="0" applyBorder="1"/>
    <xf numFmtId="167" fontId="28" fillId="10" borderId="3" xfId="3" applyNumberFormat="1" applyFont="1" applyFill="1" applyBorder="1" applyAlignment="1">
      <alignment horizontal="left"/>
    </xf>
    <xf numFmtId="165" fontId="28" fillId="2" borderId="8" xfId="2" applyNumberFormat="1" applyFont="1" applyFill="1" applyBorder="1" applyAlignment="1">
      <alignment horizontal="left"/>
    </xf>
    <xf numFmtId="165" fontId="28" fillId="2" borderId="8" xfId="2" applyNumberFormat="1" applyFont="1" applyFill="1" applyBorder="1" applyAlignment="1">
      <alignment horizontal="left" vertical="top"/>
    </xf>
    <xf numFmtId="167" fontId="28" fillId="3" borderId="7" xfId="3" applyNumberFormat="1" applyFont="1" applyFill="1" applyBorder="1" applyAlignment="1">
      <alignment horizontal="left"/>
    </xf>
    <xf numFmtId="165" fontId="28" fillId="3" borderId="8" xfId="3" applyNumberFormat="1" applyFont="1" applyFill="1" applyBorder="1" applyAlignment="1">
      <alignment horizontal="left"/>
    </xf>
    <xf numFmtId="165" fontId="28" fillId="3" borderId="8" xfId="6" applyNumberFormat="1" applyFont="1" applyFill="1" applyBorder="1" applyAlignment="1">
      <alignment horizontal="left" vertical="top"/>
    </xf>
    <xf numFmtId="167" fontId="26" fillId="3" borderId="10" xfId="0" applyNumberFormat="1" applyFont="1" applyFill="1" applyBorder="1" applyAlignment="1">
      <alignment horizontal="left"/>
    </xf>
    <xf numFmtId="167" fontId="28" fillId="3" borderId="3" xfId="3" applyNumberFormat="1" applyFont="1" applyFill="1" applyBorder="1" applyAlignment="1">
      <alignment horizontal="left"/>
    </xf>
    <xf numFmtId="167" fontId="28" fillId="2" borderId="7" xfId="2" applyNumberFormat="1" applyFont="1" applyFill="1" applyBorder="1" applyAlignment="1">
      <alignment horizontal="left"/>
    </xf>
    <xf numFmtId="167" fontId="28" fillId="2" borderId="10" xfId="2" applyNumberFormat="1" applyFont="1" applyFill="1" applyBorder="1" applyAlignment="1">
      <alignment horizontal="left"/>
    </xf>
    <xf numFmtId="165" fontId="28" fillId="2" borderId="2" xfId="2" applyNumberFormat="1" applyFont="1" applyFill="1" applyBorder="1" applyAlignment="1">
      <alignment horizontal="left"/>
    </xf>
    <xf numFmtId="165" fontId="28" fillId="2" borderId="2" xfId="2" applyNumberFormat="1" applyFont="1" applyFill="1" applyBorder="1" applyAlignment="1">
      <alignment horizontal="left" vertical="top"/>
    </xf>
    <xf numFmtId="167" fontId="28" fillId="11" borderId="7" xfId="3" applyNumberFormat="1" applyFont="1" applyFill="1" applyBorder="1" applyAlignment="1">
      <alignment horizontal="left"/>
    </xf>
    <xf numFmtId="165" fontId="28" fillId="11" borderId="8" xfId="3" applyNumberFormat="1" applyFont="1" applyFill="1" applyBorder="1" applyAlignment="1">
      <alignment horizontal="left"/>
    </xf>
    <xf numFmtId="165" fontId="28" fillId="11" borderId="8" xfId="2" applyNumberFormat="1" applyFont="1" applyFill="1" applyBorder="1" applyAlignment="1">
      <alignment horizontal="left" vertical="top"/>
    </xf>
    <xf numFmtId="167" fontId="28" fillId="11" borderId="10" xfId="3" applyNumberFormat="1" applyFont="1" applyFill="1" applyBorder="1" applyAlignment="1">
      <alignment horizontal="left"/>
    </xf>
    <xf numFmtId="165" fontId="28" fillId="11" borderId="2" xfId="3" applyNumberFormat="1" applyFont="1" applyFill="1" applyBorder="1" applyAlignment="1">
      <alignment horizontal="left"/>
    </xf>
    <xf numFmtId="165" fontId="27" fillId="11" borderId="2" xfId="2" applyNumberFormat="1" applyFont="1" applyFill="1" applyBorder="1" applyAlignment="1">
      <alignment horizontal="left" vertical="top"/>
    </xf>
    <xf numFmtId="167" fontId="28" fillId="9" borderId="10" xfId="0" applyNumberFormat="1" applyFont="1" applyFill="1" applyBorder="1" applyAlignment="1">
      <alignment horizontal="left"/>
    </xf>
    <xf numFmtId="165" fontId="28" fillId="9" borderId="2" xfId="0" applyNumberFormat="1" applyFont="1" applyFill="1" applyBorder="1" applyAlignment="1">
      <alignment horizontal="left"/>
    </xf>
    <xf numFmtId="165" fontId="27" fillId="9" borderId="2" xfId="2" applyNumberFormat="1" applyFont="1" applyFill="1" applyBorder="1" applyAlignment="1">
      <alignment horizontal="left" vertical="top"/>
    </xf>
    <xf numFmtId="165" fontId="28" fillId="11" borderId="8" xfId="6" applyNumberFormat="1" applyFont="1" applyFill="1" applyBorder="1" applyAlignment="1">
      <alignment horizontal="left" vertical="top"/>
    </xf>
    <xf numFmtId="165" fontId="27" fillId="11" borderId="2" xfId="6" applyNumberFormat="1" applyFont="1" applyFill="1" applyBorder="1" applyAlignment="1">
      <alignment horizontal="left" vertical="top"/>
    </xf>
    <xf numFmtId="167" fontId="26" fillId="11" borderId="10" xfId="0" applyNumberFormat="1" applyFont="1" applyFill="1" applyBorder="1" applyAlignment="1">
      <alignment horizontal="left"/>
    </xf>
    <xf numFmtId="20" fontId="26" fillId="11" borderId="2" xfId="0" applyNumberFormat="1" applyFont="1" applyFill="1" applyBorder="1" applyAlignment="1">
      <alignment horizontal="left"/>
    </xf>
    <xf numFmtId="167" fontId="28" fillId="3" borderId="0" xfId="3" applyNumberFormat="1" applyFont="1" applyFill="1" applyBorder="1" applyAlignment="1">
      <alignment horizontal="left"/>
    </xf>
    <xf numFmtId="0" fontId="26" fillId="3" borderId="0" xfId="6" applyFont="1" applyFill="1" applyBorder="1" applyAlignment="1">
      <alignment horizontal="left" vertical="top" wrapText="1"/>
    </xf>
    <xf numFmtId="0" fontId="35" fillId="0" borderId="0" xfId="0" applyFont="1" applyBorder="1" applyAlignment="1">
      <alignment horizontal="center" vertical="center"/>
    </xf>
    <xf numFmtId="168" fontId="28" fillId="0" borderId="0" xfId="0" applyNumberFormat="1" applyFont="1" applyBorder="1" applyAlignment="1">
      <alignment horizontal="center" vertical="center"/>
    </xf>
    <xf numFmtId="168" fontId="28" fillId="0" borderId="2" xfId="0" applyNumberFormat="1" applyFont="1" applyBorder="1" applyAlignment="1">
      <alignment horizontal="center" vertical="center"/>
    </xf>
    <xf numFmtId="168" fontId="28" fillId="0" borderId="0" xfId="0" applyNumberFormat="1" applyFont="1" applyAlignment="1">
      <alignment horizontal="center" vertical="center"/>
    </xf>
    <xf numFmtId="168" fontId="30" fillId="0" borderId="2" xfId="0" applyNumberFormat="1" applyFont="1" applyBorder="1" applyAlignment="1">
      <alignment horizontal="left" vertical="top"/>
    </xf>
    <xf numFmtId="168" fontId="30" fillId="0" borderId="2" xfId="0" applyNumberFormat="1" applyFont="1" applyBorder="1" applyAlignment="1">
      <alignment horizontal="left" vertical="top" wrapText="1"/>
    </xf>
    <xf numFmtId="167" fontId="28" fillId="9" borderId="10" xfId="3" applyNumberFormat="1" applyFont="1" applyFill="1" applyBorder="1" applyAlignment="1">
      <alignment horizontal="left"/>
    </xf>
    <xf numFmtId="165" fontId="28" fillId="9" borderId="2" xfId="3" applyNumberFormat="1" applyFont="1" applyFill="1" applyBorder="1" applyAlignment="1">
      <alignment horizontal="left"/>
    </xf>
    <xf numFmtId="0" fontId="11" fillId="0" borderId="2" xfId="0" applyFont="1" applyBorder="1" applyAlignment="1">
      <alignment vertical="top"/>
    </xf>
    <xf numFmtId="49" fontId="0" fillId="0" borderId="17" xfId="0" applyNumberFormat="1" applyBorder="1"/>
    <xf numFmtId="49" fontId="0" fillId="0" borderId="18" xfId="0" applyNumberFormat="1" applyBorder="1"/>
    <xf numFmtId="49" fontId="0" fillId="0" borderId="19" xfId="0" applyNumberFormat="1" applyBorder="1"/>
    <xf numFmtId="167" fontId="28" fillId="11" borderId="10" xfId="0" applyNumberFormat="1" applyFont="1" applyFill="1" applyBorder="1" applyAlignment="1">
      <alignment horizontal="left"/>
    </xf>
    <xf numFmtId="165" fontId="28" fillId="11" borderId="2" xfId="0" applyNumberFormat="1" applyFont="1" applyFill="1" applyBorder="1" applyAlignment="1">
      <alignment horizontal="left"/>
    </xf>
    <xf numFmtId="165" fontId="28" fillId="10" borderId="2" xfId="6" applyNumberFormat="1" applyFont="1" applyFill="1" applyBorder="1" applyAlignment="1">
      <alignment horizontal="left" vertical="top"/>
    </xf>
    <xf numFmtId="165" fontId="28" fillId="11" borderId="2" xfId="6" applyNumberFormat="1" applyFont="1" applyFill="1" applyBorder="1" applyAlignment="1">
      <alignment horizontal="left" vertical="top"/>
    </xf>
    <xf numFmtId="165" fontId="28" fillId="9" borderId="2" xfId="6" applyNumberFormat="1" applyFont="1" applyFill="1" applyBorder="1" applyAlignment="1">
      <alignment horizontal="left" vertical="top"/>
    </xf>
    <xf numFmtId="0" fontId="28" fillId="3" borderId="0" xfId="6" applyFont="1" applyFill="1" applyBorder="1" applyAlignment="1">
      <alignment horizontal="left" vertical="top" wrapText="1"/>
    </xf>
    <xf numFmtId="49" fontId="37" fillId="0" borderId="0" xfId="0" applyNumberFormat="1" applyFont="1" applyBorder="1" applyAlignment="1">
      <alignment horizontal="center" vertical="center"/>
    </xf>
    <xf numFmtId="167" fontId="28" fillId="3" borderId="10" xfId="3" applyNumberFormat="1" applyFont="1" applyFill="1" applyBorder="1" applyAlignment="1">
      <alignment horizontal="left"/>
    </xf>
    <xf numFmtId="165" fontId="28" fillId="3" borderId="2" xfId="3" applyNumberFormat="1" applyFont="1" applyFill="1" applyBorder="1" applyAlignment="1">
      <alignment horizontal="left"/>
    </xf>
    <xf numFmtId="165" fontId="28" fillId="3" borderId="2" xfId="6" applyNumberFormat="1" applyFont="1" applyFill="1" applyBorder="1" applyAlignment="1">
      <alignment horizontal="left" vertical="top"/>
    </xf>
    <xf numFmtId="165" fontId="28" fillId="3" borderId="8" xfId="2" applyNumberFormat="1" applyFont="1" applyFill="1" applyBorder="1" applyAlignment="1">
      <alignment horizontal="left"/>
    </xf>
    <xf numFmtId="165" fontId="28" fillId="3" borderId="8" xfId="2" applyNumberFormat="1" applyFont="1" applyFill="1" applyBorder="1" applyAlignment="1">
      <alignment horizontal="left" vertical="top"/>
    </xf>
    <xf numFmtId="165" fontId="28" fillId="3" borderId="2" xfId="2" applyNumberFormat="1" applyFont="1" applyFill="1" applyBorder="1" applyAlignment="1">
      <alignment horizontal="left"/>
    </xf>
    <xf numFmtId="165" fontId="27" fillId="3" borderId="2" xfId="2" applyNumberFormat="1" applyFont="1" applyFill="1" applyBorder="1" applyAlignment="1">
      <alignment horizontal="left" vertical="top"/>
    </xf>
    <xf numFmtId="167" fontId="28" fillId="3" borderId="10" xfId="0" applyNumberFormat="1" applyFont="1" applyFill="1" applyBorder="1" applyAlignment="1">
      <alignment horizontal="left"/>
    </xf>
    <xf numFmtId="165" fontId="28" fillId="3" borderId="2" xfId="0" applyNumberFormat="1" applyFont="1" applyFill="1" applyBorder="1" applyAlignment="1">
      <alignment horizontal="left"/>
    </xf>
    <xf numFmtId="167" fontId="28" fillId="2" borderId="7" xfId="3" applyNumberFormat="1" applyFont="1" applyFill="1" applyBorder="1" applyAlignment="1">
      <alignment horizontal="left"/>
    </xf>
    <xf numFmtId="165" fontId="28" fillId="2" borderId="8" xfId="3" applyNumberFormat="1" applyFont="1" applyFill="1" applyBorder="1" applyAlignment="1">
      <alignment horizontal="left"/>
    </xf>
    <xf numFmtId="165" fontId="28" fillId="2" borderId="8" xfId="6" applyNumberFormat="1" applyFont="1" applyFill="1" applyBorder="1" applyAlignment="1">
      <alignment horizontal="left" vertical="top"/>
    </xf>
    <xf numFmtId="167" fontId="26" fillId="2" borderId="10" xfId="0" applyNumberFormat="1" applyFont="1" applyFill="1" applyBorder="1" applyAlignment="1">
      <alignment horizontal="left"/>
    </xf>
    <xf numFmtId="20" fontId="26" fillId="2" borderId="2" xfId="0" applyNumberFormat="1" applyFont="1" applyFill="1" applyBorder="1" applyAlignment="1">
      <alignment horizontal="left"/>
    </xf>
    <xf numFmtId="165" fontId="27" fillId="2" borderId="2" xfId="6" applyNumberFormat="1" applyFont="1" applyFill="1" applyBorder="1" applyAlignment="1">
      <alignment horizontal="left" vertical="top"/>
    </xf>
    <xf numFmtId="167" fontId="28" fillId="10" borderId="7" xfId="2" applyNumberFormat="1" applyFont="1" applyFill="1" applyBorder="1" applyAlignment="1">
      <alignment horizontal="left"/>
    </xf>
    <xf numFmtId="165" fontId="28" fillId="10" borderId="8" xfId="2" applyNumberFormat="1" applyFont="1" applyFill="1" applyBorder="1" applyAlignment="1">
      <alignment horizontal="left"/>
    </xf>
    <xf numFmtId="167" fontId="28" fillId="10" borderId="10" xfId="2" applyNumberFormat="1" applyFont="1" applyFill="1" applyBorder="1" applyAlignment="1">
      <alignment horizontal="left"/>
    </xf>
    <xf numFmtId="165" fontId="28" fillId="10" borderId="2" xfId="2" applyNumberFormat="1" applyFont="1" applyFill="1" applyBorder="1" applyAlignment="1">
      <alignment horizontal="left"/>
    </xf>
    <xf numFmtId="165" fontId="28" fillId="10" borderId="2" xfId="2" applyNumberFormat="1" applyFont="1" applyFill="1" applyBorder="1" applyAlignment="1">
      <alignment horizontal="left" vertical="top"/>
    </xf>
    <xf numFmtId="167" fontId="28" fillId="11" borderId="7" xfId="2" applyNumberFormat="1" applyFont="1" applyFill="1" applyBorder="1" applyAlignment="1">
      <alignment horizontal="left"/>
    </xf>
    <xf numFmtId="165" fontId="28" fillId="11" borderId="8" xfId="2" applyNumberFormat="1" applyFont="1" applyFill="1" applyBorder="1" applyAlignment="1">
      <alignment horizontal="left"/>
    </xf>
    <xf numFmtId="167" fontId="28" fillId="11" borderId="10" xfId="2" applyNumberFormat="1" applyFont="1" applyFill="1" applyBorder="1" applyAlignment="1">
      <alignment horizontal="left"/>
    </xf>
    <xf numFmtId="165" fontId="28" fillId="11" borderId="2" xfId="2" applyNumberFormat="1" applyFont="1" applyFill="1" applyBorder="1" applyAlignment="1">
      <alignment horizontal="left"/>
    </xf>
    <xf numFmtId="165" fontId="28" fillId="11" borderId="2" xfId="2" applyNumberFormat="1" applyFont="1" applyFill="1" applyBorder="1" applyAlignment="1">
      <alignment horizontal="left" vertical="top"/>
    </xf>
    <xf numFmtId="0" fontId="20" fillId="3" borderId="0" xfId="1" applyFont="1" applyFill="1" applyBorder="1" applyAlignment="1">
      <alignment horizontal="center" vertical="center" wrapText="1"/>
    </xf>
    <xf numFmtId="0" fontId="11" fillId="0" borderId="7" xfId="0" applyFont="1" applyBorder="1" applyAlignment="1">
      <alignment horizontal="left" vertical="top" wrapText="1"/>
    </xf>
    <xf numFmtId="0" fontId="11" fillId="0" borderId="8" xfId="0" applyFont="1" applyBorder="1" applyAlignment="1">
      <alignment horizontal="left" vertical="top" wrapText="1"/>
    </xf>
    <xf numFmtId="0" fontId="11" fillId="0" borderId="9" xfId="0" applyFont="1" applyBorder="1" applyAlignment="1">
      <alignment horizontal="left" vertical="top" wrapText="1"/>
    </xf>
    <xf numFmtId="0" fontId="11" fillId="0" borderId="3" xfId="0" applyFont="1" applyBorder="1" applyAlignment="1">
      <alignment horizontal="left" vertical="top" wrapText="1"/>
    </xf>
    <xf numFmtId="0" fontId="11" fillId="0" borderId="0" xfId="0" applyFont="1" applyBorder="1" applyAlignment="1">
      <alignment horizontal="left" vertical="top" wrapText="1"/>
    </xf>
    <xf numFmtId="0" fontId="11" fillId="0" borderId="4" xfId="0" applyFont="1" applyBorder="1" applyAlignment="1">
      <alignment horizontal="left" vertical="top" wrapText="1"/>
    </xf>
    <xf numFmtId="0" fontId="11" fillId="0" borderId="10" xfId="0" applyFont="1" applyBorder="1" applyAlignment="1">
      <alignment horizontal="left" vertical="top" wrapText="1"/>
    </xf>
    <xf numFmtId="0" fontId="11" fillId="0" borderId="2" xfId="0" applyFont="1" applyBorder="1" applyAlignment="1">
      <alignment horizontal="left" vertical="top" wrapText="1"/>
    </xf>
    <xf numFmtId="0" fontId="11" fillId="0" borderId="5" xfId="0" applyFont="1" applyBorder="1" applyAlignment="1">
      <alignment horizontal="left" vertical="top" wrapText="1"/>
    </xf>
    <xf numFmtId="0" fontId="33" fillId="5" borderId="6" xfId="3" applyFont="1" applyBorder="1" applyAlignment="1">
      <alignment horizontal="center"/>
    </xf>
    <xf numFmtId="0" fontId="11" fillId="0" borderId="0" xfId="0" applyFont="1" applyAlignment="1">
      <alignment horizontal="left" vertical="top" wrapText="1"/>
    </xf>
    <xf numFmtId="0" fontId="26" fillId="4" borderId="15" xfId="2" applyFont="1" applyBorder="1" applyAlignment="1">
      <alignment horizontal="left" vertical="top"/>
    </xf>
    <xf numFmtId="0" fontId="26" fillId="4" borderId="11" xfId="2" applyFont="1" applyBorder="1" applyAlignment="1">
      <alignment horizontal="left" vertical="top"/>
    </xf>
    <xf numFmtId="0" fontId="28" fillId="2" borderId="11" xfId="4" applyFont="1" applyFill="1" applyBorder="1" applyAlignment="1">
      <alignment horizontal="left" vertical="top"/>
    </xf>
    <xf numFmtId="0" fontId="26" fillId="2" borderId="11" xfId="2" applyFont="1" applyFill="1" applyBorder="1" applyAlignment="1">
      <alignment horizontal="left" vertical="top"/>
    </xf>
    <xf numFmtId="0" fontId="26" fillId="10" borderId="11" xfId="2" applyFont="1" applyFill="1" applyBorder="1" applyAlignment="1">
      <alignment horizontal="left" vertical="top"/>
    </xf>
    <xf numFmtId="0" fontId="26" fillId="3" borderId="11" xfId="6" applyFont="1" applyFill="1" applyBorder="1" applyAlignment="1">
      <alignment horizontal="left" vertical="top"/>
    </xf>
    <xf numFmtId="0" fontId="26" fillId="3" borderId="16" xfId="6" applyFont="1" applyFill="1" applyBorder="1" applyAlignment="1">
      <alignment horizontal="left" vertical="top"/>
    </xf>
    <xf numFmtId="0" fontId="26" fillId="10" borderId="11" xfId="6" applyFont="1" applyFill="1" applyBorder="1" applyAlignment="1">
      <alignment horizontal="left" vertical="top"/>
    </xf>
    <xf numFmtId="0" fontId="26" fillId="10" borderId="16" xfId="6" applyFont="1" applyFill="1" applyBorder="1" applyAlignment="1">
      <alignment horizontal="left" vertical="top"/>
    </xf>
    <xf numFmtId="0" fontId="28" fillId="9" borderId="11" xfId="4" applyFont="1" applyFill="1" applyBorder="1" applyAlignment="1">
      <alignment horizontal="left" vertical="top"/>
    </xf>
    <xf numFmtId="0" fontId="28" fillId="9" borderId="11" xfId="4" applyFont="1" applyFill="1" applyBorder="1" applyAlignment="1">
      <alignment horizontal="left" vertical="top" wrapText="1"/>
    </xf>
    <xf numFmtId="0" fontId="26" fillId="10" borderId="11" xfId="2" applyFont="1" applyFill="1" applyBorder="1" applyAlignment="1">
      <alignment horizontal="left" vertical="top" wrapText="1"/>
    </xf>
    <xf numFmtId="0" fontId="26" fillId="10" borderId="8" xfId="2" applyFont="1" applyFill="1" applyBorder="1" applyAlignment="1">
      <alignment horizontal="left" vertical="top" wrapText="1"/>
    </xf>
    <xf numFmtId="0" fontId="26" fillId="10" borderId="2" xfId="2" applyFont="1" applyFill="1" applyBorder="1" applyAlignment="1">
      <alignment horizontal="left" vertical="top" wrapText="1"/>
    </xf>
    <xf numFmtId="0" fontId="26" fillId="9" borderId="8" xfId="6" applyFont="1" applyFill="1" applyBorder="1" applyAlignment="1">
      <alignment horizontal="left" vertical="top"/>
    </xf>
    <xf numFmtId="0" fontId="26" fillId="9" borderId="2" xfId="6" applyFont="1" applyFill="1" applyBorder="1" applyAlignment="1">
      <alignment horizontal="left" vertical="top"/>
    </xf>
    <xf numFmtId="0" fontId="26" fillId="9" borderId="8" xfId="6" applyFont="1" applyFill="1" applyBorder="1" applyAlignment="1">
      <alignment horizontal="left" vertical="top" wrapText="1"/>
    </xf>
    <xf numFmtId="0" fontId="26" fillId="9" borderId="2" xfId="6" applyFont="1" applyFill="1" applyBorder="1" applyAlignment="1">
      <alignment horizontal="left" vertical="top" wrapText="1"/>
    </xf>
    <xf numFmtId="0" fontId="26" fillId="10" borderId="8" xfId="6" applyFont="1" applyFill="1" applyBorder="1" applyAlignment="1">
      <alignment horizontal="left" vertical="top" wrapText="1"/>
    </xf>
    <xf numFmtId="0" fontId="26" fillId="10" borderId="2" xfId="6" applyFont="1" applyFill="1" applyBorder="1" applyAlignment="1">
      <alignment horizontal="left" vertical="top" wrapText="1"/>
    </xf>
    <xf numFmtId="0" fontId="25" fillId="0" borderId="2" xfId="0" applyFont="1" applyBorder="1" applyAlignment="1">
      <alignment horizontal="center"/>
    </xf>
    <xf numFmtId="0" fontId="26" fillId="10" borderId="8" xfId="6" applyFont="1" applyFill="1" applyBorder="1" applyAlignment="1">
      <alignment vertical="top" wrapText="1"/>
    </xf>
    <xf numFmtId="0" fontId="26" fillId="10" borderId="2" xfId="6" applyFont="1" applyFill="1" applyBorder="1" applyAlignment="1">
      <alignment vertical="top" wrapText="1"/>
    </xf>
    <xf numFmtId="0" fontId="26" fillId="9" borderId="8" xfId="2" applyFont="1" applyFill="1" applyBorder="1" applyAlignment="1">
      <alignment horizontal="left" vertical="top"/>
    </xf>
    <xf numFmtId="0" fontId="26" fillId="9" borderId="2" xfId="2" applyFont="1" applyFill="1" applyBorder="1" applyAlignment="1">
      <alignment horizontal="left" vertical="top"/>
    </xf>
    <xf numFmtId="0" fontId="28" fillId="10" borderId="8" xfId="4" applyFont="1" applyFill="1" applyBorder="1" applyAlignment="1">
      <alignment horizontal="left" vertical="top" wrapText="1"/>
    </xf>
    <xf numFmtId="0" fontId="28" fillId="10" borderId="2" xfId="4" applyFont="1" applyFill="1" applyBorder="1" applyAlignment="1">
      <alignment horizontal="left" vertical="top" wrapText="1"/>
    </xf>
    <xf numFmtId="0" fontId="28" fillId="10" borderId="8" xfId="2" applyFont="1" applyFill="1" applyBorder="1" applyAlignment="1">
      <alignment horizontal="left" vertical="top" wrapText="1"/>
    </xf>
    <xf numFmtId="0" fontId="28" fillId="10" borderId="2" xfId="2" applyFont="1" applyFill="1" applyBorder="1" applyAlignment="1">
      <alignment horizontal="left" vertical="top" wrapText="1"/>
    </xf>
    <xf numFmtId="0" fontId="26" fillId="11" borderId="8" xfId="6" applyFont="1" applyFill="1" applyBorder="1" applyAlignment="1">
      <alignment horizontal="left" vertical="top" wrapText="1"/>
    </xf>
    <xf numFmtId="0" fontId="26" fillId="11" borderId="2" xfId="6" applyFont="1" applyFill="1" applyBorder="1" applyAlignment="1">
      <alignment horizontal="left" vertical="top" wrapText="1"/>
    </xf>
    <xf numFmtId="0" fontId="35" fillId="0" borderId="17" xfId="0" applyFont="1" applyBorder="1" applyAlignment="1">
      <alignment horizontal="center" vertical="center"/>
    </xf>
    <xf numFmtId="0" fontId="35" fillId="0" borderId="19" xfId="0" applyFont="1" applyBorder="1" applyAlignment="1">
      <alignment horizontal="center" vertical="center"/>
    </xf>
    <xf numFmtId="0" fontId="26" fillId="11" borderId="8" xfId="6" applyFont="1" applyFill="1" applyBorder="1" applyAlignment="1">
      <alignment vertical="top" wrapText="1"/>
    </xf>
    <xf numFmtId="0" fontId="26" fillId="11" borderId="2" xfId="6" applyFont="1" applyFill="1" applyBorder="1" applyAlignment="1">
      <alignment vertical="top" wrapText="1"/>
    </xf>
    <xf numFmtId="0" fontId="26" fillId="2" borderId="8" xfId="2" applyFont="1" applyFill="1" applyBorder="1" applyAlignment="1">
      <alignment horizontal="left" vertical="top"/>
    </xf>
    <xf numFmtId="0" fontId="26" fillId="2" borderId="2" xfId="2" applyFont="1" applyFill="1" applyBorder="1" applyAlignment="1">
      <alignment horizontal="left" vertical="top"/>
    </xf>
    <xf numFmtId="0" fontId="28" fillId="9" borderId="8" xfId="2" applyFont="1" applyFill="1" applyBorder="1" applyAlignment="1">
      <alignment horizontal="left" vertical="top" wrapText="1"/>
    </xf>
    <xf numFmtId="0" fontId="28" fillId="9" borderId="2" xfId="2" applyFont="1" applyFill="1" applyBorder="1" applyAlignment="1">
      <alignment horizontal="left" vertical="top" wrapText="1"/>
    </xf>
    <xf numFmtId="0" fontId="26" fillId="11" borderId="8" xfId="2" applyFont="1" applyFill="1" applyBorder="1" applyAlignment="1">
      <alignment horizontal="left" vertical="top" wrapText="1"/>
    </xf>
    <xf numFmtId="0" fontId="26" fillId="11" borderId="2" xfId="2" applyFont="1" applyFill="1" applyBorder="1" applyAlignment="1">
      <alignment horizontal="left" vertical="top" wrapText="1"/>
    </xf>
    <xf numFmtId="0" fontId="26" fillId="11" borderId="8" xfId="6" applyFont="1" applyFill="1" applyBorder="1" applyAlignment="1">
      <alignment horizontal="left" vertical="top"/>
    </xf>
    <xf numFmtId="0" fontId="26" fillId="11" borderId="2" xfId="6" applyFont="1" applyFill="1" applyBorder="1" applyAlignment="1">
      <alignment horizontal="left" vertical="top"/>
    </xf>
    <xf numFmtId="0" fontId="28" fillId="11" borderId="8" xfId="4" applyFont="1" applyFill="1" applyBorder="1" applyAlignment="1">
      <alignment horizontal="left" vertical="top" wrapText="1"/>
    </xf>
    <xf numFmtId="0" fontId="28" fillId="11" borderId="2" xfId="4" applyFont="1" applyFill="1" applyBorder="1" applyAlignment="1">
      <alignment horizontal="left" vertical="top" wrapText="1"/>
    </xf>
    <xf numFmtId="0" fontId="35" fillId="0" borderId="18" xfId="0" applyFont="1" applyBorder="1" applyAlignment="1">
      <alignment horizontal="center" vertical="center"/>
    </xf>
    <xf numFmtId="0" fontId="28" fillId="9" borderId="8" xfId="6" applyFont="1" applyFill="1" applyBorder="1" applyAlignment="1">
      <alignment horizontal="left" vertical="top" wrapText="1"/>
    </xf>
    <xf numFmtId="0" fontId="28" fillId="9" borderId="2" xfId="6" applyFont="1" applyFill="1" applyBorder="1" applyAlignment="1">
      <alignment horizontal="left" vertical="top" wrapText="1"/>
    </xf>
    <xf numFmtId="0" fontId="26" fillId="3" borderId="8" xfId="6" applyFont="1" applyFill="1" applyBorder="1" applyAlignment="1">
      <alignment horizontal="left" vertical="top" wrapText="1"/>
    </xf>
    <xf numFmtId="0" fontId="26" fillId="3" borderId="2" xfId="6" applyFont="1" applyFill="1" applyBorder="1" applyAlignment="1">
      <alignment horizontal="left" vertical="top" wrapText="1"/>
    </xf>
    <xf numFmtId="49" fontId="35" fillId="0" borderId="17" xfId="0" applyNumberFormat="1" applyFont="1" applyBorder="1" applyAlignment="1">
      <alignment horizontal="center" vertical="center"/>
    </xf>
    <xf numFmtId="49" fontId="35" fillId="0" borderId="19" xfId="0" applyNumberFormat="1" applyFont="1" applyBorder="1" applyAlignment="1">
      <alignment horizontal="center" vertical="center"/>
    </xf>
    <xf numFmtId="0" fontId="10" fillId="0" borderId="7" xfId="0" applyFont="1" applyBorder="1" applyAlignment="1">
      <alignment horizontal="left" vertical="top" wrapText="1"/>
    </xf>
    <xf numFmtId="0" fontId="26" fillId="9" borderId="8" xfId="2" applyFont="1" applyFill="1" applyBorder="1" applyAlignment="1">
      <alignment horizontal="left" vertical="top" wrapText="1"/>
    </xf>
    <xf numFmtId="0" fontId="26" fillId="9" borderId="2" xfId="2" applyFont="1" applyFill="1" applyBorder="1" applyAlignment="1">
      <alignment horizontal="left" vertical="top" wrapText="1"/>
    </xf>
    <xf numFmtId="0" fontId="28" fillId="10" borderId="8" xfId="6" applyFont="1" applyFill="1" applyBorder="1" applyAlignment="1">
      <alignment horizontal="left" vertical="top"/>
    </xf>
    <xf numFmtId="0" fontId="28" fillId="10" borderId="2" xfId="6" applyFont="1" applyFill="1" applyBorder="1" applyAlignment="1">
      <alignment horizontal="left" vertical="top"/>
    </xf>
    <xf numFmtId="0" fontId="28" fillId="10" borderId="8" xfId="6" applyFont="1" applyFill="1" applyBorder="1" applyAlignment="1">
      <alignment horizontal="left" vertical="top" wrapText="1"/>
    </xf>
    <xf numFmtId="0" fontId="26" fillId="3" borderId="8" xfId="6" applyFont="1" applyFill="1" applyBorder="1" applyAlignment="1">
      <alignment vertical="top" wrapText="1"/>
    </xf>
    <xf numFmtId="0" fontId="26" fillId="3" borderId="2" xfId="6" applyFont="1" applyFill="1" applyBorder="1" applyAlignment="1">
      <alignment vertical="top" wrapText="1"/>
    </xf>
    <xf numFmtId="49" fontId="35" fillId="0" borderId="18" xfId="0" applyNumberFormat="1" applyFont="1" applyBorder="1" applyAlignment="1">
      <alignment horizontal="center" vertical="center"/>
    </xf>
    <xf numFmtId="49" fontId="37" fillId="0" borderId="17" xfId="0" applyNumberFormat="1" applyFont="1" applyBorder="1" applyAlignment="1">
      <alignment horizontal="center" vertical="center"/>
    </xf>
    <xf numFmtId="49" fontId="37" fillId="0" borderId="19" xfId="0" applyNumberFormat="1" applyFont="1" applyBorder="1" applyAlignment="1">
      <alignment horizontal="center" vertical="center"/>
    </xf>
    <xf numFmtId="0" fontId="26" fillId="10" borderId="9" xfId="6" applyFont="1" applyFill="1" applyBorder="1" applyAlignment="1">
      <alignment horizontal="left" vertical="top" wrapText="1"/>
    </xf>
    <xf numFmtId="0" fontId="26" fillId="10" borderId="5" xfId="6" applyFont="1" applyFill="1" applyBorder="1" applyAlignment="1">
      <alignment horizontal="left" vertical="top" wrapText="1"/>
    </xf>
    <xf numFmtId="0" fontId="26" fillId="11" borderId="9" xfId="6" applyFont="1" applyFill="1" applyBorder="1" applyAlignment="1">
      <alignment horizontal="left" vertical="top" wrapText="1"/>
    </xf>
    <xf numFmtId="0" fontId="26" fillId="11" borderId="5" xfId="6" applyFont="1" applyFill="1" applyBorder="1" applyAlignment="1">
      <alignment horizontal="left" vertical="top" wrapText="1"/>
    </xf>
    <xf numFmtId="0" fontId="28" fillId="11" borderId="8" xfId="2" applyFont="1" applyFill="1" applyBorder="1" applyAlignment="1">
      <alignment horizontal="left" vertical="top" wrapText="1"/>
    </xf>
    <xf numFmtId="0" fontId="28" fillId="11" borderId="2" xfId="2" applyFont="1" applyFill="1" applyBorder="1" applyAlignment="1">
      <alignment horizontal="left" vertical="top" wrapText="1"/>
    </xf>
    <xf numFmtId="0" fontId="9" fillId="0" borderId="7" xfId="0" applyFont="1" applyBorder="1" applyAlignment="1">
      <alignment horizontal="left" vertical="top" wrapText="1"/>
    </xf>
    <xf numFmtId="0" fontId="9" fillId="0" borderId="8" xfId="0" applyFont="1" applyBorder="1" applyAlignment="1">
      <alignment horizontal="left" vertical="top" wrapText="1"/>
    </xf>
    <xf numFmtId="0" fontId="9" fillId="0" borderId="9" xfId="0" applyFont="1" applyBorder="1" applyAlignment="1">
      <alignment horizontal="left" vertical="top" wrapText="1"/>
    </xf>
    <xf numFmtId="0" fontId="9" fillId="0" borderId="3" xfId="0" applyFont="1" applyBorder="1" applyAlignment="1">
      <alignment horizontal="left" vertical="top" wrapText="1"/>
    </xf>
    <xf numFmtId="0" fontId="9" fillId="0" borderId="0" xfId="0" applyFont="1" applyBorder="1" applyAlignment="1">
      <alignment horizontal="left" vertical="top" wrapText="1"/>
    </xf>
    <xf numFmtId="0" fontId="9" fillId="0" borderId="4" xfId="0" applyFont="1" applyBorder="1" applyAlignment="1">
      <alignment horizontal="left" vertical="top" wrapText="1"/>
    </xf>
    <xf numFmtId="0" fontId="9" fillId="0" borderId="10" xfId="0" applyFont="1" applyBorder="1" applyAlignment="1">
      <alignment horizontal="left" vertical="top" wrapText="1"/>
    </xf>
    <xf numFmtId="0" fontId="9" fillId="0" borderId="2" xfId="0" applyFont="1" applyBorder="1" applyAlignment="1">
      <alignment horizontal="left" vertical="top" wrapText="1"/>
    </xf>
    <xf numFmtId="0" fontId="9" fillId="0" borderId="5" xfId="0" applyFont="1" applyBorder="1" applyAlignment="1">
      <alignment horizontal="left" vertical="top" wrapText="1"/>
    </xf>
    <xf numFmtId="0" fontId="26" fillId="9" borderId="9" xfId="6" applyFont="1" applyFill="1" applyBorder="1" applyAlignment="1">
      <alignment horizontal="left" vertical="top" wrapText="1"/>
    </xf>
    <xf numFmtId="0" fontId="26" fillId="9" borderId="5" xfId="6" applyFont="1" applyFill="1" applyBorder="1" applyAlignment="1">
      <alignment horizontal="left" vertical="top" wrapText="1"/>
    </xf>
    <xf numFmtId="0" fontId="8" fillId="0" borderId="7" xfId="0" applyFont="1" applyBorder="1" applyAlignment="1">
      <alignment horizontal="left" vertical="top" wrapText="1"/>
    </xf>
    <xf numFmtId="0" fontId="28" fillId="9" borderId="8" xfId="4" applyFont="1" applyFill="1" applyBorder="1" applyAlignment="1">
      <alignment horizontal="left" vertical="top" wrapText="1"/>
    </xf>
    <xf numFmtId="0" fontId="28" fillId="9" borderId="2" xfId="4" applyFont="1" applyFill="1" applyBorder="1" applyAlignment="1">
      <alignment horizontal="left" vertical="top" wrapText="1"/>
    </xf>
    <xf numFmtId="0" fontId="7" fillId="0" borderId="7" xfId="0" applyFont="1" applyBorder="1" applyAlignment="1">
      <alignment horizontal="left" vertical="top" wrapText="1"/>
    </xf>
    <xf numFmtId="0" fontId="6" fillId="0" borderId="7" xfId="0" applyFont="1" applyBorder="1" applyAlignment="1">
      <alignment horizontal="left" vertical="top" wrapText="1"/>
    </xf>
    <xf numFmtId="0" fontId="26" fillId="2" borderId="8" xfId="6" applyFont="1" applyFill="1" applyBorder="1" applyAlignment="1">
      <alignment horizontal="left" vertical="top" wrapText="1"/>
    </xf>
    <xf numFmtId="0" fontId="26" fillId="2" borderId="2" xfId="6" applyFont="1" applyFill="1" applyBorder="1" applyAlignment="1">
      <alignment horizontal="left" vertical="top" wrapText="1"/>
    </xf>
    <xf numFmtId="0" fontId="5" fillId="0" borderId="7" xfId="0" applyFont="1" applyBorder="1" applyAlignment="1">
      <alignment horizontal="left" vertical="top" wrapText="1"/>
    </xf>
    <xf numFmtId="0" fontId="28" fillId="10" borderId="8" xfId="2" applyFont="1" applyFill="1" applyBorder="1" applyAlignment="1">
      <alignment horizontal="left" vertical="top"/>
    </xf>
    <xf numFmtId="0" fontId="26" fillId="10" borderId="8" xfId="2" applyFont="1" applyFill="1" applyBorder="1" applyAlignment="1">
      <alignment horizontal="left" vertical="top"/>
    </xf>
    <xf numFmtId="0" fontId="26" fillId="10" borderId="2" xfId="2" applyFont="1" applyFill="1" applyBorder="1" applyAlignment="1">
      <alignment horizontal="left" vertical="top"/>
    </xf>
    <xf numFmtId="0" fontId="4" fillId="0" borderId="7" xfId="0" applyFont="1" applyBorder="1" applyAlignment="1">
      <alignment horizontal="left" vertical="top" wrapText="1"/>
    </xf>
    <xf numFmtId="0" fontId="28" fillId="9" borderId="8" xfId="2" applyFont="1" applyFill="1" applyBorder="1" applyAlignment="1">
      <alignment horizontal="left" vertical="top"/>
    </xf>
    <xf numFmtId="0" fontId="3" fillId="0" borderId="7" xfId="0" applyFont="1" applyBorder="1" applyAlignment="1">
      <alignment horizontal="left" vertical="top" wrapText="1"/>
    </xf>
    <xf numFmtId="0" fontId="26" fillId="3" borderId="8" xfId="6" applyFont="1" applyFill="1" applyBorder="1" applyAlignment="1">
      <alignment horizontal="left" vertical="top"/>
    </xf>
    <xf numFmtId="0" fontId="26" fillId="3" borderId="2" xfId="6" applyFont="1" applyFill="1" applyBorder="1" applyAlignment="1">
      <alignment horizontal="left" vertical="top"/>
    </xf>
    <xf numFmtId="0" fontId="2" fillId="0" borderId="7" xfId="0" applyFont="1" applyBorder="1" applyAlignment="1">
      <alignment horizontal="left" vertical="top" wrapText="1"/>
    </xf>
    <xf numFmtId="0" fontId="28" fillId="3" borderId="8" xfId="4" applyFont="1" applyFill="1" applyBorder="1" applyAlignment="1">
      <alignment horizontal="left" vertical="top" wrapText="1"/>
    </xf>
    <xf numFmtId="0" fontId="28" fillId="3" borderId="2" xfId="4" applyFont="1" applyFill="1" applyBorder="1" applyAlignment="1">
      <alignment horizontal="left" vertical="top" wrapText="1"/>
    </xf>
    <xf numFmtId="0" fontId="28" fillId="3" borderId="8" xfId="2" applyFont="1" applyFill="1" applyBorder="1" applyAlignment="1">
      <alignment horizontal="left" vertical="top" wrapText="1"/>
    </xf>
    <xf numFmtId="0" fontId="28" fillId="3" borderId="2" xfId="2" applyFont="1" applyFill="1" applyBorder="1" applyAlignment="1">
      <alignment horizontal="left" vertical="top" wrapText="1"/>
    </xf>
    <xf numFmtId="0" fontId="26" fillId="3" borderId="9" xfId="6" applyFont="1" applyFill="1" applyBorder="1" applyAlignment="1">
      <alignment horizontal="left" vertical="top" wrapText="1"/>
    </xf>
    <xf numFmtId="0" fontId="26" fillId="3" borderId="5" xfId="6" applyFont="1" applyFill="1" applyBorder="1" applyAlignment="1">
      <alignment horizontal="left" vertical="top" wrapText="1"/>
    </xf>
  </cellXfs>
  <cellStyles count="7">
    <cellStyle name="20 % – uthevingsfarge 2" xfId="3" builtinId="34"/>
    <cellStyle name="40 % – uthevingsfarge 1" xfId="2" builtinId="31"/>
    <cellStyle name="40 % – uthevingsfarge 3" xfId="4" builtinId="39"/>
    <cellStyle name="40 % – uthevingsfarge 4" xfId="5" builtinId="43"/>
    <cellStyle name="40 % – uthevingsfarge 6" xfId="6" builtinId="51"/>
    <cellStyle name="Hyperkobling" xfId="1" builtinId="8"/>
    <cellStyle name="Normal" xfId="0" builtinId="0"/>
  </cellStyles>
  <dxfs count="162">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s>
  <tableStyles count="0" defaultTableStyle="TableStyleMedium2" defaultPivotStyle="PivotStyleLight16"/>
  <colors>
    <mruColors>
      <color rgb="FFFF5757"/>
      <color rgb="FFFFC5C5"/>
      <color rgb="FFF7C1C9"/>
      <color rgb="FFF3A7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8D5C-F80C-45B2-8793-D61BC5C202ED}">
  <sheetPr codeName="Sheet2"/>
  <dimension ref="A6"/>
  <sheetViews>
    <sheetView workbookViewId="0">
      <selection activeCell="A6" sqref="A6"/>
    </sheetView>
  </sheetViews>
  <sheetFormatPr baseColWidth="10" defaultColWidth="9" defaultRowHeight="12.75" x14ac:dyDescent="0.2"/>
  <sheetData>
    <row r="6" spans="1:1" x14ac:dyDescent="0.2">
      <c r="A6" s="2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6796F-B119-488D-A12F-AEAFC77733A2}">
  <sheetPr codeName="Sheet8"/>
  <dimension ref="A1:K36"/>
  <sheetViews>
    <sheetView showGridLines="0" zoomScaleNormal="100" workbookViewId="0">
      <selection activeCell="C6" sqref="C6"/>
    </sheetView>
  </sheetViews>
  <sheetFormatPr baseColWidth="10" defaultColWidth="9" defaultRowHeight="12.75" x14ac:dyDescent="0.2"/>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200" t="s">
        <v>0</v>
      </c>
      <c r="B1" s="200"/>
      <c r="C1" s="200"/>
      <c r="D1" s="200"/>
      <c r="E1" s="47">
        <f>WEEKNUM(A10)</f>
        <v>3</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45">
        <f>A10</f>
        <v>43843</v>
      </c>
      <c r="B3" s="154"/>
      <c r="C3" s="45">
        <f>A16</f>
        <v>43848</v>
      </c>
      <c r="D3" s="154"/>
      <c r="E3" s="34" t="s">
        <v>6</v>
      </c>
      <c r="F3" s="38">
        <f>Sumcolor(E3,D10:D19)</f>
        <v>0.1875</v>
      </c>
      <c r="G3" s="39">
        <f>SUM(Først:Sist!F3)</f>
        <v>0.62499999999999989</v>
      </c>
      <c r="H3" s="22"/>
      <c r="I3" s="7"/>
      <c r="J3" s="7"/>
    </row>
    <row r="4" spans="1:10" ht="15" customHeight="1" x14ac:dyDescent="0.2">
      <c r="A4" s="192" t="s">
        <v>7</v>
      </c>
      <c r="B4" s="192"/>
      <c r="C4" s="201" t="s">
        <v>8</v>
      </c>
      <c r="D4" s="201"/>
      <c r="E4" s="35" t="s">
        <v>9</v>
      </c>
      <c r="F4" s="38">
        <f>Sumcolor(E4,D10:D19)</f>
        <v>0</v>
      </c>
      <c r="G4" s="39">
        <f>SUM(Først:Sist!F4)</f>
        <v>2.7604166666666665</v>
      </c>
      <c r="H4" s="22"/>
      <c r="I4" s="7"/>
      <c r="J4" s="190"/>
    </row>
    <row r="5" spans="1:10" ht="15.75" x14ac:dyDescent="0.2">
      <c r="A5" s="201"/>
      <c r="B5" s="201"/>
      <c r="C5" s="201"/>
      <c r="D5" s="201"/>
      <c r="E5" s="36" t="s">
        <v>10</v>
      </c>
      <c r="F5" s="38">
        <f>Sumcolor(E5,D10:D19)</f>
        <v>0</v>
      </c>
      <c r="G5" s="39">
        <f>SUM(Først:Sist!F5)</f>
        <v>1.1701388888888882</v>
      </c>
      <c r="H5" s="22"/>
      <c r="I5" s="7"/>
      <c r="J5" s="190"/>
    </row>
    <row r="6" spans="1:10" ht="18.75" customHeight="1" thickBot="1" x14ac:dyDescent="0.25">
      <c r="A6" s="42">
        <f>SUM(D10:D19)</f>
        <v>0.39583333333333337</v>
      </c>
      <c r="B6" s="43"/>
      <c r="C6" s="89">
        <f>SUM(Først:Sist!A6)</f>
        <v>6.8680555555555571</v>
      </c>
      <c r="D6" s="44"/>
      <c r="E6" s="37" t="s">
        <v>11</v>
      </c>
      <c r="F6" s="40">
        <f>Sumcolor(E6,D10:D19)</f>
        <v>0.20833333333333337</v>
      </c>
      <c r="G6" s="40">
        <f>SUM(Først:Sist!F6)</f>
        <v>2.3125000000000009</v>
      </c>
      <c r="H6" s="22"/>
      <c r="I6" s="7"/>
      <c r="J6" s="7"/>
    </row>
    <row r="7" spans="1:10" ht="12.75" customHeight="1" x14ac:dyDescent="0.2">
      <c r="B7" s="23"/>
      <c r="C7" s="24"/>
      <c r="D7" s="14"/>
      <c r="E7" s="23"/>
      <c r="F7" s="23"/>
      <c r="G7" s="25"/>
      <c r="H7" s="25"/>
    </row>
    <row r="8" spans="1:10" x14ac:dyDescent="0.2">
      <c r="A8" s="23"/>
      <c r="B8" s="25"/>
      <c r="C8" s="14"/>
      <c r="D8" s="25"/>
      <c r="E8" s="23"/>
      <c r="F8" s="23"/>
      <c r="G8" s="25"/>
      <c r="H8" s="25"/>
    </row>
    <row r="9" spans="1:10" ht="15.75" x14ac:dyDescent="0.25">
      <c r="A9" s="33" t="s">
        <v>12</v>
      </c>
      <c r="B9" s="33" t="s">
        <v>13</v>
      </c>
      <c r="C9" s="33" t="s">
        <v>14</v>
      </c>
      <c r="D9" s="33" t="s">
        <v>15</v>
      </c>
      <c r="E9" s="33" t="s">
        <v>16</v>
      </c>
      <c r="F9" s="54" t="s">
        <v>17</v>
      </c>
      <c r="H9" s="25"/>
    </row>
    <row r="10" spans="1:10" ht="15.75" x14ac:dyDescent="0.25">
      <c r="A10" s="57">
        <v>43843</v>
      </c>
      <c r="B10" s="58">
        <v>0.58333333333333337</v>
      </c>
      <c r="C10" s="58">
        <v>0.64583333333333337</v>
      </c>
      <c r="D10" s="61">
        <f t="shared" ref="D10" si="0">(C10-B10)</f>
        <v>6.25E-2</v>
      </c>
      <c r="E10" s="202" t="s">
        <v>18</v>
      </c>
      <c r="F10" s="51"/>
      <c r="H10" s="25"/>
    </row>
    <row r="11" spans="1:10" ht="15.75" x14ac:dyDescent="0.25">
      <c r="A11" s="59"/>
      <c r="B11" s="60"/>
      <c r="C11" s="60"/>
      <c r="D11" s="62"/>
      <c r="E11" s="203"/>
      <c r="F11" s="52"/>
      <c r="H11" s="25"/>
    </row>
    <row r="12" spans="1:10" ht="15.75" x14ac:dyDescent="0.25">
      <c r="A12" s="64">
        <v>43845</v>
      </c>
      <c r="B12" s="65">
        <v>0.41666666666666669</v>
      </c>
      <c r="C12" s="65">
        <v>0.47916666666666669</v>
      </c>
      <c r="D12" s="66">
        <f>(C12-B12)</f>
        <v>6.25E-2</v>
      </c>
      <c r="E12" s="204" t="s">
        <v>19</v>
      </c>
      <c r="F12" s="52"/>
    </row>
    <row r="13" spans="1:10" ht="15.75" x14ac:dyDescent="0.25">
      <c r="A13" s="64"/>
      <c r="B13" s="65"/>
      <c r="C13" s="65"/>
      <c r="D13" s="67"/>
      <c r="E13" s="204"/>
      <c r="F13" s="52"/>
    </row>
    <row r="14" spans="1:10" ht="15.75" x14ac:dyDescent="0.25">
      <c r="A14" s="64">
        <v>43846</v>
      </c>
      <c r="B14" s="65">
        <v>0.41666666666666669</v>
      </c>
      <c r="C14" s="65">
        <v>0.47916666666666669</v>
      </c>
      <c r="D14" s="66">
        <f>(C14-B14)</f>
        <v>6.25E-2</v>
      </c>
      <c r="E14" s="205" t="s">
        <v>18</v>
      </c>
      <c r="F14" s="52"/>
    </row>
    <row r="15" spans="1:10" ht="15.75" x14ac:dyDescent="0.25">
      <c r="A15" s="68"/>
      <c r="B15" s="69"/>
      <c r="C15" s="69"/>
      <c r="D15" s="67"/>
      <c r="E15" s="205"/>
      <c r="F15" s="52"/>
    </row>
    <row r="16" spans="1:10" ht="15.75" x14ac:dyDescent="0.25">
      <c r="A16" s="70">
        <v>43848</v>
      </c>
      <c r="B16" s="71">
        <v>0.54166666666666663</v>
      </c>
      <c r="C16" s="71">
        <v>0.75</v>
      </c>
      <c r="D16" s="72">
        <f>(C16-B16)</f>
        <v>0.20833333333333337</v>
      </c>
      <c r="E16" s="206" t="s">
        <v>20</v>
      </c>
      <c r="F16" s="52"/>
    </row>
    <row r="17" spans="1:11" ht="15.75" x14ac:dyDescent="0.25">
      <c r="A17" s="70"/>
      <c r="B17" s="71"/>
      <c r="C17" s="71"/>
      <c r="D17" s="73"/>
      <c r="E17" s="206"/>
      <c r="F17" s="52"/>
      <c r="G17" s="12"/>
    </row>
    <row r="18" spans="1:11" ht="15.75" x14ac:dyDescent="0.25">
      <c r="A18" s="55"/>
      <c r="B18" s="56"/>
      <c r="C18" s="56"/>
      <c r="D18" s="63">
        <f>(C18-B18)</f>
        <v>0</v>
      </c>
      <c r="E18" s="207"/>
      <c r="F18" s="52"/>
      <c r="G18" s="12"/>
    </row>
    <row r="19" spans="1:11" ht="15.75" x14ac:dyDescent="0.25">
      <c r="A19" s="31"/>
      <c r="B19" s="32"/>
      <c r="C19" s="32"/>
      <c r="D19" s="50"/>
      <c r="E19" s="208"/>
      <c r="F19" s="53"/>
      <c r="I19" s="8"/>
      <c r="K19" s="8"/>
    </row>
    <row r="20" spans="1:11" x14ac:dyDescent="0.2">
      <c r="H20" s="8"/>
      <c r="I20" s="8"/>
      <c r="K20" s="8"/>
    </row>
    <row r="21" spans="1:11" ht="24" thickBot="1" x14ac:dyDescent="0.4">
      <c r="A21" s="28" t="s">
        <v>21</v>
      </c>
      <c r="B21" s="28"/>
      <c r="C21" s="27"/>
      <c r="D21" s="27"/>
      <c r="E21" s="27"/>
      <c r="H21" s="8"/>
      <c r="I21" s="8"/>
      <c r="K21" s="8"/>
    </row>
    <row r="22" spans="1:11" ht="13.5" thickBot="1" x14ac:dyDescent="0.25">
      <c r="A22" s="5"/>
      <c r="B22" s="15"/>
      <c r="C22" s="16"/>
      <c r="D22" s="17"/>
      <c r="E22" s="18"/>
      <c r="F22" s="5"/>
      <c r="G22" s="5"/>
      <c r="H22" s="9"/>
      <c r="I22" s="9"/>
      <c r="K22" s="8"/>
    </row>
    <row r="23" spans="1:11" ht="15.75" customHeight="1" x14ac:dyDescent="0.2">
      <c r="A23" s="191" t="s">
        <v>22</v>
      </c>
      <c r="B23" s="192"/>
      <c r="C23" s="192"/>
      <c r="D23" s="192"/>
      <c r="E23" s="193"/>
      <c r="H23" s="10"/>
      <c r="I23" s="10"/>
      <c r="K23" s="8"/>
    </row>
    <row r="24" spans="1:11" ht="12.75" customHeight="1" x14ac:dyDescent="0.2">
      <c r="A24" s="194"/>
      <c r="B24" s="195"/>
      <c r="C24" s="195"/>
      <c r="D24" s="195"/>
      <c r="E24" s="196"/>
      <c r="F24" s="30"/>
      <c r="G24" s="30"/>
      <c r="H24" s="29"/>
      <c r="K24" s="8"/>
    </row>
    <row r="25" spans="1:11" ht="12.75" customHeight="1" x14ac:dyDescent="0.2">
      <c r="A25" s="194"/>
      <c r="B25" s="195"/>
      <c r="C25" s="195"/>
      <c r="D25" s="195"/>
      <c r="E25" s="196"/>
      <c r="F25" s="30"/>
      <c r="G25" s="30"/>
      <c r="H25" s="29"/>
      <c r="K25" s="9"/>
    </row>
    <row r="26" spans="1:11" ht="12.75" customHeight="1" x14ac:dyDescent="0.2">
      <c r="A26" s="194"/>
      <c r="B26" s="195"/>
      <c r="C26" s="195"/>
      <c r="D26" s="195"/>
      <c r="E26" s="196"/>
      <c r="F26" s="30"/>
      <c r="G26" s="30"/>
      <c r="H26" s="29"/>
      <c r="K26" s="11"/>
    </row>
    <row r="27" spans="1:11" ht="12.75" customHeight="1" x14ac:dyDescent="0.2">
      <c r="A27" s="194"/>
      <c r="B27" s="195"/>
      <c r="C27" s="195"/>
      <c r="D27" s="195"/>
      <c r="E27" s="196"/>
      <c r="F27" s="30"/>
      <c r="G27" s="30"/>
      <c r="H27" s="29"/>
      <c r="K27" s="7"/>
    </row>
    <row r="28" spans="1:11" ht="12.75" customHeight="1" x14ac:dyDescent="0.2">
      <c r="A28" s="194"/>
      <c r="B28" s="195"/>
      <c r="C28" s="195"/>
      <c r="D28" s="195"/>
      <c r="E28" s="196"/>
      <c r="F28" s="30"/>
      <c r="G28" s="30"/>
      <c r="H28" s="29"/>
    </row>
    <row r="29" spans="1:11" ht="12.75" customHeight="1" x14ac:dyDescent="0.2">
      <c r="A29" s="194"/>
      <c r="B29" s="195"/>
      <c r="C29" s="195"/>
      <c r="D29" s="195"/>
      <c r="E29" s="196"/>
      <c r="F29" s="30"/>
      <c r="G29" s="30"/>
      <c r="H29" s="29"/>
    </row>
    <row r="30" spans="1:11" ht="12.75" customHeight="1" x14ac:dyDescent="0.2">
      <c r="A30" s="194"/>
      <c r="B30" s="195"/>
      <c r="C30" s="195"/>
      <c r="D30" s="195"/>
      <c r="E30" s="196"/>
      <c r="F30" s="30"/>
      <c r="G30" s="30"/>
      <c r="H30" s="29"/>
    </row>
    <row r="31" spans="1:11" ht="12.75" customHeight="1" x14ac:dyDescent="0.2">
      <c r="A31" s="194"/>
      <c r="B31" s="195"/>
      <c r="C31" s="195"/>
      <c r="D31" s="195"/>
      <c r="E31" s="196"/>
      <c r="F31" s="30"/>
      <c r="G31" s="30"/>
      <c r="H31" s="29"/>
    </row>
    <row r="32" spans="1:11" ht="12.75" customHeight="1" x14ac:dyDescent="0.2">
      <c r="A32" s="194"/>
      <c r="B32" s="195"/>
      <c r="C32" s="195"/>
      <c r="D32" s="195"/>
      <c r="E32" s="196"/>
      <c r="F32" s="30"/>
      <c r="G32" s="30"/>
      <c r="H32" s="29"/>
    </row>
    <row r="33" spans="1:8" ht="12.75" customHeight="1" x14ac:dyDescent="0.2">
      <c r="A33" s="194"/>
      <c r="B33" s="195"/>
      <c r="C33" s="195"/>
      <c r="D33" s="195"/>
      <c r="E33" s="196"/>
      <c r="F33" s="30"/>
      <c r="G33" s="30"/>
      <c r="H33" s="29"/>
    </row>
    <row r="34" spans="1:8" ht="12.75" customHeight="1" x14ac:dyDescent="0.2">
      <c r="A34" s="194"/>
      <c r="B34" s="195"/>
      <c r="C34" s="195"/>
      <c r="D34" s="195"/>
      <c r="E34" s="196"/>
      <c r="F34" s="30"/>
      <c r="G34" s="30"/>
      <c r="H34" s="29"/>
    </row>
    <row r="35" spans="1:8" ht="13.5" customHeight="1" x14ac:dyDescent="0.2">
      <c r="A35" s="194"/>
      <c r="B35" s="195"/>
      <c r="C35" s="195"/>
      <c r="D35" s="195"/>
      <c r="E35" s="196"/>
    </row>
    <row r="36" spans="1:8" ht="13.5" thickBot="1" x14ac:dyDescent="0.25">
      <c r="A36" s="197"/>
      <c r="B36" s="198"/>
      <c r="C36" s="198"/>
      <c r="D36" s="198"/>
      <c r="E36" s="199"/>
    </row>
  </sheetData>
  <mergeCells count="10">
    <mergeCell ref="J4:J5"/>
    <mergeCell ref="A23:E36"/>
    <mergeCell ref="A1:D1"/>
    <mergeCell ref="A4:B5"/>
    <mergeCell ref="C4:D5"/>
    <mergeCell ref="E10:E11"/>
    <mergeCell ref="E12:E13"/>
    <mergeCell ref="E14:E15"/>
    <mergeCell ref="E16:E17"/>
    <mergeCell ref="E18:E19"/>
  </mergeCells>
  <conditionalFormatting sqref="G17:G18">
    <cfRule type="expression" dxfId="161" priority="5">
      <formula>ISNUMBER(SEARCH(TEXT(#REF!,"ddd"),#REF!))</formula>
    </cfRule>
  </conditionalFormatting>
  <conditionalFormatting sqref="H20:I21 I19">
    <cfRule type="expression" dxfId="160" priority="6">
      <formula>ISNUMBER(SEARCH(TEXT(#REF!,"ddd"),#REF!))</formula>
    </cfRule>
  </conditionalFormatting>
  <conditionalFormatting sqref="A10:D12 A16:D17 A18:C18">
    <cfRule type="expression" dxfId="159" priority="7">
      <formula>ISNUMBER(SEARCH(TEXT(#REF!,"ddd"),#REF!))</formula>
    </cfRule>
  </conditionalFormatting>
  <conditionalFormatting sqref="K19:K24">
    <cfRule type="expression" dxfId="158" priority="8">
      <formula>ISNUMBER(SEARCH(TEXT(#REF!,"ddd"),#REF!))</formula>
    </cfRule>
  </conditionalFormatting>
  <conditionalFormatting sqref="D14">
    <cfRule type="expression" dxfId="157" priority="4">
      <formula>ISNUMBER(SEARCH(TEXT(#REF!,"ddd"),#REF!))</formula>
    </cfRule>
  </conditionalFormatting>
  <conditionalFormatting sqref="A14:C14">
    <cfRule type="expression" dxfId="156" priority="1">
      <formula>ISNUMBER(SEARCH(TEXT(#REF!,"ddd"),#REF!))</formula>
    </cfRule>
  </conditionalFormatting>
  <conditionalFormatting sqref="A13:D13">
    <cfRule type="expression" dxfId="155" priority="3">
      <formula>ISNUMBER(SEARCH(TEXT(#REF!,"ddd"),#REF!))</formula>
    </cfRule>
  </conditionalFormatting>
  <conditionalFormatting sqref="A15:D15">
    <cfRule type="expression" dxfId="154" priority="2">
      <formula>ISNUMBER(SEARCH(TEXT(#REF!,"ddd"),#REF!))</formula>
    </cfRule>
  </conditionalFormatting>
  <dataValidations count="3">
    <dataValidation type="custom" allowBlank="1" showInputMessage="1" showErrorMessage="1" sqref="C10 C17" xr:uid="{2264F8A4-9B24-4DAA-BC96-07B70F271F28}">
      <formula1>AND($C10&lt;=1,ISNUMBER($C10),($C10&gt;=$B10))</formula1>
    </dataValidation>
    <dataValidation type="custom" allowBlank="1" showInputMessage="1" showErrorMessage="1" sqref="G17:G18" xr:uid="{8FAEBDEF-1AE6-403F-A6CC-D0A6ACC3E23C}">
      <formula1>AND($B15&lt;=1,ISNUMBER($B15))</formula1>
    </dataValidation>
    <dataValidation type="custom" allowBlank="1" showInputMessage="1" showErrorMessage="1" sqref="C18 B10:B18 C11:C16" xr:uid="{3ECDF657-8BF6-4E9E-86E1-7915E665494E}">
      <formula1>AND($B10&lt;=1,ISNUMBER($B10))</formula1>
    </dataValidation>
  </dataValidations>
  <pageMargins left="0.25" right="0.25"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667ED-4318-47E0-A303-0CB166066F17}">
  <sheetPr codeName="Sheet9"/>
  <dimension ref="A1:K36"/>
  <sheetViews>
    <sheetView showGridLines="0" zoomScaleNormal="100" workbookViewId="0">
      <selection activeCell="C6" sqref="C6"/>
    </sheetView>
  </sheetViews>
  <sheetFormatPr baseColWidth="10" defaultColWidth="9" defaultRowHeight="12.75" x14ac:dyDescent="0.2"/>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200" t="s">
        <v>0</v>
      </c>
      <c r="B1" s="200"/>
      <c r="C1" s="200"/>
      <c r="D1" s="200"/>
      <c r="E1" s="47">
        <f>WEEKNUM(A10)</f>
        <v>4</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45">
        <f>A10</f>
        <v>43850</v>
      </c>
      <c r="B3" s="154"/>
      <c r="C3" s="45">
        <f>A16</f>
        <v>43856</v>
      </c>
      <c r="D3" s="154"/>
      <c r="E3" s="34" t="s">
        <v>6</v>
      </c>
      <c r="F3" s="38">
        <f>Sumcolor(E3,D10:D19)</f>
        <v>0.1875</v>
      </c>
      <c r="G3" s="39">
        <f>SUM(Først:Sist!F3)</f>
        <v>0.62499999999999989</v>
      </c>
      <c r="H3" s="22"/>
      <c r="I3" s="7"/>
      <c r="J3" s="7"/>
    </row>
    <row r="4" spans="1:10" ht="15" customHeight="1" x14ac:dyDescent="0.2">
      <c r="A4" s="192" t="s">
        <v>7</v>
      </c>
      <c r="B4" s="192"/>
      <c r="C4" s="201" t="s">
        <v>8</v>
      </c>
      <c r="D4" s="201"/>
      <c r="E4" s="35" t="s">
        <v>9</v>
      </c>
      <c r="F4" s="38">
        <f>Sumcolor(E4,D10:D19)</f>
        <v>0</v>
      </c>
      <c r="G4" s="39">
        <f>SUM(Først:Sist!F4)</f>
        <v>2.7604166666666665</v>
      </c>
      <c r="H4" s="22"/>
      <c r="I4" s="7"/>
      <c r="J4" s="190"/>
    </row>
    <row r="5" spans="1:10" ht="15.75" x14ac:dyDescent="0.2">
      <c r="A5" s="201"/>
      <c r="B5" s="201"/>
      <c r="C5" s="201"/>
      <c r="D5" s="201"/>
      <c r="E5" s="36" t="s">
        <v>10</v>
      </c>
      <c r="F5" s="38">
        <f>Sumcolor(E5,D10:D19)</f>
        <v>0</v>
      </c>
      <c r="G5" s="39">
        <f>SUM(Først:Sist!F5)</f>
        <v>1.1701388888888882</v>
      </c>
      <c r="H5" s="22"/>
      <c r="I5" s="7"/>
      <c r="J5" s="190"/>
    </row>
    <row r="6" spans="1:10" ht="18.75" customHeight="1" thickBot="1" x14ac:dyDescent="0.25">
      <c r="A6" s="42">
        <f>SUM(D10:D19)</f>
        <v>0.25</v>
      </c>
      <c r="B6" s="43"/>
      <c r="C6" s="89">
        <f>SUM(Først:Sist!A6)</f>
        <v>6.8680555555555571</v>
      </c>
      <c r="D6" s="44"/>
      <c r="E6" s="37" t="s">
        <v>11</v>
      </c>
      <c r="F6" s="40">
        <f>Sumcolor(E6,D10:D19)</f>
        <v>6.25E-2</v>
      </c>
      <c r="G6" s="40">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33" t="s">
        <v>16</v>
      </c>
      <c r="F9" s="54" t="s">
        <v>17</v>
      </c>
      <c r="H9" s="25"/>
    </row>
    <row r="10" spans="1:10" ht="15.75" x14ac:dyDescent="0.25">
      <c r="A10" s="57">
        <v>43850</v>
      </c>
      <c r="B10" s="58">
        <v>0.58333333333333337</v>
      </c>
      <c r="C10" s="58">
        <v>0.64583333333333337</v>
      </c>
      <c r="D10" s="61">
        <f t="shared" ref="D10" si="0">(C10-B10)</f>
        <v>6.25E-2</v>
      </c>
      <c r="E10" s="202" t="s">
        <v>18</v>
      </c>
      <c r="F10" s="51"/>
      <c r="H10" s="25"/>
    </row>
    <row r="11" spans="1:10" ht="15.75" x14ac:dyDescent="0.25">
      <c r="A11" s="59"/>
      <c r="B11" s="60"/>
      <c r="C11" s="60"/>
      <c r="D11" s="62"/>
      <c r="E11" s="203"/>
      <c r="F11" s="52"/>
      <c r="H11" s="25"/>
    </row>
    <row r="12" spans="1:10" ht="15.75" x14ac:dyDescent="0.25">
      <c r="A12" s="64">
        <v>43852</v>
      </c>
      <c r="B12" s="65">
        <v>0.41666666666666669</v>
      </c>
      <c r="C12" s="65">
        <v>0.47916666666666669</v>
      </c>
      <c r="D12" s="66">
        <f>(C12-B12)</f>
        <v>6.25E-2</v>
      </c>
      <c r="E12" s="204" t="s">
        <v>19</v>
      </c>
      <c r="F12" s="52"/>
    </row>
    <row r="13" spans="1:10" ht="15.75" x14ac:dyDescent="0.25">
      <c r="A13" s="64"/>
      <c r="B13" s="65"/>
      <c r="C13" s="65"/>
      <c r="D13" s="67"/>
      <c r="E13" s="204"/>
      <c r="F13" s="52"/>
    </row>
    <row r="14" spans="1:10" ht="15.75" x14ac:dyDescent="0.25">
      <c r="A14" s="64">
        <v>43853</v>
      </c>
      <c r="B14" s="65">
        <v>0.41666666666666669</v>
      </c>
      <c r="C14" s="65">
        <v>0.47916666666666669</v>
      </c>
      <c r="D14" s="66">
        <f>(C14-B14)</f>
        <v>6.25E-2</v>
      </c>
      <c r="E14" s="205" t="s">
        <v>18</v>
      </c>
      <c r="F14" s="52"/>
    </row>
    <row r="15" spans="1:10" ht="15.75" x14ac:dyDescent="0.25">
      <c r="A15" s="68"/>
      <c r="B15" s="69"/>
      <c r="C15" s="69"/>
      <c r="D15" s="67"/>
      <c r="E15" s="205"/>
      <c r="F15" s="52"/>
    </row>
    <row r="16" spans="1:10" ht="15.75" x14ac:dyDescent="0.25">
      <c r="A16" s="70">
        <v>43856</v>
      </c>
      <c r="B16" s="71">
        <v>0.1875</v>
      </c>
      <c r="C16" s="71">
        <v>0.25</v>
      </c>
      <c r="D16" s="72">
        <f>(C16-B16)</f>
        <v>6.25E-2</v>
      </c>
      <c r="E16" s="206" t="s">
        <v>20</v>
      </c>
      <c r="F16" s="52"/>
    </row>
    <row r="17" spans="1:11" ht="15.75" x14ac:dyDescent="0.25">
      <c r="A17" s="70"/>
      <c r="B17" s="71"/>
      <c r="C17" s="71"/>
      <c r="D17" s="73"/>
      <c r="E17" s="206"/>
      <c r="F17" s="52"/>
      <c r="G17" s="12"/>
    </row>
    <row r="18" spans="1:11" ht="15.75" x14ac:dyDescent="0.25">
      <c r="A18" s="55"/>
      <c r="B18" s="56"/>
      <c r="C18" s="56"/>
      <c r="D18" s="63">
        <f>(C18-B18)</f>
        <v>0</v>
      </c>
      <c r="E18" s="207"/>
      <c r="F18" s="52"/>
      <c r="G18" s="12"/>
    </row>
    <row r="19" spans="1:11" ht="16.5" thickBot="1" x14ac:dyDescent="0.3">
      <c r="A19" s="31"/>
      <c r="B19" s="32"/>
      <c r="C19" s="32"/>
      <c r="D19" s="50"/>
      <c r="E19" s="208"/>
      <c r="F19" s="53"/>
      <c r="I19" s="8"/>
      <c r="K19" s="8"/>
    </row>
    <row r="20" spans="1:11" x14ac:dyDescent="0.2">
      <c r="H20" s="8"/>
      <c r="I20" s="8"/>
      <c r="K20" s="8"/>
    </row>
    <row r="21" spans="1:11" ht="24" thickBot="1" x14ac:dyDescent="0.4">
      <c r="A21" s="28" t="s">
        <v>21</v>
      </c>
      <c r="B21" s="28"/>
      <c r="C21" s="27"/>
      <c r="D21" s="27"/>
      <c r="E21" s="27"/>
      <c r="H21" s="8"/>
      <c r="I21" s="8"/>
      <c r="K21" s="8"/>
    </row>
    <row r="22" spans="1:11" ht="13.5" thickBot="1" x14ac:dyDescent="0.25">
      <c r="A22" s="5"/>
      <c r="B22" s="15"/>
      <c r="C22" s="16"/>
      <c r="D22" s="17"/>
      <c r="E22" s="18"/>
      <c r="F22" s="5"/>
      <c r="G22" s="5"/>
      <c r="H22" s="9"/>
      <c r="I22" s="9"/>
      <c r="K22" s="8"/>
    </row>
    <row r="23" spans="1:11" ht="15.75" customHeight="1" x14ac:dyDescent="0.2">
      <c r="A23" s="191" t="s">
        <v>23</v>
      </c>
      <c r="B23" s="192"/>
      <c r="C23" s="192"/>
      <c r="D23" s="192"/>
      <c r="E23" s="193"/>
      <c r="H23" s="10"/>
      <c r="I23" s="10"/>
      <c r="K23" s="8"/>
    </row>
    <row r="24" spans="1:11" ht="12.75" customHeight="1" x14ac:dyDescent="0.2">
      <c r="A24" s="194"/>
      <c r="B24" s="195"/>
      <c r="C24" s="195"/>
      <c r="D24" s="195"/>
      <c r="E24" s="196"/>
      <c r="F24" s="30"/>
      <c r="G24" s="30"/>
      <c r="H24" s="29"/>
      <c r="K24" s="8"/>
    </row>
    <row r="25" spans="1:11" ht="12.75" customHeight="1" x14ac:dyDescent="0.2">
      <c r="A25" s="194"/>
      <c r="B25" s="195"/>
      <c r="C25" s="195"/>
      <c r="D25" s="195"/>
      <c r="E25" s="196"/>
      <c r="F25" s="30"/>
      <c r="G25" s="30"/>
      <c r="H25" s="29"/>
      <c r="K25" s="9"/>
    </row>
    <row r="26" spans="1:11" ht="12.75" customHeight="1" x14ac:dyDescent="0.2">
      <c r="A26" s="194"/>
      <c r="B26" s="195"/>
      <c r="C26" s="195"/>
      <c r="D26" s="195"/>
      <c r="E26" s="196"/>
      <c r="F26" s="30"/>
      <c r="G26" s="30"/>
      <c r="H26" s="29"/>
      <c r="K26" s="11"/>
    </row>
    <row r="27" spans="1:11" ht="12.75" customHeight="1" x14ac:dyDescent="0.2">
      <c r="A27" s="194"/>
      <c r="B27" s="195"/>
      <c r="C27" s="195"/>
      <c r="D27" s="195"/>
      <c r="E27" s="196"/>
      <c r="F27" s="30"/>
      <c r="G27" s="30"/>
      <c r="H27" s="29"/>
      <c r="K27" s="7"/>
    </row>
    <row r="28" spans="1:11" ht="12.75" customHeight="1" x14ac:dyDescent="0.2">
      <c r="A28" s="194"/>
      <c r="B28" s="195"/>
      <c r="C28" s="195"/>
      <c r="D28" s="195"/>
      <c r="E28" s="196"/>
      <c r="F28" s="30"/>
      <c r="G28" s="30"/>
      <c r="H28" s="29"/>
    </row>
    <row r="29" spans="1:11" ht="12.75" customHeight="1" x14ac:dyDescent="0.2">
      <c r="A29" s="194"/>
      <c r="B29" s="195"/>
      <c r="C29" s="195"/>
      <c r="D29" s="195"/>
      <c r="E29" s="196"/>
      <c r="F29" s="30"/>
      <c r="G29" s="30"/>
      <c r="H29" s="29"/>
    </row>
    <row r="30" spans="1:11" ht="12.75" customHeight="1" x14ac:dyDescent="0.2">
      <c r="A30" s="194"/>
      <c r="B30" s="195"/>
      <c r="C30" s="195"/>
      <c r="D30" s="195"/>
      <c r="E30" s="196"/>
      <c r="F30" s="30"/>
      <c r="G30" s="30"/>
      <c r="H30" s="29"/>
    </row>
    <row r="31" spans="1:11" ht="12.75" customHeight="1" x14ac:dyDescent="0.2">
      <c r="A31" s="194"/>
      <c r="B31" s="195"/>
      <c r="C31" s="195"/>
      <c r="D31" s="195"/>
      <c r="E31" s="196"/>
      <c r="F31" s="30"/>
      <c r="G31" s="30"/>
      <c r="H31" s="29"/>
    </row>
    <row r="32" spans="1:11" ht="12.75" customHeight="1" x14ac:dyDescent="0.2">
      <c r="A32" s="194"/>
      <c r="B32" s="195"/>
      <c r="C32" s="195"/>
      <c r="D32" s="195"/>
      <c r="E32" s="196"/>
      <c r="F32" s="30"/>
      <c r="G32" s="30"/>
      <c r="H32" s="29"/>
    </row>
    <row r="33" spans="1:8" ht="12.75" customHeight="1" x14ac:dyDescent="0.2">
      <c r="A33" s="194"/>
      <c r="B33" s="195"/>
      <c r="C33" s="195"/>
      <c r="D33" s="195"/>
      <c r="E33" s="196"/>
      <c r="F33" s="30"/>
      <c r="G33" s="30"/>
      <c r="H33" s="29"/>
    </row>
    <row r="34" spans="1:8" ht="12.75" customHeight="1" x14ac:dyDescent="0.2">
      <c r="A34" s="194"/>
      <c r="B34" s="195"/>
      <c r="C34" s="195"/>
      <c r="D34" s="195"/>
      <c r="E34" s="196"/>
      <c r="F34" s="30"/>
      <c r="G34" s="30"/>
      <c r="H34" s="29"/>
    </row>
    <row r="35" spans="1:8" ht="13.5" customHeight="1" x14ac:dyDescent="0.2">
      <c r="A35" s="194"/>
      <c r="B35" s="195"/>
      <c r="C35" s="195"/>
      <c r="D35" s="195"/>
      <c r="E35" s="196"/>
    </row>
    <row r="36" spans="1:8" ht="13.5" thickBot="1" x14ac:dyDescent="0.25">
      <c r="A36" s="197"/>
      <c r="B36" s="198"/>
      <c r="C36" s="198"/>
      <c r="D36" s="198"/>
      <c r="E36" s="199"/>
    </row>
  </sheetData>
  <mergeCells count="10">
    <mergeCell ref="J4:J5"/>
    <mergeCell ref="E10:E11"/>
    <mergeCell ref="E12:E13"/>
    <mergeCell ref="E14:E15"/>
    <mergeCell ref="E16:E17"/>
    <mergeCell ref="E18:E19"/>
    <mergeCell ref="A23:E36"/>
    <mergeCell ref="A1:D1"/>
    <mergeCell ref="A4:B5"/>
    <mergeCell ref="C4:D5"/>
  </mergeCells>
  <conditionalFormatting sqref="G17:G18">
    <cfRule type="expression" dxfId="153" priority="5">
      <formula>ISNUMBER(SEARCH(TEXT(#REF!,"ddd"),#REF!))</formula>
    </cfRule>
  </conditionalFormatting>
  <conditionalFormatting sqref="H20:I21 I19">
    <cfRule type="expression" dxfId="152" priority="6">
      <formula>ISNUMBER(SEARCH(TEXT(#REF!,"ddd"),#REF!))</formula>
    </cfRule>
  </conditionalFormatting>
  <conditionalFormatting sqref="A10:D12 A16:D17 A18:C18">
    <cfRule type="expression" dxfId="151" priority="7">
      <formula>ISNUMBER(SEARCH(TEXT(#REF!,"ddd"),#REF!))</formula>
    </cfRule>
  </conditionalFormatting>
  <conditionalFormatting sqref="K19:K24">
    <cfRule type="expression" dxfId="150" priority="8">
      <formula>ISNUMBER(SEARCH(TEXT(#REF!,"ddd"),#REF!))</formula>
    </cfRule>
  </conditionalFormatting>
  <conditionalFormatting sqref="D14">
    <cfRule type="expression" dxfId="149" priority="4">
      <formula>ISNUMBER(SEARCH(TEXT(#REF!,"ddd"),#REF!))</formula>
    </cfRule>
  </conditionalFormatting>
  <conditionalFormatting sqref="A14:C14">
    <cfRule type="expression" dxfId="148" priority="1">
      <formula>ISNUMBER(SEARCH(TEXT(#REF!,"ddd"),#REF!))</formula>
    </cfRule>
  </conditionalFormatting>
  <conditionalFormatting sqref="A13:D13">
    <cfRule type="expression" dxfId="147" priority="3">
      <formula>ISNUMBER(SEARCH(TEXT(#REF!,"ddd"),#REF!))</formula>
    </cfRule>
  </conditionalFormatting>
  <conditionalFormatting sqref="A15:D15">
    <cfRule type="expression" dxfId="146" priority="2">
      <formula>ISNUMBER(SEARCH(TEXT(#REF!,"ddd"),#REF!))</formula>
    </cfRule>
  </conditionalFormatting>
  <dataValidations count="3">
    <dataValidation type="custom" allowBlank="1" showInputMessage="1" showErrorMessage="1" sqref="C18 B10:B18 C11:C16" xr:uid="{A380D673-6045-4BDA-8597-21EE090D972B}">
      <formula1>AND($B10&lt;=1,ISNUMBER($B10))</formula1>
    </dataValidation>
    <dataValidation type="custom" allowBlank="1" showInputMessage="1" showErrorMessage="1" sqref="G17:G18" xr:uid="{1B35988D-054A-4673-8FC0-E23C9F41670D}">
      <formula1>AND($B15&lt;=1,ISNUMBER($B15))</formula1>
    </dataValidation>
    <dataValidation type="custom" allowBlank="1" showInputMessage="1" showErrorMessage="1" sqref="C10 C17" xr:uid="{F22A1887-EB4F-4B94-A149-487250F3823B}">
      <formula1>AND($C10&lt;=1,ISNUMBER($C10),($C10&gt;=$B10))</formula1>
    </dataValidation>
  </dataValidations>
  <pageMargins left="0.25" right="0.25"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9B3BF-B3F2-4B48-829A-5E396404D201}">
  <sheetPr codeName="Sheet10"/>
  <dimension ref="A1:K36"/>
  <sheetViews>
    <sheetView showGridLines="0" zoomScaleNormal="100" workbookViewId="0">
      <selection activeCell="C6" sqref="C6"/>
    </sheetView>
  </sheetViews>
  <sheetFormatPr baseColWidth="10" defaultColWidth="9" defaultRowHeight="12.75" x14ac:dyDescent="0.2"/>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200" t="s">
        <v>0</v>
      </c>
      <c r="B1" s="200"/>
      <c r="C1" s="200"/>
      <c r="D1" s="200"/>
      <c r="E1" s="47">
        <f>WEEKNUM(A10)</f>
        <v>5</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45">
        <f>A10</f>
        <v>43859</v>
      </c>
      <c r="B3" s="154"/>
      <c r="C3" s="45">
        <f>A18</f>
        <v>43861</v>
      </c>
      <c r="D3" s="154"/>
      <c r="E3" s="34" t="s">
        <v>6</v>
      </c>
      <c r="F3" s="38">
        <f>Sumcolor(E3,D10:D19)</f>
        <v>9.375E-2</v>
      </c>
      <c r="G3" s="39">
        <f>SUM(Først:Sist!F3)</f>
        <v>0.62499999999999989</v>
      </c>
      <c r="H3" s="22"/>
      <c r="I3" s="7"/>
      <c r="J3" s="7"/>
    </row>
    <row r="4" spans="1:10" ht="15" customHeight="1" x14ac:dyDescent="0.2">
      <c r="A4" s="192" t="s">
        <v>7</v>
      </c>
      <c r="B4" s="192"/>
      <c r="C4" s="201" t="s">
        <v>8</v>
      </c>
      <c r="D4" s="201"/>
      <c r="E4" s="35" t="s">
        <v>9</v>
      </c>
      <c r="F4" s="38">
        <f>Sumcolor(E4,D10:D19)</f>
        <v>0</v>
      </c>
      <c r="G4" s="39">
        <f>SUM(Først:Sist!F4)</f>
        <v>2.7604166666666665</v>
      </c>
      <c r="H4" s="22"/>
      <c r="I4" s="7"/>
      <c r="J4" s="190"/>
    </row>
    <row r="5" spans="1:10" ht="15.75" x14ac:dyDescent="0.2">
      <c r="A5" s="201"/>
      <c r="B5" s="201"/>
      <c r="C5" s="201"/>
      <c r="D5" s="201"/>
      <c r="E5" s="36" t="s">
        <v>10</v>
      </c>
      <c r="F5" s="38">
        <f>Sumcolor(E5,D10:D19)</f>
        <v>1.7361111111111049E-2</v>
      </c>
      <c r="G5" s="39">
        <f>SUM(Først:Sist!F5)</f>
        <v>1.1701388888888882</v>
      </c>
      <c r="H5" s="22"/>
      <c r="I5" s="7"/>
      <c r="J5" s="190"/>
    </row>
    <row r="6" spans="1:10" ht="18.75" customHeight="1" thickBot="1" x14ac:dyDescent="0.25">
      <c r="A6" s="42">
        <f>SUM(D10:D19)</f>
        <v>0.27777777777777768</v>
      </c>
      <c r="B6" s="43"/>
      <c r="C6" s="89">
        <f>SUM(Først:Sist!A6)</f>
        <v>6.8680555555555571</v>
      </c>
      <c r="D6" s="44"/>
      <c r="E6" s="37" t="s">
        <v>11</v>
      </c>
      <c r="F6" s="40">
        <f>Sumcolor(E6,D10:D19)</f>
        <v>0.16666666666666663</v>
      </c>
      <c r="G6" s="40">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33" t="s">
        <v>16</v>
      </c>
      <c r="F9" s="54" t="s">
        <v>17</v>
      </c>
      <c r="H9" s="25"/>
    </row>
    <row r="10" spans="1:10" ht="15.75" x14ac:dyDescent="0.25">
      <c r="A10" s="57">
        <v>43859</v>
      </c>
      <c r="B10" s="58">
        <v>0.41666666666666669</v>
      </c>
      <c r="C10" s="58">
        <v>0.44791666666666669</v>
      </c>
      <c r="D10" s="61">
        <f t="shared" ref="D10" si="0">(C10-B10)</f>
        <v>3.125E-2</v>
      </c>
      <c r="E10" s="202" t="s">
        <v>18</v>
      </c>
      <c r="F10" s="51"/>
      <c r="H10" s="25"/>
    </row>
    <row r="11" spans="1:10" ht="15.75" x14ac:dyDescent="0.25">
      <c r="A11" s="59"/>
      <c r="B11" s="60"/>
      <c r="C11" s="60"/>
      <c r="D11" s="62"/>
      <c r="E11" s="203"/>
      <c r="F11" s="52"/>
      <c r="H11" s="25"/>
    </row>
    <row r="12" spans="1:10" ht="15.75" x14ac:dyDescent="0.25">
      <c r="A12" s="77">
        <v>43859</v>
      </c>
      <c r="B12" s="78">
        <v>0.5</v>
      </c>
      <c r="C12" s="78">
        <v>0.51736111111111105</v>
      </c>
      <c r="D12" s="79">
        <f>(C12-B12)</f>
        <v>1.7361111111111049E-2</v>
      </c>
      <c r="E12" s="211" t="s">
        <v>24</v>
      </c>
      <c r="F12" s="52"/>
    </row>
    <row r="13" spans="1:10" ht="15.75" x14ac:dyDescent="0.25">
      <c r="A13" s="77"/>
      <c r="B13" s="78"/>
      <c r="C13" s="78"/>
      <c r="D13" s="80"/>
      <c r="E13" s="211"/>
      <c r="F13" s="52"/>
    </row>
    <row r="14" spans="1:10" ht="15.75" x14ac:dyDescent="0.25">
      <c r="A14" s="64">
        <v>43860</v>
      </c>
      <c r="B14" s="65">
        <v>0.41666666666666669</v>
      </c>
      <c r="C14" s="65">
        <v>0.47916666666666669</v>
      </c>
      <c r="D14" s="66">
        <f>(C14-B14)</f>
        <v>6.25E-2</v>
      </c>
      <c r="E14" s="205" t="s">
        <v>18</v>
      </c>
      <c r="F14" s="52"/>
    </row>
    <row r="15" spans="1:10" ht="15.75" x14ac:dyDescent="0.25">
      <c r="A15" s="68"/>
      <c r="B15" s="69"/>
      <c r="C15" s="69"/>
      <c r="D15" s="67"/>
      <c r="E15" s="205"/>
      <c r="F15" s="52"/>
    </row>
    <row r="16" spans="1:10" ht="15.75" x14ac:dyDescent="0.25">
      <c r="A16" s="70">
        <v>43860</v>
      </c>
      <c r="B16" s="71">
        <v>0.58333333333333337</v>
      </c>
      <c r="C16" s="71">
        <v>0.66666666666666663</v>
      </c>
      <c r="D16" s="72">
        <f>(C16-B16)</f>
        <v>8.3333333333333259E-2</v>
      </c>
      <c r="E16" s="206" t="s">
        <v>20</v>
      </c>
      <c r="F16" s="52"/>
    </row>
    <row r="17" spans="1:11" ht="15.75" x14ac:dyDescent="0.25">
      <c r="A17" s="70"/>
      <c r="B17" s="71"/>
      <c r="C17" s="71"/>
      <c r="D17" s="73"/>
      <c r="E17" s="206"/>
      <c r="F17" s="52"/>
      <c r="G17" s="12"/>
    </row>
    <row r="18" spans="1:11" ht="15.75" x14ac:dyDescent="0.25">
      <c r="A18" s="70">
        <v>43861</v>
      </c>
      <c r="B18" s="71">
        <v>0.33333333333333331</v>
      </c>
      <c r="C18" s="71">
        <v>0.41666666666666669</v>
      </c>
      <c r="D18" s="72">
        <f>(C18-B18)</f>
        <v>8.333333333333337E-2</v>
      </c>
      <c r="E18" s="209" t="s">
        <v>25</v>
      </c>
      <c r="F18" s="52"/>
      <c r="G18" s="12"/>
    </row>
    <row r="19" spans="1:11" ht="16.5" thickBot="1" x14ac:dyDescent="0.3">
      <c r="A19" s="74"/>
      <c r="B19" s="75"/>
      <c r="C19" s="75"/>
      <c r="D19" s="76"/>
      <c r="E19" s="210"/>
      <c r="F19" s="53"/>
      <c r="I19" s="8"/>
      <c r="K19" s="8"/>
    </row>
    <row r="20" spans="1:11" x14ac:dyDescent="0.2">
      <c r="H20" s="8"/>
      <c r="I20" s="8"/>
      <c r="K20" s="8"/>
    </row>
    <row r="21" spans="1:11" ht="24" thickBot="1" x14ac:dyDescent="0.4">
      <c r="A21" s="28" t="s">
        <v>21</v>
      </c>
      <c r="B21" s="28"/>
      <c r="C21" s="27"/>
      <c r="D21" s="27"/>
      <c r="E21" s="27"/>
      <c r="H21" s="8"/>
      <c r="I21" s="8"/>
      <c r="K21" s="8"/>
    </row>
    <row r="22" spans="1:11" ht="13.5" thickBot="1" x14ac:dyDescent="0.25">
      <c r="A22" s="5"/>
      <c r="B22" s="15"/>
      <c r="C22" s="16"/>
      <c r="D22" s="17"/>
      <c r="E22" s="18"/>
      <c r="F22" s="5"/>
      <c r="G22" s="5"/>
      <c r="H22" s="9"/>
      <c r="I22" s="9"/>
      <c r="K22" s="8"/>
    </row>
    <row r="23" spans="1:11" ht="15.75" customHeight="1" x14ac:dyDescent="0.2">
      <c r="A23" s="191" t="s">
        <v>26</v>
      </c>
      <c r="B23" s="192"/>
      <c r="C23" s="192"/>
      <c r="D23" s="192"/>
      <c r="E23" s="193"/>
      <c r="H23" s="10"/>
      <c r="I23" s="10"/>
      <c r="K23" s="8"/>
    </row>
    <row r="24" spans="1:11" ht="12.75" customHeight="1" x14ac:dyDescent="0.2">
      <c r="A24" s="194"/>
      <c r="B24" s="195"/>
      <c r="C24" s="195"/>
      <c r="D24" s="195"/>
      <c r="E24" s="196"/>
      <c r="F24" s="30"/>
      <c r="G24" s="30"/>
      <c r="H24" s="29"/>
      <c r="K24" s="8"/>
    </row>
    <row r="25" spans="1:11" ht="12.75" customHeight="1" x14ac:dyDescent="0.2">
      <c r="A25" s="194"/>
      <c r="B25" s="195"/>
      <c r="C25" s="195"/>
      <c r="D25" s="195"/>
      <c r="E25" s="196"/>
      <c r="F25" s="30"/>
      <c r="G25" s="30"/>
      <c r="H25" s="29"/>
      <c r="K25" s="9"/>
    </row>
    <row r="26" spans="1:11" ht="12.75" customHeight="1" x14ac:dyDescent="0.2">
      <c r="A26" s="194"/>
      <c r="B26" s="195"/>
      <c r="C26" s="195"/>
      <c r="D26" s="195"/>
      <c r="E26" s="196"/>
      <c r="F26" s="30"/>
      <c r="G26" s="30"/>
      <c r="H26" s="29"/>
      <c r="K26" s="11"/>
    </row>
    <row r="27" spans="1:11" ht="12.75" customHeight="1" x14ac:dyDescent="0.2">
      <c r="A27" s="194"/>
      <c r="B27" s="195"/>
      <c r="C27" s="195"/>
      <c r="D27" s="195"/>
      <c r="E27" s="196"/>
      <c r="F27" s="30"/>
      <c r="G27" s="30"/>
      <c r="H27" s="29"/>
      <c r="K27" s="7"/>
    </row>
    <row r="28" spans="1:11" ht="12.75" customHeight="1" x14ac:dyDescent="0.2">
      <c r="A28" s="194"/>
      <c r="B28" s="195"/>
      <c r="C28" s="195"/>
      <c r="D28" s="195"/>
      <c r="E28" s="196"/>
      <c r="F28" s="30"/>
      <c r="G28" s="30"/>
      <c r="H28" s="29"/>
    </row>
    <row r="29" spans="1:11" ht="12.75" customHeight="1" x14ac:dyDescent="0.2">
      <c r="A29" s="194"/>
      <c r="B29" s="195"/>
      <c r="C29" s="195"/>
      <c r="D29" s="195"/>
      <c r="E29" s="196"/>
      <c r="F29" s="30"/>
      <c r="G29" s="30"/>
      <c r="H29" s="29"/>
    </row>
    <row r="30" spans="1:11" ht="12.75" customHeight="1" x14ac:dyDescent="0.2">
      <c r="A30" s="194"/>
      <c r="B30" s="195"/>
      <c r="C30" s="195"/>
      <c r="D30" s="195"/>
      <c r="E30" s="196"/>
      <c r="F30" s="30"/>
      <c r="G30" s="30"/>
      <c r="H30" s="29"/>
    </row>
    <row r="31" spans="1:11" ht="12.75" customHeight="1" x14ac:dyDescent="0.2">
      <c r="A31" s="194"/>
      <c r="B31" s="195"/>
      <c r="C31" s="195"/>
      <c r="D31" s="195"/>
      <c r="E31" s="196"/>
      <c r="F31" s="30"/>
      <c r="G31" s="30"/>
      <c r="H31" s="29"/>
    </row>
    <row r="32" spans="1:11" ht="12.75" customHeight="1" x14ac:dyDescent="0.2">
      <c r="A32" s="194"/>
      <c r="B32" s="195"/>
      <c r="C32" s="195"/>
      <c r="D32" s="195"/>
      <c r="E32" s="196"/>
      <c r="F32" s="30"/>
      <c r="G32" s="30"/>
      <c r="H32" s="29"/>
    </row>
    <row r="33" spans="1:8" ht="12.75" customHeight="1" x14ac:dyDescent="0.2">
      <c r="A33" s="194"/>
      <c r="B33" s="195"/>
      <c r="C33" s="195"/>
      <c r="D33" s="195"/>
      <c r="E33" s="196"/>
      <c r="F33" s="30"/>
      <c r="G33" s="30"/>
      <c r="H33" s="29"/>
    </row>
    <row r="34" spans="1:8" ht="12.75" customHeight="1" x14ac:dyDescent="0.2">
      <c r="A34" s="194"/>
      <c r="B34" s="195"/>
      <c r="C34" s="195"/>
      <c r="D34" s="195"/>
      <c r="E34" s="196"/>
      <c r="F34" s="30"/>
      <c r="G34" s="30"/>
      <c r="H34" s="29"/>
    </row>
    <row r="35" spans="1:8" ht="13.5" customHeight="1" x14ac:dyDescent="0.2">
      <c r="A35" s="194"/>
      <c r="B35" s="195"/>
      <c r="C35" s="195"/>
      <c r="D35" s="195"/>
      <c r="E35" s="196"/>
    </row>
    <row r="36" spans="1:8" ht="13.5" thickBot="1" x14ac:dyDescent="0.25">
      <c r="A36" s="197"/>
      <c r="B36" s="198"/>
      <c r="C36" s="198"/>
      <c r="D36" s="198"/>
      <c r="E36" s="199"/>
    </row>
  </sheetData>
  <mergeCells count="10">
    <mergeCell ref="J4:J5"/>
    <mergeCell ref="E10:E11"/>
    <mergeCell ref="E12:E13"/>
    <mergeCell ref="E14:E15"/>
    <mergeCell ref="E16:E17"/>
    <mergeCell ref="E18:E19"/>
    <mergeCell ref="A23:E36"/>
    <mergeCell ref="A1:D1"/>
    <mergeCell ref="A4:B5"/>
    <mergeCell ref="C4:D5"/>
  </mergeCells>
  <conditionalFormatting sqref="G17:G18">
    <cfRule type="expression" dxfId="145" priority="5">
      <formula>ISNUMBER(SEARCH(TEXT(#REF!,"ddd"),#REF!))</formula>
    </cfRule>
  </conditionalFormatting>
  <conditionalFormatting sqref="H20:I21 I19">
    <cfRule type="expression" dxfId="144" priority="6">
      <formula>ISNUMBER(SEARCH(TEXT(#REF!,"ddd"),#REF!))</formula>
    </cfRule>
  </conditionalFormatting>
  <conditionalFormatting sqref="A10:D12 A16:D17 A18:C18">
    <cfRule type="expression" dxfId="143" priority="7">
      <formula>ISNUMBER(SEARCH(TEXT(#REF!,"ddd"),#REF!))</formula>
    </cfRule>
  </conditionalFormatting>
  <conditionalFormatting sqref="K19:K24">
    <cfRule type="expression" dxfId="142" priority="8">
      <formula>ISNUMBER(SEARCH(TEXT(#REF!,"ddd"),#REF!))</formula>
    </cfRule>
  </conditionalFormatting>
  <conditionalFormatting sqref="D14">
    <cfRule type="expression" dxfId="141" priority="4">
      <formula>ISNUMBER(SEARCH(TEXT(#REF!,"ddd"),#REF!))</formula>
    </cfRule>
  </conditionalFormatting>
  <conditionalFormatting sqref="A14:C14">
    <cfRule type="expression" dxfId="140" priority="1">
      <formula>ISNUMBER(SEARCH(TEXT(#REF!,"ddd"),#REF!))</formula>
    </cfRule>
  </conditionalFormatting>
  <conditionalFormatting sqref="A13:D13">
    <cfRule type="expression" dxfId="139" priority="3">
      <formula>ISNUMBER(SEARCH(TEXT(#REF!,"ddd"),#REF!))</formula>
    </cfRule>
  </conditionalFormatting>
  <conditionalFormatting sqref="A15:D15">
    <cfRule type="expression" dxfId="138" priority="2">
      <formula>ISNUMBER(SEARCH(TEXT(#REF!,"ddd"),#REF!))</formula>
    </cfRule>
  </conditionalFormatting>
  <dataValidations disablePrompts="1" count="3">
    <dataValidation type="custom" allowBlank="1" showInputMessage="1" showErrorMessage="1" sqref="C10 C17" xr:uid="{2943C75E-3AF3-4E77-93C0-2B7B6510F724}">
      <formula1>AND($C10&lt;=1,ISNUMBER($C10),($C10&gt;=$B10))</formula1>
    </dataValidation>
    <dataValidation type="custom" allowBlank="1" showInputMessage="1" showErrorMessage="1" sqref="G17:G18" xr:uid="{FEB6FB92-06C4-4DA2-B391-E670A37B6D1B}">
      <formula1>AND($B15&lt;=1,ISNUMBER($B15))</formula1>
    </dataValidation>
    <dataValidation type="custom" allowBlank="1" showInputMessage="1" showErrorMessage="1" sqref="C18 B10:B18 C11:C16" xr:uid="{A629B427-B5B4-4805-A7F6-C119AD56F00A}">
      <formula1>AND($B10&lt;=1,ISNUMBER($B10))</formula1>
    </dataValidation>
  </dataValidations>
  <pageMargins left="0.25" right="0.25"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701A8-8A52-40B8-9B21-E52F4189498E}">
  <sheetPr codeName="Sheet11">
    <pageSetUpPr fitToPage="1"/>
  </sheetPr>
  <dimension ref="A1:K36"/>
  <sheetViews>
    <sheetView showGridLines="0" zoomScaleNormal="100" workbookViewId="0">
      <selection activeCell="C6" sqref="C6"/>
    </sheetView>
  </sheetViews>
  <sheetFormatPr baseColWidth="10" defaultColWidth="9" defaultRowHeight="12.75" x14ac:dyDescent="0.2"/>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200" t="s">
        <v>0</v>
      </c>
      <c r="B1" s="200"/>
      <c r="C1" s="200"/>
      <c r="D1" s="200"/>
      <c r="E1" s="47">
        <f>WEEKNUM(A10)</f>
        <v>6</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45">
        <f>A10</f>
        <v>43866</v>
      </c>
      <c r="B3" s="154"/>
      <c r="C3" s="45">
        <f>A18</f>
        <v>43870</v>
      </c>
      <c r="D3" s="154"/>
      <c r="E3" s="34" t="s">
        <v>6</v>
      </c>
      <c r="F3" s="38">
        <f>Sumcolor(E3,D10:D19)</f>
        <v>6.25E-2</v>
      </c>
      <c r="G3" s="39">
        <f>SUM(Først:Sist!F3)</f>
        <v>0.62499999999999989</v>
      </c>
      <c r="H3" s="22"/>
      <c r="I3" s="7"/>
      <c r="J3" s="7"/>
    </row>
    <row r="4" spans="1:10" ht="15" customHeight="1" x14ac:dyDescent="0.2">
      <c r="A4" s="192" t="s">
        <v>7</v>
      </c>
      <c r="B4" s="192"/>
      <c r="C4" s="201" t="s">
        <v>8</v>
      </c>
      <c r="D4" s="201"/>
      <c r="E4" s="35" t="s">
        <v>9</v>
      </c>
      <c r="F4" s="38">
        <f>Sumcolor(E4,D10:D19)</f>
        <v>0</v>
      </c>
      <c r="G4" s="39">
        <f>SUM(Først:Sist!F4)</f>
        <v>2.7604166666666665</v>
      </c>
      <c r="H4" s="22"/>
      <c r="I4" s="7"/>
      <c r="J4" s="190"/>
    </row>
    <row r="5" spans="1:10" ht="15.75" x14ac:dyDescent="0.2">
      <c r="A5" s="201"/>
      <c r="B5" s="201"/>
      <c r="C5" s="201"/>
      <c r="D5" s="201"/>
      <c r="E5" s="36" t="s">
        <v>10</v>
      </c>
      <c r="F5" s="38">
        <f>Sumcolor(E5,D10:D19)</f>
        <v>3.819444444444442E-2</v>
      </c>
      <c r="G5" s="39">
        <f>SUM(Først:Sist!F5)</f>
        <v>1.1701388888888882</v>
      </c>
      <c r="H5" s="22"/>
      <c r="I5" s="7"/>
      <c r="J5" s="190"/>
    </row>
    <row r="6" spans="1:10" ht="18.75" customHeight="1" thickBot="1" x14ac:dyDescent="0.25">
      <c r="A6" s="42">
        <f>SUM(D10:D19)</f>
        <v>0.27083333333333337</v>
      </c>
      <c r="B6" s="43"/>
      <c r="C6" s="89">
        <f>SUM(Først:Sist!A6)</f>
        <v>6.8680555555555571</v>
      </c>
      <c r="D6" s="44"/>
      <c r="E6" s="37" t="s">
        <v>11</v>
      </c>
      <c r="F6" s="40">
        <f>Sumcolor(E6,D10:D19)</f>
        <v>0.17013888888888895</v>
      </c>
      <c r="G6" s="40">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33" t="s">
        <v>16</v>
      </c>
      <c r="F9" s="54" t="s">
        <v>17</v>
      </c>
      <c r="H9" s="25"/>
    </row>
    <row r="10" spans="1:10" ht="15.75" x14ac:dyDescent="0.25">
      <c r="A10" s="57">
        <v>43866</v>
      </c>
      <c r="B10" s="58">
        <v>0.41666666666666669</v>
      </c>
      <c r="C10" s="58">
        <v>0.47916666666666669</v>
      </c>
      <c r="D10" s="61">
        <f t="shared" ref="D10" si="0">(C10-B10)</f>
        <v>6.25E-2</v>
      </c>
      <c r="E10" s="202" t="s">
        <v>18</v>
      </c>
      <c r="F10" s="51"/>
      <c r="H10" s="25"/>
    </row>
    <row r="11" spans="1:10" ht="15.75" x14ac:dyDescent="0.25">
      <c r="A11" s="59"/>
      <c r="B11" s="60"/>
      <c r="C11" s="60"/>
      <c r="D11" s="62"/>
      <c r="E11" s="203"/>
      <c r="F11" s="52"/>
      <c r="H11" s="25"/>
    </row>
    <row r="12" spans="1:10" ht="15.75" x14ac:dyDescent="0.25">
      <c r="A12" s="77">
        <v>43866</v>
      </c>
      <c r="B12" s="78">
        <v>0.5</v>
      </c>
      <c r="C12" s="78">
        <v>0.53819444444444442</v>
      </c>
      <c r="D12" s="79">
        <f>(C12-B12)</f>
        <v>3.819444444444442E-2</v>
      </c>
      <c r="E12" s="212" t="s">
        <v>27</v>
      </c>
      <c r="F12" s="52"/>
    </row>
    <row r="13" spans="1:10" ht="15.75" x14ac:dyDescent="0.25">
      <c r="A13" s="77"/>
      <c r="B13" s="78"/>
      <c r="C13" s="78"/>
      <c r="D13" s="80"/>
      <c r="E13" s="211"/>
      <c r="F13" s="52"/>
    </row>
    <row r="14" spans="1:10" ht="15.75" x14ac:dyDescent="0.25">
      <c r="A14" s="70">
        <v>43867</v>
      </c>
      <c r="B14" s="71">
        <v>0.41666666666666669</v>
      </c>
      <c r="C14" s="71">
        <v>0.44791666666666669</v>
      </c>
      <c r="D14" s="81">
        <f>(C14-B14)</f>
        <v>3.125E-2</v>
      </c>
      <c r="E14" s="213" t="s">
        <v>28</v>
      </c>
      <c r="F14" s="52"/>
    </row>
    <row r="15" spans="1:10" ht="15.75" x14ac:dyDescent="0.25">
      <c r="A15" s="82"/>
      <c r="B15" s="83"/>
      <c r="C15" s="83"/>
      <c r="D15" s="84"/>
      <c r="E15" s="206"/>
      <c r="F15" s="52"/>
    </row>
    <row r="16" spans="1:10" ht="15.75" x14ac:dyDescent="0.25">
      <c r="A16" s="70">
        <v>43868</v>
      </c>
      <c r="B16" s="71">
        <v>0.54861111111111105</v>
      </c>
      <c r="C16" s="71">
        <v>0.60416666666666663</v>
      </c>
      <c r="D16" s="72">
        <f>(C16-B16)</f>
        <v>5.555555555555558E-2</v>
      </c>
      <c r="E16" s="213" t="s">
        <v>29</v>
      </c>
      <c r="F16" s="52"/>
    </row>
    <row r="17" spans="1:11" ht="15.75" x14ac:dyDescent="0.25">
      <c r="A17" s="70"/>
      <c r="B17" s="71"/>
      <c r="C17" s="71"/>
      <c r="D17" s="73"/>
      <c r="E17" s="206"/>
      <c r="F17" s="52"/>
      <c r="G17" s="12"/>
    </row>
    <row r="18" spans="1:11" ht="15.75" x14ac:dyDescent="0.25">
      <c r="A18" s="70">
        <v>43870</v>
      </c>
      <c r="B18" s="71">
        <v>0.60416666666666663</v>
      </c>
      <c r="C18" s="71">
        <v>0.6875</v>
      </c>
      <c r="D18" s="72">
        <f>(C18-B18)</f>
        <v>8.333333333333337E-2</v>
      </c>
      <c r="E18" s="209" t="s">
        <v>25</v>
      </c>
      <c r="F18" s="52"/>
      <c r="G18" s="12"/>
    </row>
    <row r="19" spans="1:11" ht="16.5" thickBot="1" x14ac:dyDescent="0.3">
      <c r="A19" s="74"/>
      <c r="B19" s="75"/>
      <c r="C19" s="75"/>
      <c r="D19" s="76"/>
      <c r="E19" s="210"/>
      <c r="F19" s="53"/>
      <c r="I19" s="8"/>
      <c r="K19" s="8"/>
    </row>
    <row r="20" spans="1:11" x14ac:dyDescent="0.2">
      <c r="H20" s="8"/>
      <c r="I20" s="8"/>
      <c r="K20" s="8"/>
    </row>
    <row r="21" spans="1:11" ht="24" thickBot="1" x14ac:dyDescent="0.4">
      <c r="A21" s="28" t="s">
        <v>21</v>
      </c>
      <c r="B21" s="28"/>
      <c r="C21" s="27"/>
      <c r="D21" s="27"/>
      <c r="E21" s="27"/>
      <c r="H21" s="8"/>
      <c r="I21" s="8"/>
      <c r="K21" s="8"/>
    </row>
    <row r="22" spans="1:11" ht="13.5" thickBot="1" x14ac:dyDescent="0.25">
      <c r="A22" s="5"/>
      <c r="B22" s="15"/>
      <c r="C22" s="16"/>
      <c r="D22" s="17"/>
      <c r="E22" s="18"/>
      <c r="F22" s="5"/>
      <c r="G22" s="5"/>
      <c r="H22" s="9"/>
      <c r="I22" s="9"/>
      <c r="K22" s="8"/>
    </row>
    <row r="23" spans="1:11" ht="15.75" customHeight="1" x14ac:dyDescent="0.2">
      <c r="A23" s="191" t="s">
        <v>30</v>
      </c>
      <c r="B23" s="192"/>
      <c r="C23" s="192"/>
      <c r="D23" s="192"/>
      <c r="E23" s="193"/>
      <c r="H23" s="10"/>
      <c r="I23" s="10"/>
      <c r="K23" s="8"/>
    </row>
    <row r="24" spans="1:11" ht="12.75" customHeight="1" x14ac:dyDescent="0.2">
      <c r="A24" s="194"/>
      <c r="B24" s="195"/>
      <c r="C24" s="195"/>
      <c r="D24" s="195"/>
      <c r="E24" s="196"/>
      <c r="F24" s="30"/>
      <c r="G24" s="30"/>
      <c r="H24" s="29"/>
      <c r="K24" s="8"/>
    </row>
    <row r="25" spans="1:11" ht="12.75" customHeight="1" x14ac:dyDescent="0.2">
      <c r="A25" s="194"/>
      <c r="B25" s="195"/>
      <c r="C25" s="195"/>
      <c r="D25" s="195"/>
      <c r="E25" s="196"/>
      <c r="F25" s="30"/>
      <c r="G25" s="30"/>
      <c r="H25" s="29"/>
      <c r="K25" s="9"/>
    </row>
    <row r="26" spans="1:11" ht="12.75" customHeight="1" x14ac:dyDescent="0.2">
      <c r="A26" s="194"/>
      <c r="B26" s="195"/>
      <c r="C26" s="195"/>
      <c r="D26" s="195"/>
      <c r="E26" s="196"/>
      <c r="F26" s="30"/>
      <c r="G26" s="30"/>
      <c r="H26" s="29"/>
      <c r="K26" s="11"/>
    </row>
    <row r="27" spans="1:11" ht="12.75" customHeight="1" x14ac:dyDescent="0.2">
      <c r="A27" s="194"/>
      <c r="B27" s="195"/>
      <c r="C27" s="195"/>
      <c r="D27" s="195"/>
      <c r="E27" s="196"/>
      <c r="F27" s="30"/>
      <c r="G27" s="30"/>
      <c r="H27" s="29"/>
      <c r="K27" s="7"/>
    </row>
    <row r="28" spans="1:11" ht="12.75" customHeight="1" x14ac:dyDescent="0.2">
      <c r="A28" s="194"/>
      <c r="B28" s="195"/>
      <c r="C28" s="195"/>
      <c r="D28" s="195"/>
      <c r="E28" s="196"/>
      <c r="F28" s="30"/>
      <c r="G28" s="30"/>
      <c r="H28" s="29"/>
    </row>
    <row r="29" spans="1:11" ht="12.75" customHeight="1" x14ac:dyDescent="0.2">
      <c r="A29" s="194"/>
      <c r="B29" s="195"/>
      <c r="C29" s="195"/>
      <c r="D29" s="195"/>
      <c r="E29" s="196"/>
      <c r="F29" s="30"/>
      <c r="G29" s="30"/>
      <c r="H29" s="29"/>
    </row>
    <row r="30" spans="1:11" ht="12.75" customHeight="1" x14ac:dyDescent="0.2">
      <c r="A30" s="194"/>
      <c r="B30" s="195"/>
      <c r="C30" s="195"/>
      <c r="D30" s="195"/>
      <c r="E30" s="196"/>
      <c r="F30" s="30"/>
      <c r="G30" s="30"/>
      <c r="H30" s="29"/>
    </row>
    <row r="31" spans="1:11" ht="12.75" customHeight="1" x14ac:dyDescent="0.2">
      <c r="A31" s="194"/>
      <c r="B31" s="195"/>
      <c r="C31" s="195"/>
      <c r="D31" s="195"/>
      <c r="E31" s="196"/>
      <c r="F31" s="30"/>
      <c r="G31" s="30"/>
      <c r="H31" s="29"/>
    </row>
    <row r="32" spans="1:11" ht="12.75" customHeight="1" x14ac:dyDescent="0.2">
      <c r="A32" s="194"/>
      <c r="B32" s="195"/>
      <c r="C32" s="195"/>
      <c r="D32" s="195"/>
      <c r="E32" s="196"/>
      <c r="F32" s="30"/>
      <c r="G32" s="30"/>
      <c r="H32" s="29"/>
    </row>
    <row r="33" spans="1:8" ht="12.75" customHeight="1" x14ac:dyDescent="0.2">
      <c r="A33" s="194"/>
      <c r="B33" s="195"/>
      <c r="C33" s="195"/>
      <c r="D33" s="195"/>
      <c r="E33" s="196"/>
      <c r="F33" s="30"/>
      <c r="G33" s="30"/>
      <c r="H33" s="29"/>
    </row>
    <row r="34" spans="1:8" ht="12.75" customHeight="1" x14ac:dyDescent="0.2">
      <c r="A34" s="194"/>
      <c r="B34" s="195"/>
      <c r="C34" s="195"/>
      <c r="D34" s="195"/>
      <c r="E34" s="196"/>
      <c r="F34" s="30"/>
      <c r="G34" s="30"/>
      <c r="H34" s="29"/>
    </row>
    <row r="35" spans="1:8" ht="13.5" customHeight="1" x14ac:dyDescent="0.2">
      <c r="A35" s="194"/>
      <c r="B35" s="195"/>
      <c r="C35" s="195"/>
      <c r="D35" s="195"/>
      <c r="E35" s="196"/>
    </row>
    <row r="36" spans="1:8" ht="13.5" thickBot="1" x14ac:dyDescent="0.25">
      <c r="A36" s="197"/>
      <c r="B36" s="198"/>
      <c r="C36" s="198"/>
      <c r="D36" s="198"/>
      <c r="E36" s="199"/>
    </row>
  </sheetData>
  <mergeCells count="10">
    <mergeCell ref="J4:J5"/>
    <mergeCell ref="E10:E11"/>
    <mergeCell ref="E12:E13"/>
    <mergeCell ref="E14:E15"/>
    <mergeCell ref="E16:E17"/>
    <mergeCell ref="E18:E19"/>
    <mergeCell ref="A23:E36"/>
    <mergeCell ref="A1:D1"/>
    <mergeCell ref="A4:B5"/>
    <mergeCell ref="C4:D5"/>
  </mergeCells>
  <conditionalFormatting sqref="G17:G18">
    <cfRule type="expression" dxfId="137" priority="5">
      <formula>ISNUMBER(SEARCH(TEXT(#REF!,"ddd"),#REF!))</formula>
    </cfRule>
  </conditionalFormatting>
  <conditionalFormatting sqref="H20:I21 I19">
    <cfRule type="expression" dxfId="136" priority="6">
      <formula>ISNUMBER(SEARCH(TEXT(#REF!,"ddd"),#REF!))</formula>
    </cfRule>
  </conditionalFormatting>
  <conditionalFormatting sqref="A10:D12 A16:D17 A18:C18">
    <cfRule type="expression" dxfId="135" priority="7">
      <formula>ISNUMBER(SEARCH(TEXT(#REF!,"ddd"),#REF!))</formula>
    </cfRule>
  </conditionalFormatting>
  <conditionalFormatting sqref="K19:K24">
    <cfRule type="expression" dxfId="134" priority="8">
      <formula>ISNUMBER(SEARCH(TEXT(#REF!,"ddd"),#REF!))</formula>
    </cfRule>
  </conditionalFormatting>
  <conditionalFormatting sqref="D14">
    <cfRule type="expression" dxfId="133" priority="4">
      <formula>ISNUMBER(SEARCH(TEXT(#REF!,"ddd"),#REF!))</formula>
    </cfRule>
  </conditionalFormatting>
  <conditionalFormatting sqref="A14:C14">
    <cfRule type="expression" dxfId="132" priority="1">
      <formula>ISNUMBER(SEARCH(TEXT(#REF!,"ddd"),#REF!))</formula>
    </cfRule>
  </conditionalFormatting>
  <conditionalFormatting sqref="A13:D13">
    <cfRule type="expression" dxfId="131" priority="3">
      <formula>ISNUMBER(SEARCH(TEXT(#REF!,"ddd"),#REF!))</formula>
    </cfRule>
  </conditionalFormatting>
  <conditionalFormatting sqref="A15:D15">
    <cfRule type="expression" dxfId="130" priority="2">
      <formula>ISNUMBER(SEARCH(TEXT(#REF!,"ddd"),#REF!))</formula>
    </cfRule>
  </conditionalFormatting>
  <dataValidations count="3">
    <dataValidation type="custom" allowBlank="1" showInputMessage="1" showErrorMessage="1" sqref="C18 B10:B18 C11:C16" xr:uid="{4EC0F8FA-B5AA-4907-B473-652ECCA7913C}">
      <formula1>AND($B10&lt;=1,ISNUMBER($B10))</formula1>
    </dataValidation>
    <dataValidation type="custom" allowBlank="1" showInputMessage="1" showErrorMessage="1" sqref="G17:G18" xr:uid="{349D3B01-8E09-4D10-82F6-5BAE279CC1EA}">
      <formula1>AND($B15&lt;=1,ISNUMBER($B15))</formula1>
    </dataValidation>
    <dataValidation type="custom" allowBlank="1" showInputMessage="1" showErrorMessage="1" sqref="C10 C17" xr:uid="{E170B6C7-1CC6-4062-9F3A-82D1BFA59E58}">
      <formula1>AND($C10&lt;=1,ISNUMBER($C10),($C10&gt;=$B10))</formula1>
    </dataValidation>
  </dataValidations>
  <pageMargins left="0.25" right="0.25" top="0.75" bottom="0.75" header="0.3" footer="0.3"/>
  <pageSetup paperSize="9" fitToWidth="0" fitToHeight="2" orientation="landscape"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2731-CC49-4272-AE10-E4F70AB46440}">
  <sheetPr codeName="Sheet12"/>
  <dimension ref="A1:K57"/>
  <sheetViews>
    <sheetView showGridLines="0" zoomScaleNormal="100" workbookViewId="0">
      <selection activeCell="I14" sqref="I14"/>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7</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43871</v>
      </c>
      <c r="B3" s="154"/>
      <c r="C3" s="103">
        <f>A32</f>
        <v>43877</v>
      </c>
      <c r="D3" s="154"/>
      <c r="E3" s="34" t="s">
        <v>6</v>
      </c>
      <c r="F3" s="38">
        <f>Sumcolor(E3,D10:D31)</f>
        <v>0</v>
      </c>
      <c r="G3" s="39">
        <f>SUM(Først:Sist!F3)</f>
        <v>0.62499999999999989</v>
      </c>
      <c r="H3" s="22"/>
      <c r="I3" s="7"/>
      <c r="J3" s="7"/>
    </row>
    <row r="4" spans="1:10" ht="15" customHeight="1" x14ac:dyDescent="0.2">
      <c r="A4" s="192" t="s">
        <v>7</v>
      </c>
      <c r="B4" s="192"/>
      <c r="C4" s="201" t="s">
        <v>8</v>
      </c>
      <c r="D4" s="201"/>
      <c r="E4" s="35" t="s">
        <v>9</v>
      </c>
      <c r="F4" s="38">
        <f>Sumcolor(E4,D10:D31)</f>
        <v>0</v>
      </c>
      <c r="G4" s="39">
        <f>SUM(Først:Sist!F4)</f>
        <v>2.7604166666666665</v>
      </c>
      <c r="H4" s="22"/>
      <c r="I4" s="7"/>
      <c r="J4" s="190"/>
    </row>
    <row r="5" spans="1:10" ht="15.75" x14ac:dyDescent="0.2">
      <c r="A5" s="201"/>
      <c r="B5" s="201"/>
      <c r="C5" s="201"/>
      <c r="D5" s="201"/>
      <c r="E5" s="36" t="s">
        <v>10</v>
      </c>
      <c r="F5" s="38">
        <f>Sumcolor(E5,D10:D31)</f>
        <v>0.31944444444444436</v>
      </c>
      <c r="G5" s="39">
        <f>SUM(Først:Sist!F5)</f>
        <v>1.1701388888888882</v>
      </c>
      <c r="H5" s="22"/>
      <c r="I5" s="7"/>
      <c r="J5" s="190"/>
    </row>
    <row r="6" spans="1:10" ht="18.75" customHeight="1" thickBot="1" x14ac:dyDescent="0.25">
      <c r="A6" s="42">
        <f>SUM(D10:D31)</f>
        <v>0.6180555555555558</v>
      </c>
      <c r="B6" s="43"/>
      <c r="C6" s="89">
        <f>SUM(Først:Sist!A6)</f>
        <v>6.8680555555555571</v>
      </c>
      <c r="D6" s="44"/>
      <c r="E6" s="37" t="s">
        <v>11</v>
      </c>
      <c r="F6" s="40">
        <f>Sumcolor(E6,D10:D31)</f>
        <v>0.29861111111111138</v>
      </c>
      <c r="G6" s="40">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04">
        <v>43871</v>
      </c>
      <c r="B10" s="87">
        <v>0.58333333333333337</v>
      </c>
      <c r="C10" s="87">
        <v>0.65972222222222221</v>
      </c>
      <c r="D10" s="88">
        <f t="shared" ref="D10" si="0">(C10-B10)</f>
        <v>7.638888888888884E-2</v>
      </c>
      <c r="E10" s="225" t="s">
        <v>32</v>
      </c>
      <c r="F10" s="225"/>
      <c r="G10" s="116"/>
      <c r="H10" s="25"/>
    </row>
    <row r="11" spans="1:10" ht="16.5" thickBot="1" x14ac:dyDescent="0.3">
      <c r="A11" s="105"/>
      <c r="B11" s="92"/>
      <c r="C11" s="92"/>
      <c r="D11" s="93"/>
      <c r="E11" s="226"/>
      <c r="F11" s="226"/>
      <c r="G11" s="117"/>
      <c r="H11" s="25"/>
    </row>
    <row r="12" spans="1:10" ht="15.75" customHeight="1" x14ac:dyDescent="0.25">
      <c r="A12" s="106">
        <v>43871</v>
      </c>
      <c r="B12" s="94">
        <v>0.74305555555555547</v>
      </c>
      <c r="C12" s="94">
        <v>0.8125</v>
      </c>
      <c r="D12" s="95">
        <f>(C12-B12)</f>
        <v>6.9444444444444531E-2</v>
      </c>
      <c r="E12" s="227" t="s">
        <v>33</v>
      </c>
      <c r="F12" s="227"/>
      <c r="G12" s="117"/>
    </row>
    <row r="13" spans="1:10" ht="16.5" thickBot="1" x14ac:dyDescent="0.3">
      <c r="A13" s="107"/>
      <c r="B13" s="96"/>
      <c r="C13" s="96"/>
      <c r="D13" s="97"/>
      <c r="E13" s="228"/>
      <c r="F13" s="228"/>
      <c r="G13" s="117"/>
    </row>
    <row r="14" spans="1:10" ht="15.75" customHeight="1" x14ac:dyDescent="0.25">
      <c r="A14" s="106">
        <v>43872</v>
      </c>
      <c r="B14" s="94">
        <v>0.65277777777777779</v>
      </c>
      <c r="C14" s="94">
        <v>0.70138888888888884</v>
      </c>
      <c r="D14" s="95">
        <f>(C14-B14)</f>
        <v>4.8611111111111049E-2</v>
      </c>
      <c r="E14" s="229" t="s">
        <v>34</v>
      </c>
      <c r="F14" s="229"/>
      <c r="G14" s="117"/>
    </row>
    <row r="15" spans="1:10" ht="16.5" thickBot="1" x14ac:dyDescent="0.3">
      <c r="A15" s="108"/>
      <c r="B15" s="98"/>
      <c r="C15" s="98"/>
      <c r="D15" s="97"/>
      <c r="E15" s="230"/>
      <c r="F15" s="230"/>
      <c r="G15" s="117"/>
    </row>
    <row r="16" spans="1:10" ht="15.75" customHeight="1" x14ac:dyDescent="0.25">
      <c r="A16" s="106">
        <v>43873</v>
      </c>
      <c r="B16" s="94">
        <v>0.66666666666666663</v>
      </c>
      <c r="C16" s="94">
        <v>0.72916666666666663</v>
      </c>
      <c r="D16" s="99">
        <f>(C16-B16)</f>
        <v>6.25E-2</v>
      </c>
      <c r="E16" s="214" t="s">
        <v>35</v>
      </c>
      <c r="F16" s="214"/>
      <c r="G16" s="117"/>
    </row>
    <row r="17" spans="1:11" ht="16.5" thickBot="1" x14ac:dyDescent="0.3">
      <c r="A17" s="107"/>
      <c r="B17" s="96"/>
      <c r="C17" s="96"/>
      <c r="D17" s="76"/>
      <c r="E17" s="215"/>
      <c r="F17" s="215"/>
      <c r="G17" s="117"/>
    </row>
    <row r="18" spans="1:11" ht="15.75" x14ac:dyDescent="0.25">
      <c r="A18" s="109">
        <v>43874</v>
      </c>
      <c r="B18" s="100">
        <v>0.42708333333333331</v>
      </c>
      <c r="C18" s="100">
        <v>0.47916666666666669</v>
      </c>
      <c r="D18" s="101">
        <f>(C18-B18)</f>
        <v>5.208333333333337E-2</v>
      </c>
      <c r="E18" s="216" t="s">
        <v>36</v>
      </c>
      <c r="F18" s="216"/>
      <c r="G18" s="117"/>
    </row>
    <row r="19" spans="1:11" ht="16.5" thickBot="1" x14ac:dyDescent="0.3">
      <c r="A19" s="110"/>
      <c r="B19" s="90"/>
      <c r="C19" s="90"/>
      <c r="D19" s="91"/>
      <c r="E19" s="217"/>
      <c r="F19" s="217"/>
      <c r="G19" s="117"/>
      <c r="I19" s="8"/>
      <c r="K19" s="8"/>
    </row>
    <row r="20" spans="1:11" ht="15.75" customHeight="1" x14ac:dyDescent="0.25">
      <c r="A20" s="106">
        <v>43874</v>
      </c>
      <c r="B20" s="94">
        <v>0.54166666666666663</v>
      </c>
      <c r="C20" s="94">
        <v>0.57638888888888895</v>
      </c>
      <c r="D20" s="99">
        <f t="shared" ref="D20" si="1">(C20-B20)</f>
        <v>3.4722222222222321E-2</v>
      </c>
      <c r="E20" s="220" t="s">
        <v>35</v>
      </c>
      <c r="F20" s="220"/>
      <c r="G20" s="117"/>
      <c r="H20" s="8"/>
      <c r="I20" s="8"/>
      <c r="K20" s="8"/>
    </row>
    <row r="21" spans="1:11" ht="16.5" thickBot="1" x14ac:dyDescent="0.3">
      <c r="A21" s="111"/>
      <c r="B21" s="75"/>
      <c r="C21" s="75"/>
      <c r="D21" s="76"/>
      <c r="E21" s="221"/>
      <c r="F21" s="221"/>
      <c r="G21" s="117"/>
      <c r="H21" s="8"/>
      <c r="I21" s="8"/>
      <c r="K21" s="8"/>
    </row>
    <row r="22" spans="1:11" ht="15.75" customHeight="1" x14ac:dyDescent="0.25">
      <c r="A22" s="109">
        <v>43875</v>
      </c>
      <c r="B22" s="100">
        <v>0.4236111111111111</v>
      </c>
      <c r="C22" s="100">
        <v>0.49305555555555558</v>
      </c>
      <c r="D22" s="101">
        <f t="shared" ref="D22" si="2">(C22-B22)</f>
        <v>6.9444444444444475E-2</v>
      </c>
      <c r="E22" s="218" t="s">
        <v>37</v>
      </c>
      <c r="F22" s="218"/>
      <c r="G22" s="117"/>
      <c r="H22" s="9"/>
      <c r="I22" s="9"/>
      <c r="K22" s="8"/>
    </row>
    <row r="23" spans="1:11" ht="18.75" customHeight="1" thickBot="1" x14ac:dyDescent="0.3">
      <c r="A23" s="110"/>
      <c r="B23" s="90"/>
      <c r="C23" s="90"/>
      <c r="D23" s="91"/>
      <c r="E23" s="219"/>
      <c r="F23" s="219"/>
      <c r="G23" s="117"/>
      <c r="H23" s="10"/>
      <c r="I23" s="10"/>
      <c r="K23" s="8"/>
    </row>
    <row r="24" spans="1:11" ht="12.75" customHeight="1" x14ac:dyDescent="0.25">
      <c r="A24" s="109">
        <v>43875</v>
      </c>
      <c r="B24" s="100">
        <v>0.51388888888888895</v>
      </c>
      <c r="C24" s="100">
        <v>0.54166666666666663</v>
      </c>
      <c r="D24" s="101">
        <f t="shared" ref="D24" si="3">(C24-B24)</f>
        <v>2.7777777777777679E-2</v>
      </c>
      <c r="E24" s="218" t="s">
        <v>38</v>
      </c>
      <c r="F24" s="218"/>
      <c r="G24" s="117"/>
      <c r="H24" s="29"/>
      <c r="K24" s="8"/>
    </row>
    <row r="25" spans="1:11" ht="21.75" customHeight="1" thickBot="1" x14ac:dyDescent="0.3">
      <c r="A25" s="110"/>
      <c r="B25" s="90"/>
      <c r="C25" s="90"/>
      <c r="D25" s="91"/>
      <c r="E25" s="219"/>
      <c r="F25" s="219"/>
      <c r="G25" s="117"/>
      <c r="H25" s="29"/>
      <c r="K25" s="9"/>
    </row>
    <row r="26" spans="1:11" ht="12.75" customHeight="1" x14ac:dyDescent="0.25">
      <c r="A26" s="106">
        <v>43875</v>
      </c>
      <c r="B26" s="94">
        <v>0.54166666666666663</v>
      </c>
      <c r="C26" s="94">
        <v>0.58333333333333337</v>
      </c>
      <c r="D26" s="99">
        <f t="shared" ref="D26" si="4">(C26-B26)</f>
        <v>4.1666666666666741E-2</v>
      </c>
      <c r="E26" s="223" t="s">
        <v>35</v>
      </c>
      <c r="F26" s="223"/>
      <c r="G26" s="117"/>
      <c r="H26" s="29"/>
      <c r="K26" s="11"/>
    </row>
    <row r="27" spans="1:11" ht="19.5" customHeight="1" thickBot="1" x14ac:dyDescent="0.3">
      <c r="A27" s="111"/>
      <c r="B27" s="75"/>
      <c r="C27" s="75"/>
      <c r="D27" s="76"/>
      <c r="E27" s="224"/>
      <c r="F27" s="224"/>
      <c r="G27" s="117"/>
      <c r="H27" s="29"/>
      <c r="K27" s="7"/>
    </row>
    <row r="28" spans="1:11" ht="12.75" customHeight="1" x14ac:dyDescent="0.25">
      <c r="A28" s="106">
        <v>43876</v>
      </c>
      <c r="B28" s="94">
        <v>0.54166666666666663</v>
      </c>
      <c r="C28" s="94">
        <v>0.58333333333333337</v>
      </c>
      <c r="D28" s="99">
        <f t="shared" ref="D28" si="5">(C28-B28)</f>
        <v>4.1666666666666741E-2</v>
      </c>
      <c r="E28" s="220" t="s">
        <v>35</v>
      </c>
      <c r="F28" s="220"/>
      <c r="G28" s="117"/>
      <c r="H28" s="29"/>
    </row>
    <row r="29" spans="1:11" ht="20.25" customHeight="1" thickBot="1" x14ac:dyDescent="0.3">
      <c r="A29" s="111"/>
      <c r="B29" s="75"/>
      <c r="C29" s="75"/>
      <c r="D29" s="76"/>
      <c r="E29" s="221"/>
      <c r="F29" s="221"/>
      <c r="G29" s="117"/>
      <c r="H29" s="29"/>
    </row>
    <row r="30" spans="1:11" ht="12.75" customHeight="1" x14ac:dyDescent="0.25">
      <c r="A30" s="112">
        <v>43876</v>
      </c>
      <c r="B30" s="78">
        <v>0.58333333333333337</v>
      </c>
      <c r="C30" s="78">
        <v>0.67708333333333337</v>
      </c>
      <c r="D30" s="102">
        <f t="shared" ref="D30" si="6">(C30-B30)</f>
        <v>9.375E-2</v>
      </c>
      <c r="E30" s="218" t="s">
        <v>39</v>
      </c>
      <c r="F30" s="218"/>
      <c r="G30" s="117"/>
      <c r="H30" s="29"/>
    </row>
    <row r="31" spans="1:11" ht="23.25" customHeight="1" thickBot="1" x14ac:dyDescent="0.3">
      <c r="A31" s="110"/>
      <c r="B31" s="90"/>
      <c r="C31" s="90"/>
      <c r="D31" s="91"/>
      <c r="E31" s="219"/>
      <c r="F31" s="219"/>
      <c r="G31" s="117"/>
      <c r="H31" s="29"/>
    </row>
    <row r="32" spans="1:11" ht="17.25" customHeight="1" x14ac:dyDescent="0.25">
      <c r="A32" s="119">
        <v>43877</v>
      </c>
      <c r="B32" s="71">
        <v>0.75694444444444453</v>
      </c>
      <c r="C32" s="71">
        <v>0.79166666666666663</v>
      </c>
      <c r="D32" s="72">
        <f t="shared" ref="D32" si="7">(C32-B32)</f>
        <v>3.4722222222222099E-2</v>
      </c>
      <c r="E32" s="220" t="s">
        <v>40</v>
      </c>
      <c r="F32" s="220"/>
      <c r="G32" s="117"/>
      <c r="H32" s="29"/>
    </row>
    <row r="33" spans="1:8" ht="16.5" customHeight="1" thickBot="1" x14ac:dyDescent="0.3">
      <c r="A33" s="111"/>
      <c r="B33" s="75"/>
      <c r="C33" s="75"/>
      <c r="D33" s="76"/>
      <c r="E33" s="221"/>
      <c r="F33" s="221"/>
      <c r="G33" s="118"/>
      <c r="H33" s="29"/>
    </row>
    <row r="34" spans="1:8" ht="24.75" customHeight="1" thickBot="1" x14ac:dyDescent="0.4">
      <c r="A34" s="222" t="s">
        <v>21</v>
      </c>
      <c r="B34" s="222"/>
      <c r="C34" s="27"/>
      <c r="D34" s="27"/>
      <c r="E34" s="27"/>
      <c r="F34" s="114"/>
      <c r="G34" s="114"/>
      <c r="H34" s="29"/>
    </row>
    <row r="35" spans="1:8" ht="13.5" customHeight="1" thickBot="1" x14ac:dyDescent="0.25">
      <c r="A35" s="5"/>
      <c r="B35" s="15"/>
      <c r="C35" s="16"/>
      <c r="D35" s="17"/>
      <c r="E35" s="18"/>
      <c r="F35" s="30"/>
      <c r="G35" s="30"/>
    </row>
    <row r="36" spans="1:8" ht="12.75" customHeight="1" x14ac:dyDescent="0.2">
      <c r="A36" s="191" t="s">
        <v>41</v>
      </c>
      <c r="B36" s="192"/>
      <c r="C36" s="192"/>
      <c r="D36" s="192"/>
      <c r="E36" s="192"/>
      <c r="F36" s="192"/>
      <c r="G36" s="193"/>
    </row>
    <row r="37" spans="1:8" ht="12.75" customHeight="1" x14ac:dyDescent="0.2">
      <c r="A37" s="194"/>
      <c r="B37" s="195"/>
      <c r="C37" s="195"/>
      <c r="D37" s="195"/>
      <c r="E37" s="195"/>
      <c r="F37" s="195"/>
      <c r="G37" s="196"/>
    </row>
    <row r="38" spans="1:8" ht="12.75" customHeight="1" x14ac:dyDescent="0.2">
      <c r="A38" s="194"/>
      <c r="B38" s="195"/>
      <c r="C38" s="195"/>
      <c r="D38" s="195"/>
      <c r="E38" s="195"/>
      <c r="F38" s="195"/>
      <c r="G38" s="196"/>
    </row>
    <row r="39" spans="1:8" ht="12.75" customHeight="1" x14ac:dyDescent="0.2">
      <c r="A39" s="194"/>
      <c r="B39" s="195"/>
      <c r="C39" s="195"/>
      <c r="D39" s="195"/>
      <c r="E39" s="195"/>
      <c r="F39" s="195"/>
      <c r="G39" s="196"/>
    </row>
    <row r="40" spans="1:8" ht="12.75" customHeight="1" x14ac:dyDescent="0.2">
      <c r="A40" s="194"/>
      <c r="B40" s="195"/>
      <c r="C40" s="195"/>
      <c r="D40" s="195"/>
      <c r="E40" s="195"/>
      <c r="F40" s="195"/>
      <c r="G40" s="196"/>
    </row>
    <row r="41" spans="1:8" ht="12.75" customHeight="1" x14ac:dyDescent="0.2">
      <c r="A41" s="194"/>
      <c r="B41" s="195"/>
      <c r="C41" s="195"/>
      <c r="D41" s="195"/>
      <c r="E41" s="195"/>
      <c r="F41" s="195"/>
      <c r="G41" s="196"/>
    </row>
    <row r="42" spans="1:8" ht="12.75" customHeight="1" x14ac:dyDescent="0.2">
      <c r="A42" s="194"/>
      <c r="B42" s="195"/>
      <c r="C42" s="195"/>
      <c r="D42" s="195"/>
      <c r="E42" s="195"/>
      <c r="F42" s="195"/>
      <c r="G42" s="196"/>
    </row>
    <row r="43" spans="1:8" ht="12.75" customHeight="1" x14ac:dyDescent="0.2">
      <c r="A43" s="194"/>
      <c r="B43" s="195"/>
      <c r="C43" s="195"/>
      <c r="D43" s="195"/>
      <c r="E43" s="195"/>
      <c r="F43" s="195"/>
      <c r="G43" s="196"/>
    </row>
    <row r="44" spans="1:8" ht="12.75" customHeight="1" x14ac:dyDescent="0.2">
      <c r="A44" s="194"/>
      <c r="B44" s="195"/>
      <c r="C44" s="195"/>
      <c r="D44" s="195"/>
      <c r="E44" s="195"/>
      <c r="F44" s="195"/>
      <c r="G44" s="196"/>
    </row>
    <row r="45" spans="1:8" ht="12.75" customHeight="1" x14ac:dyDescent="0.2">
      <c r="A45" s="194"/>
      <c r="B45" s="195"/>
      <c r="C45" s="195"/>
      <c r="D45" s="195"/>
      <c r="E45" s="195"/>
      <c r="F45" s="195"/>
      <c r="G45" s="196"/>
    </row>
    <row r="46" spans="1:8" ht="12.75" customHeight="1" x14ac:dyDescent="0.2">
      <c r="A46" s="194"/>
      <c r="B46" s="195"/>
      <c r="C46" s="195"/>
      <c r="D46" s="195"/>
      <c r="E46" s="195"/>
      <c r="F46" s="195"/>
      <c r="G46" s="196"/>
    </row>
    <row r="47" spans="1:8" ht="12.75" customHeight="1" x14ac:dyDescent="0.2">
      <c r="A47" s="194"/>
      <c r="B47" s="195"/>
      <c r="C47" s="195"/>
      <c r="D47" s="195"/>
      <c r="E47" s="195"/>
      <c r="F47" s="195"/>
      <c r="G47" s="196"/>
    </row>
    <row r="48" spans="1:8" ht="12.75" customHeight="1" x14ac:dyDescent="0.2">
      <c r="A48" s="194"/>
      <c r="B48" s="195"/>
      <c r="C48" s="195"/>
      <c r="D48" s="195"/>
      <c r="E48" s="195"/>
      <c r="F48" s="195"/>
      <c r="G48" s="196"/>
    </row>
    <row r="49" spans="1:7" ht="12.75" customHeight="1" thickBot="1" x14ac:dyDescent="0.25">
      <c r="A49" s="197"/>
      <c r="B49" s="198"/>
      <c r="C49" s="198"/>
      <c r="D49" s="198"/>
      <c r="E49" s="198"/>
      <c r="F49" s="198"/>
      <c r="G49" s="199"/>
    </row>
    <row r="50" spans="1:7" ht="12.75" customHeight="1" x14ac:dyDescent="0.2"/>
    <row r="51" spans="1:7" ht="12.75" customHeight="1" x14ac:dyDescent="0.2"/>
    <row r="52" spans="1:7" ht="12.75" customHeight="1" x14ac:dyDescent="0.2"/>
    <row r="53" spans="1:7" ht="12.75" customHeight="1" x14ac:dyDescent="0.2"/>
    <row r="54" spans="1:7" ht="12.75" customHeight="1" x14ac:dyDescent="0.2"/>
    <row r="55" spans="1:7" ht="12.75" customHeight="1" x14ac:dyDescent="0.2"/>
    <row r="56" spans="1:7" ht="12.75" customHeight="1" x14ac:dyDescent="0.2"/>
    <row r="57" spans="1:7" ht="13.5" customHeight="1" x14ac:dyDescent="0.2"/>
  </sheetData>
  <mergeCells count="18">
    <mergeCell ref="A36:G49"/>
    <mergeCell ref="A1:D1"/>
    <mergeCell ref="A4:B5"/>
    <mergeCell ref="C4:D5"/>
    <mergeCell ref="A34:B34"/>
    <mergeCell ref="E20:F21"/>
    <mergeCell ref="E22:F23"/>
    <mergeCell ref="E24:F25"/>
    <mergeCell ref="E26:F27"/>
    <mergeCell ref="E28:F29"/>
    <mergeCell ref="E10:F11"/>
    <mergeCell ref="E12:F13"/>
    <mergeCell ref="E14:F15"/>
    <mergeCell ref="E16:F17"/>
    <mergeCell ref="E18:F19"/>
    <mergeCell ref="J4:J5"/>
    <mergeCell ref="E30:F31"/>
    <mergeCell ref="E32:F33"/>
  </mergeCells>
  <conditionalFormatting sqref="H20:I21 I19">
    <cfRule type="expression" dxfId="129" priority="6">
      <formula>ISNUMBER(SEARCH(TEXT(#REF!,"ddd"),#REF!))</formula>
    </cfRule>
  </conditionalFormatting>
  <conditionalFormatting sqref="A10:D12 A16:D17 A18:C18 A20:C20 A22:C22 A24:C24 A26:C26 A28:C28 A30:C30 A32:C32">
    <cfRule type="expression" dxfId="128" priority="7">
      <formula>ISNUMBER(SEARCH(TEXT(#REF!,"ddd"),#REF!))</formula>
    </cfRule>
  </conditionalFormatting>
  <conditionalFormatting sqref="K19:K24">
    <cfRule type="expression" dxfId="127" priority="8">
      <formula>ISNUMBER(SEARCH(TEXT(#REF!,"ddd"),#REF!))</formula>
    </cfRule>
  </conditionalFormatting>
  <conditionalFormatting sqref="D14">
    <cfRule type="expression" dxfId="126" priority="4">
      <formula>ISNUMBER(SEARCH(TEXT(#REF!,"ddd"),#REF!))</formula>
    </cfRule>
  </conditionalFormatting>
  <conditionalFormatting sqref="A14:C14">
    <cfRule type="expression" dxfId="125" priority="1">
      <formula>ISNUMBER(SEARCH(TEXT(#REF!,"ddd"),#REF!))</formula>
    </cfRule>
  </conditionalFormatting>
  <conditionalFormatting sqref="A13:D13">
    <cfRule type="expression" dxfId="124" priority="3">
      <formula>ISNUMBER(SEARCH(TEXT(#REF!,"ddd"),#REF!))</formula>
    </cfRule>
  </conditionalFormatting>
  <conditionalFormatting sqref="A15:D15">
    <cfRule type="expression" dxfId="123" priority="2">
      <formula>ISNUMBER(SEARCH(TEXT(#REF!,"ddd"),#REF!))</formula>
    </cfRule>
  </conditionalFormatting>
  <dataValidations count="2">
    <dataValidation type="custom" allowBlank="1" showInputMessage="1" showErrorMessage="1" sqref="C10 C17" xr:uid="{2860FA3A-AEB7-40AD-BD54-6BA74DD64AC9}">
      <formula1>AND($C10&lt;=1,ISNUMBER($C10),($C10&gt;=$B10))</formula1>
    </dataValidation>
    <dataValidation type="custom" allowBlank="1" showInputMessage="1" showErrorMessage="1" sqref="C18 B10:B18 C11:C16 B20:C20 B22:C22 B24:C24 B26:C26 B28:C28 B30:C30 B32:C32" xr:uid="{A1715507-2B38-4979-9E09-293B1FA58A6A}">
      <formula1>AND($B10&lt;=1,ISNUMBER($B10))</formula1>
    </dataValidation>
  </dataValidations>
  <pageMargins left="0.23622047244094491" right="0.23622047244094491" top="0.74803149606299213" bottom="0.74803149606299213" header="0.31496062992125984" footer="0.31496062992125984"/>
  <pageSetup paperSize="9" scale="86" fitToHeight="0"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9B08-0DBF-44F1-80E8-612187122160}">
  <sheetPr codeName="Sheet14"/>
  <dimension ref="A1:K57"/>
  <sheetViews>
    <sheetView showGridLines="0" topLeftCell="A16" zoomScaleNormal="100" workbookViewId="0">
      <selection activeCell="G26" sqref="G26:G27"/>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8</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43878</v>
      </c>
      <c r="B3" s="154"/>
      <c r="C3" s="103">
        <f>A26</f>
        <v>43881</v>
      </c>
      <c r="D3" s="154"/>
      <c r="E3" s="34" t="s">
        <v>6</v>
      </c>
      <c r="F3" s="38">
        <f>Sumcolor(E3,D10:D28)</f>
        <v>7.6388888888888895E-2</v>
      </c>
      <c r="G3" s="39">
        <f>SUM(Først:Sist!F3)</f>
        <v>0.62499999999999989</v>
      </c>
      <c r="H3" s="22"/>
      <c r="I3" s="7"/>
      <c r="J3" s="7"/>
    </row>
    <row r="4" spans="1:10" ht="15" customHeight="1" x14ac:dyDescent="0.2">
      <c r="A4" s="192" t="s">
        <v>7</v>
      </c>
      <c r="B4" s="192"/>
      <c r="C4" s="201" t="s">
        <v>8</v>
      </c>
      <c r="D4" s="201"/>
      <c r="E4" s="35" t="s">
        <v>9</v>
      </c>
      <c r="F4" s="38">
        <f>Sumcolor(E4,D10:D28)</f>
        <v>0.38194444444444431</v>
      </c>
      <c r="G4" s="39">
        <f>SUM(Først:Sist!F4)</f>
        <v>2.7604166666666665</v>
      </c>
      <c r="H4" s="22"/>
      <c r="I4" s="7"/>
      <c r="J4" s="190"/>
    </row>
    <row r="5" spans="1:10" ht="15.75" x14ac:dyDescent="0.2">
      <c r="A5" s="201"/>
      <c r="B5" s="201"/>
      <c r="C5" s="201"/>
      <c r="D5" s="201"/>
      <c r="E5" s="36" t="s">
        <v>10</v>
      </c>
      <c r="F5" s="38">
        <f>Sumcolor(E5,D10:D28)</f>
        <v>6.944444444444442E-2</v>
      </c>
      <c r="G5" s="39">
        <f>SUM(Først:Sist!F5)</f>
        <v>1.1701388888888882</v>
      </c>
      <c r="H5" s="22"/>
      <c r="I5" s="7"/>
      <c r="J5" s="190"/>
    </row>
    <row r="6" spans="1:10" ht="18.75" customHeight="1" thickBot="1" x14ac:dyDescent="0.25">
      <c r="A6" s="42">
        <f>SUM(D10:D28)</f>
        <v>0.52777777777777768</v>
      </c>
      <c r="B6" s="43"/>
      <c r="C6" s="89">
        <f>SUM(Først:Sist!A6)</f>
        <v>6.8680555555555571</v>
      </c>
      <c r="D6" s="44"/>
      <c r="E6" s="37" t="s">
        <v>11</v>
      </c>
      <c r="F6" s="40">
        <f>Sumcolor(E6,D10:D28)</f>
        <v>0</v>
      </c>
      <c r="G6" s="40">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27">
        <v>43878</v>
      </c>
      <c r="B10" s="120">
        <v>0.41666666666666669</v>
      </c>
      <c r="C10" s="120">
        <v>0.49305555555555558</v>
      </c>
      <c r="D10" s="121">
        <f t="shared" ref="D10" si="0">(C10-B10)</f>
        <v>7.6388888888888895E-2</v>
      </c>
      <c r="E10" s="237" t="s">
        <v>42</v>
      </c>
      <c r="F10" s="237"/>
      <c r="G10" s="233"/>
      <c r="H10" s="25"/>
    </row>
    <row r="11" spans="1:10" ht="16.5" thickBot="1" x14ac:dyDescent="0.3">
      <c r="A11" s="128"/>
      <c r="B11" s="129"/>
      <c r="C11" s="129"/>
      <c r="D11" s="130"/>
      <c r="E11" s="238"/>
      <c r="F11" s="238"/>
      <c r="G11" s="234"/>
      <c r="H11" s="25"/>
    </row>
    <row r="12" spans="1:10" ht="15.75" customHeight="1" x14ac:dyDescent="0.25">
      <c r="A12" s="131">
        <v>43878</v>
      </c>
      <c r="B12" s="132">
        <v>0.5</v>
      </c>
      <c r="C12" s="132">
        <v>0.58333333333333337</v>
      </c>
      <c r="D12" s="133">
        <f>(C12-B12)</f>
        <v>8.333333333333337E-2</v>
      </c>
      <c r="E12" s="245" t="s">
        <v>43</v>
      </c>
      <c r="F12" s="245"/>
      <c r="G12" s="233">
        <v>4</v>
      </c>
    </row>
    <row r="13" spans="1:10" ht="16.5" thickBot="1" x14ac:dyDescent="0.3">
      <c r="A13" s="134"/>
      <c r="B13" s="135"/>
      <c r="C13" s="135"/>
      <c r="D13" s="136"/>
      <c r="E13" s="246"/>
      <c r="F13" s="246"/>
      <c r="G13" s="234"/>
    </row>
    <row r="14" spans="1:10" ht="15.75" customHeight="1" x14ac:dyDescent="0.25">
      <c r="A14" s="109">
        <v>43878</v>
      </c>
      <c r="B14" s="100">
        <v>0.58680555555555558</v>
      </c>
      <c r="C14" s="100">
        <v>0.64583333333333337</v>
      </c>
      <c r="D14" s="88">
        <f>(C14-B14)</f>
        <v>5.902777777777779E-2</v>
      </c>
      <c r="E14" s="239" t="s">
        <v>44</v>
      </c>
      <c r="F14" s="239"/>
      <c r="G14" s="233"/>
    </row>
    <row r="15" spans="1:10" ht="16.5" thickBot="1" x14ac:dyDescent="0.3">
      <c r="A15" s="137"/>
      <c r="B15" s="138"/>
      <c r="C15" s="138"/>
      <c r="D15" s="139"/>
      <c r="E15" s="240"/>
      <c r="F15" s="240"/>
      <c r="G15" s="234"/>
    </row>
    <row r="16" spans="1:10" ht="15.75" customHeight="1" x14ac:dyDescent="0.25">
      <c r="A16" s="131">
        <v>43878</v>
      </c>
      <c r="B16" s="132">
        <v>0.69444444444444453</v>
      </c>
      <c r="C16" s="132">
        <v>0.71180555555555547</v>
      </c>
      <c r="D16" s="140">
        <f>(C16-B16)</f>
        <v>1.7361111111110938E-2</v>
      </c>
      <c r="E16" s="241" t="s">
        <v>45</v>
      </c>
      <c r="F16" s="241"/>
      <c r="G16" s="233">
        <v>2</v>
      </c>
    </row>
    <row r="17" spans="1:11" ht="16.5" thickBot="1" x14ac:dyDescent="0.3">
      <c r="A17" s="134"/>
      <c r="B17" s="135"/>
      <c r="C17" s="135"/>
      <c r="D17" s="141"/>
      <c r="E17" s="242"/>
      <c r="F17" s="242"/>
      <c r="G17" s="234"/>
    </row>
    <row r="18" spans="1:11" ht="15.75" x14ac:dyDescent="0.25">
      <c r="A18" s="131">
        <v>43880</v>
      </c>
      <c r="B18" s="132">
        <v>0.54166666666666663</v>
      </c>
      <c r="C18" s="132">
        <v>0.57291666666666663</v>
      </c>
      <c r="D18" s="140">
        <f>(C18-B18)</f>
        <v>3.125E-2</v>
      </c>
      <c r="E18" s="243" t="s">
        <v>46</v>
      </c>
      <c r="F18" s="243"/>
      <c r="G18" s="233"/>
    </row>
    <row r="19" spans="1:11" ht="16.5" thickBot="1" x14ac:dyDescent="0.3">
      <c r="A19" s="142"/>
      <c r="B19" s="143"/>
      <c r="C19" s="143"/>
      <c r="D19" s="141"/>
      <c r="E19" s="244"/>
      <c r="F19" s="244"/>
      <c r="G19" s="234"/>
      <c r="I19" s="8"/>
      <c r="K19" s="8"/>
    </row>
    <row r="20" spans="1:11" ht="15.75" customHeight="1" x14ac:dyDescent="0.25">
      <c r="A20" s="109">
        <v>43881</v>
      </c>
      <c r="B20" s="100">
        <v>0.41666666666666669</v>
      </c>
      <c r="C20" s="100">
        <v>0.42708333333333331</v>
      </c>
      <c r="D20" s="101">
        <f t="shared" ref="D20" si="1">(C20-B20)</f>
        <v>1.041666666666663E-2</v>
      </c>
      <c r="E20" s="218" t="s">
        <v>36</v>
      </c>
      <c r="F20" s="218"/>
      <c r="G20" s="233"/>
      <c r="H20" s="8"/>
      <c r="I20" s="8"/>
      <c r="K20" s="8"/>
    </row>
    <row r="21" spans="1:11" ht="16.5" thickBot="1" x14ac:dyDescent="0.3">
      <c r="A21" s="110"/>
      <c r="B21" s="90"/>
      <c r="C21" s="90"/>
      <c r="D21" s="91"/>
      <c r="E21" s="219"/>
      <c r="F21" s="219"/>
      <c r="G21" s="234"/>
      <c r="H21" s="8"/>
      <c r="I21" s="8"/>
      <c r="K21" s="8"/>
    </row>
    <row r="22" spans="1:11" ht="15.75" customHeight="1" x14ac:dyDescent="0.25">
      <c r="A22" s="131">
        <v>43881</v>
      </c>
      <c r="B22" s="132">
        <v>0.42708333333333331</v>
      </c>
      <c r="C22" s="132">
        <v>0.4375</v>
      </c>
      <c r="D22" s="140">
        <f t="shared" ref="D22" si="2">(C22-B22)</f>
        <v>1.0416666666666685E-2</v>
      </c>
      <c r="E22" s="231" t="s">
        <v>47</v>
      </c>
      <c r="F22" s="231"/>
      <c r="G22" s="233">
        <v>4</v>
      </c>
      <c r="I22" s="9"/>
      <c r="K22" s="8"/>
    </row>
    <row r="23" spans="1:11" ht="18.75" customHeight="1" thickBot="1" x14ac:dyDescent="0.3">
      <c r="A23" s="142"/>
      <c r="B23" s="143"/>
      <c r="C23" s="143"/>
      <c r="D23" s="141"/>
      <c r="E23" s="232"/>
      <c r="F23" s="232"/>
      <c r="G23" s="234"/>
      <c r="I23" s="10"/>
      <c r="K23" s="8"/>
    </row>
    <row r="24" spans="1:11" ht="12.75" customHeight="1" x14ac:dyDescent="0.25">
      <c r="A24" s="131">
        <v>43881</v>
      </c>
      <c r="B24" s="132">
        <v>0.4375</v>
      </c>
      <c r="C24" s="132">
        <v>0.47916666666666669</v>
      </c>
      <c r="D24" s="140">
        <f t="shared" ref="D24" si="3">(C24-B24)</f>
        <v>4.1666666666666685E-2</v>
      </c>
      <c r="E24" s="231" t="s">
        <v>48</v>
      </c>
      <c r="F24" s="231"/>
      <c r="G24" s="233"/>
      <c r="H24" s="9"/>
      <c r="K24" s="8"/>
    </row>
    <row r="25" spans="1:11" ht="21.75" customHeight="1" thickBot="1" x14ac:dyDescent="0.3">
      <c r="A25" s="142"/>
      <c r="B25" s="143"/>
      <c r="C25" s="143"/>
      <c r="D25" s="141"/>
      <c r="E25" s="232"/>
      <c r="F25" s="232"/>
      <c r="G25" s="234"/>
      <c r="H25" s="10"/>
      <c r="K25" s="9"/>
    </row>
    <row r="26" spans="1:11" ht="12.75" customHeight="1" x14ac:dyDescent="0.25">
      <c r="A26" s="131">
        <v>43881</v>
      </c>
      <c r="B26" s="132">
        <v>0.5625</v>
      </c>
      <c r="C26" s="132">
        <v>0.76041666666666663</v>
      </c>
      <c r="D26" s="140">
        <f t="shared" ref="D26" si="4">(C26-B26)</f>
        <v>0.19791666666666663</v>
      </c>
      <c r="E26" s="235" t="s">
        <v>49</v>
      </c>
      <c r="F26" s="235"/>
      <c r="G26" s="233">
        <v>5</v>
      </c>
      <c r="H26" s="29"/>
      <c r="K26" s="11"/>
    </row>
    <row r="27" spans="1:11" ht="19.5" customHeight="1" thickBot="1" x14ac:dyDescent="0.3">
      <c r="A27" s="142"/>
      <c r="B27" s="143"/>
      <c r="C27" s="143"/>
      <c r="D27" s="141"/>
      <c r="E27" s="236"/>
      <c r="F27" s="236"/>
      <c r="G27" s="234"/>
      <c r="H27" s="29"/>
      <c r="K27" s="7"/>
    </row>
    <row r="28" spans="1:11" ht="12.75" customHeight="1" x14ac:dyDescent="0.25">
      <c r="A28" s="144"/>
      <c r="B28" s="85"/>
      <c r="C28" s="85"/>
      <c r="D28" s="63"/>
      <c r="E28" s="145"/>
      <c r="F28" s="145"/>
      <c r="G28" s="146"/>
      <c r="H28" s="29"/>
    </row>
    <row r="29" spans="1:11" ht="22.5" customHeight="1" thickBot="1" x14ac:dyDescent="0.4">
      <c r="A29" s="222" t="s">
        <v>21</v>
      </c>
      <c r="B29" s="222"/>
      <c r="C29" s="27"/>
      <c r="D29" s="27"/>
      <c r="E29" s="27"/>
      <c r="F29" s="114"/>
      <c r="G29" s="114"/>
      <c r="H29" s="29"/>
    </row>
    <row r="30" spans="1:11" ht="12.75" customHeight="1" thickBot="1" x14ac:dyDescent="0.25">
      <c r="A30" s="5"/>
      <c r="B30" s="15"/>
      <c r="C30" s="16"/>
      <c r="D30" s="17"/>
      <c r="E30" s="18"/>
      <c r="F30" s="30"/>
      <c r="G30" s="30"/>
      <c r="H30" s="29"/>
    </row>
    <row r="31" spans="1:11" ht="23.25" customHeight="1" x14ac:dyDescent="0.2">
      <c r="A31" s="191" t="s">
        <v>50</v>
      </c>
      <c r="B31" s="192"/>
      <c r="C31" s="192"/>
      <c r="D31" s="192"/>
      <c r="E31" s="192"/>
      <c r="F31" s="192"/>
      <c r="G31" s="193"/>
      <c r="H31" s="29"/>
    </row>
    <row r="32" spans="1:11" ht="17.25" customHeight="1" x14ac:dyDescent="0.2">
      <c r="A32" s="194"/>
      <c r="B32" s="195"/>
      <c r="C32" s="195"/>
      <c r="D32" s="195"/>
      <c r="E32" s="195"/>
      <c r="F32" s="195"/>
      <c r="G32" s="196"/>
      <c r="H32" s="29"/>
    </row>
    <row r="33" spans="1:8" ht="16.5" customHeight="1" x14ac:dyDescent="0.2">
      <c r="A33" s="194"/>
      <c r="B33" s="195"/>
      <c r="C33" s="195"/>
      <c r="D33" s="195"/>
      <c r="E33" s="195"/>
      <c r="F33" s="195"/>
      <c r="G33" s="196"/>
      <c r="H33" s="29"/>
    </row>
    <row r="34" spans="1:8" ht="24.75" customHeight="1" x14ac:dyDescent="0.2">
      <c r="A34" s="194"/>
      <c r="B34" s="195"/>
      <c r="C34" s="195"/>
      <c r="D34" s="195"/>
      <c r="E34" s="195"/>
      <c r="F34" s="195"/>
      <c r="G34" s="196"/>
      <c r="H34" s="29"/>
    </row>
    <row r="35" spans="1:8" ht="13.5" customHeight="1" x14ac:dyDescent="0.2">
      <c r="A35" s="194"/>
      <c r="B35" s="195"/>
      <c r="C35" s="195"/>
      <c r="D35" s="195"/>
      <c r="E35" s="195"/>
      <c r="F35" s="195"/>
      <c r="G35" s="196"/>
    </row>
    <row r="36" spans="1:8" ht="12.75" customHeight="1" x14ac:dyDescent="0.2">
      <c r="A36" s="194"/>
      <c r="B36" s="195"/>
      <c r="C36" s="195"/>
      <c r="D36" s="195"/>
      <c r="E36" s="195"/>
      <c r="F36" s="195"/>
      <c r="G36" s="196"/>
    </row>
    <row r="37" spans="1:8" ht="12.75" customHeight="1" x14ac:dyDescent="0.2">
      <c r="A37" s="194"/>
      <c r="B37" s="195"/>
      <c r="C37" s="195"/>
      <c r="D37" s="195"/>
      <c r="E37" s="195"/>
      <c r="F37" s="195"/>
      <c r="G37" s="196"/>
    </row>
    <row r="38" spans="1:8" ht="12.75" customHeight="1" x14ac:dyDescent="0.2">
      <c r="A38" s="194"/>
      <c r="B38" s="195"/>
      <c r="C38" s="195"/>
      <c r="D38" s="195"/>
      <c r="E38" s="195"/>
      <c r="F38" s="195"/>
      <c r="G38" s="196"/>
    </row>
    <row r="39" spans="1:8" ht="12.75" customHeight="1" x14ac:dyDescent="0.2">
      <c r="A39" s="194"/>
      <c r="B39" s="195"/>
      <c r="C39" s="195"/>
      <c r="D39" s="195"/>
      <c r="E39" s="195"/>
      <c r="F39" s="195"/>
      <c r="G39" s="196"/>
    </row>
    <row r="40" spans="1:8" ht="12.75" customHeight="1" x14ac:dyDescent="0.2">
      <c r="A40" s="194"/>
      <c r="B40" s="195"/>
      <c r="C40" s="195"/>
      <c r="D40" s="195"/>
      <c r="E40" s="195"/>
      <c r="F40" s="195"/>
      <c r="G40" s="196"/>
    </row>
    <row r="41" spans="1:8" ht="12.75" customHeight="1" x14ac:dyDescent="0.2">
      <c r="A41" s="194"/>
      <c r="B41" s="195"/>
      <c r="C41" s="195"/>
      <c r="D41" s="195"/>
      <c r="E41" s="195"/>
      <c r="F41" s="195"/>
      <c r="G41" s="196"/>
    </row>
    <row r="42" spans="1:8" ht="12.75" customHeight="1" x14ac:dyDescent="0.2">
      <c r="A42" s="194"/>
      <c r="B42" s="195"/>
      <c r="C42" s="195"/>
      <c r="D42" s="195"/>
      <c r="E42" s="195"/>
      <c r="F42" s="195"/>
      <c r="G42" s="196"/>
    </row>
    <row r="43" spans="1:8" ht="12.75" customHeight="1" x14ac:dyDescent="0.2">
      <c r="A43" s="194"/>
      <c r="B43" s="195"/>
      <c r="C43" s="195"/>
      <c r="D43" s="195"/>
      <c r="E43" s="195"/>
      <c r="F43" s="195"/>
      <c r="G43" s="196"/>
    </row>
    <row r="44" spans="1:8" ht="43.5" customHeight="1" thickBot="1" x14ac:dyDescent="0.25">
      <c r="A44" s="197"/>
      <c r="B44" s="198"/>
      <c r="C44" s="198"/>
      <c r="D44" s="198"/>
      <c r="E44" s="198"/>
      <c r="F44" s="198"/>
      <c r="G44" s="199"/>
    </row>
    <row r="45" spans="1:8" ht="12.75" customHeight="1" x14ac:dyDescent="0.2"/>
    <row r="46" spans="1:8" ht="12.75" customHeight="1" x14ac:dyDescent="0.2"/>
    <row r="47" spans="1:8" ht="12.75" customHeight="1" x14ac:dyDescent="0.2"/>
    <row r="48" spans="1:8" ht="12.75" customHeight="1" x14ac:dyDescent="0.2"/>
    <row r="49" ht="1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3.5" customHeight="1" x14ac:dyDescent="0.2"/>
  </sheetData>
  <mergeCells count="24">
    <mergeCell ref="J4:J5"/>
    <mergeCell ref="E10:F11"/>
    <mergeCell ref="E14:F15"/>
    <mergeCell ref="E16:F17"/>
    <mergeCell ref="E18:F19"/>
    <mergeCell ref="G14:G15"/>
    <mergeCell ref="G16:G17"/>
    <mergeCell ref="G18:G19"/>
    <mergeCell ref="E12:F13"/>
    <mergeCell ref="G10:G11"/>
    <mergeCell ref="G12:G13"/>
    <mergeCell ref="A1:D1"/>
    <mergeCell ref="A4:B5"/>
    <mergeCell ref="C4:D5"/>
    <mergeCell ref="A29:B29"/>
    <mergeCell ref="A31:G44"/>
    <mergeCell ref="E20:F21"/>
    <mergeCell ref="E22:F23"/>
    <mergeCell ref="G26:G27"/>
    <mergeCell ref="G24:G25"/>
    <mergeCell ref="E26:F27"/>
    <mergeCell ref="E24:F25"/>
    <mergeCell ref="G20:G21"/>
    <mergeCell ref="G22:G23"/>
  </mergeCells>
  <conditionalFormatting sqref="H20:I21 I19">
    <cfRule type="expression" dxfId="122" priority="5">
      <formula>ISNUMBER(SEARCH(TEXT(#REF!,"ddd"),#REF!))</formula>
    </cfRule>
  </conditionalFormatting>
  <conditionalFormatting sqref="A10:D12 A16:D17 A18:C18 A20:C20 A22:C22 A24:C24 A26:C26 A28:C28">
    <cfRule type="expression" dxfId="121" priority="6">
      <formula>ISNUMBER(SEARCH(TEXT(#REF!,"ddd"),#REF!))</formula>
    </cfRule>
  </conditionalFormatting>
  <conditionalFormatting sqref="K19:K24">
    <cfRule type="expression" dxfId="120" priority="7">
      <formula>ISNUMBER(SEARCH(TEXT(#REF!,"ddd"),#REF!))</formula>
    </cfRule>
  </conditionalFormatting>
  <conditionalFormatting sqref="D14">
    <cfRule type="expression" dxfId="119" priority="4">
      <formula>ISNUMBER(SEARCH(TEXT(#REF!,"ddd"),#REF!))</formula>
    </cfRule>
  </conditionalFormatting>
  <conditionalFormatting sqref="A14:C14">
    <cfRule type="expression" dxfId="118" priority="1">
      <formula>ISNUMBER(SEARCH(TEXT(#REF!,"ddd"),#REF!))</formula>
    </cfRule>
  </conditionalFormatting>
  <conditionalFormatting sqref="A13:D13">
    <cfRule type="expression" dxfId="117" priority="3">
      <formula>ISNUMBER(SEARCH(TEXT(#REF!,"ddd"),#REF!))</formula>
    </cfRule>
  </conditionalFormatting>
  <conditionalFormatting sqref="A15:D15">
    <cfRule type="expression" dxfId="116" priority="2">
      <formula>ISNUMBER(SEARCH(TEXT(#REF!,"ddd"),#REF!))</formula>
    </cfRule>
  </conditionalFormatting>
  <dataValidations count="2">
    <dataValidation type="custom" allowBlank="1" showInputMessage="1" showErrorMessage="1" sqref="C18 B10:B18 C11:C16 B20:C20 B22:C22 B24:C24 B26:C26 B28:C28" xr:uid="{FCF39EF2-F544-4B71-8939-1040A9C75B80}">
      <formula1>AND($B10&lt;=1,ISNUMBER($B10))</formula1>
    </dataValidation>
    <dataValidation type="custom" allowBlank="1" showInputMessage="1" showErrorMessage="1" sqref="C10 C17" xr:uid="{6F7BD711-94AD-4AFD-B6B4-20848C518F5F}">
      <formula1>AND($C10&lt;=1,ISNUMBER($C10),($C10&gt;=$B10))</formula1>
    </dataValidation>
  </dataValidations>
  <pageMargins left="0.23622047244094491" right="0.23622047244094491" top="0.74803149606299213" bottom="0.74803149606299213" header="0.31496062992125984" footer="0.31496062992125984"/>
  <pageSetup paperSize="9" scale="86" fitToHeight="0"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F3A5C-6243-46E6-8529-9CF9A1232909}">
  <sheetPr codeName="Sheet15">
    <pageSetUpPr fitToPage="1"/>
  </sheetPr>
  <dimension ref="A1:K57"/>
  <sheetViews>
    <sheetView showGridLines="0" topLeftCell="A4" zoomScaleNormal="100" workbookViewId="0">
      <selection activeCell="H12" sqref="H12"/>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9</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43885</v>
      </c>
      <c r="B3" s="154"/>
      <c r="C3" s="103">
        <f>A30</f>
        <v>43890</v>
      </c>
      <c r="D3" s="154"/>
      <c r="E3" s="34" t="s">
        <v>6</v>
      </c>
      <c r="F3" s="38">
        <f>Sumcolor(E3,D10:D31)</f>
        <v>0</v>
      </c>
      <c r="G3" s="147">
        <f>SUM(Først:Sist!F3)</f>
        <v>0.62499999999999989</v>
      </c>
      <c r="H3" s="22"/>
      <c r="I3" s="7"/>
      <c r="J3" s="7"/>
    </row>
    <row r="4" spans="1:10" ht="15" customHeight="1" x14ac:dyDescent="0.2">
      <c r="A4" s="192" t="s">
        <v>7</v>
      </c>
      <c r="B4" s="192"/>
      <c r="C4" s="201" t="s">
        <v>8</v>
      </c>
      <c r="D4" s="201"/>
      <c r="E4" s="35" t="s">
        <v>9</v>
      </c>
      <c r="F4" s="38">
        <f>Sumcolor(E4,D10:D31)</f>
        <v>0.3611111111111111</v>
      </c>
      <c r="G4" s="147">
        <f>SUM(Først:Sist!F4)</f>
        <v>2.7604166666666665</v>
      </c>
      <c r="H4" s="22"/>
      <c r="I4" s="7"/>
      <c r="J4" s="190"/>
    </row>
    <row r="5" spans="1:10" ht="15.75" x14ac:dyDescent="0.2">
      <c r="A5" s="201"/>
      <c r="B5" s="201"/>
      <c r="C5" s="201"/>
      <c r="D5" s="201"/>
      <c r="E5" s="36" t="s">
        <v>10</v>
      </c>
      <c r="F5" s="38">
        <f>Sumcolor(E5,D10:D31)</f>
        <v>0.15625000000000011</v>
      </c>
      <c r="G5" s="147">
        <f>SUM(Først:Sist!F5)</f>
        <v>1.1701388888888882</v>
      </c>
      <c r="H5" s="22"/>
      <c r="I5" s="7"/>
      <c r="J5" s="190"/>
    </row>
    <row r="6" spans="1:10" ht="18.75" customHeight="1" thickBot="1" x14ac:dyDescent="0.25">
      <c r="A6" s="42">
        <f>SUM(D10:D31)</f>
        <v>0.66666666666666674</v>
      </c>
      <c r="B6" s="43"/>
      <c r="C6" s="89">
        <f>SUM(Først:Sist!A6)</f>
        <v>6.8680555555555571</v>
      </c>
      <c r="D6" s="44"/>
      <c r="E6" s="37" t="s">
        <v>11</v>
      </c>
      <c r="F6" s="40">
        <f>Sumcolor(E6,D10:D31)</f>
        <v>0.14930555555555547</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04">
        <v>43885</v>
      </c>
      <c r="B10" s="87">
        <v>0.61458333333333337</v>
      </c>
      <c r="C10" s="87">
        <v>0.625</v>
      </c>
      <c r="D10" s="88">
        <f t="shared" ref="D10" si="0">(C10-B10)</f>
        <v>1.041666666666663E-2</v>
      </c>
      <c r="E10" s="225" t="s">
        <v>36</v>
      </c>
      <c r="F10" s="225"/>
      <c r="G10" s="233"/>
      <c r="H10" s="25"/>
    </row>
    <row r="11" spans="1:10" ht="16.5" thickBot="1" x14ac:dyDescent="0.3">
      <c r="A11" s="105"/>
      <c r="B11" s="92"/>
      <c r="C11" s="92"/>
      <c r="D11" s="93"/>
      <c r="E11" s="226"/>
      <c r="F11" s="226"/>
      <c r="G11" s="234"/>
      <c r="H11" s="25"/>
    </row>
    <row r="12" spans="1:10" ht="15.75" customHeight="1" x14ac:dyDescent="0.25">
      <c r="A12" s="131">
        <v>43885</v>
      </c>
      <c r="B12" s="132">
        <v>0.625</v>
      </c>
      <c r="C12" s="132">
        <v>0.79166666666666663</v>
      </c>
      <c r="D12" s="133">
        <f>(C12-B12)</f>
        <v>0.16666666666666663</v>
      </c>
      <c r="E12" s="245" t="s">
        <v>51</v>
      </c>
      <c r="F12" s="245"/>
      <c r="G12" s="233">
        <v>6</v>
      </c>
    </row>
    <row r="13" spans="1:10" ht="16.5" thickBot="1" x14ac:dyDescent="0.3">
      <c r="A13" s="134"/>
      <c r="B13" s="135"/>
      <c r="C13" s="135"/>
      <c r="D13" s="136"/>
      <c r="E13" s="246"/>
      <c r="F13" s="246"/>
      <c r="G13" s="234"/>
    </row>
    <row r="14" spans="1:10" ht="15.75" customHeight="1" x14ac:dyDescent="0.25">
      <c r="A14" s="109">
        <v>43887</v>
      </c>
      <c r="B14" s="100">
        <v>0.42708333333333331</v>
      </c>
      <c r="C14" s="100">
        <v>0.4513888888888889</v>
      </c>
      <c r="D14" s="88">
        <f>(C14-B14)</f>
        <v>2.430555555555558E-2</v>
      </c>
      <c r="E14" s="239" t="s">
        <v>52</v>
      </c>
      <c r="F14" s="239"/>
      <c r="G14" s="233"/>
    </row>
    <row r="15" spans="1:10" ht="16.5" thickBot="1" x14ac:dyDescent="0.3">
      <c r="A15" s="137"/>
      <c r="B15" s="138"/>
      <c r="C15" s="138"/>
      <c r="D15" s="139"/>
      <c r="E15" s="240"/>
      <c r="F15" s="240"/>
      <c r="G15" s="234"/>
    </row>
    <row r="16" spans="1:10" ht="15.75" customHeight="1" x14ac:dyDescent="0.25">
      <c r="A16" s="131">
        <v>43887</v>
      </c>
      <c r="B16" s="132">
        <v>0.45833333333333331</v>
      </c>
      <c r="C16" s="132">
        <v>0.60416666666666663</v>
      </c>
      <c r="D16" s="140">
        <f>(C16-B16)</f>
        <v>0.14583333333333331</v>
      </c>
      <c r="E16" s="241" t="s">
        <v>53</v>
      </c>
      <c r="F16" s="241"/>
      <c r="G16" s="252" t="s">
        <v>107</v>
      </c>
    </row>
    <row r="17" spans="1:11" ht="16.5" thickBot="1" x14ac:dyDescent="0.3">
      <c r="A17" s="134"/>
      <c r="B17" s="135"/>
      <c r="C17" s="135"/>
      <c r="D17" s="141"/>
      <c r="E17" s="242"/>
      <c r="F17" s="242"/>
      <c r="G17" s="253"/>
    </row>
    <row r="18" spans="1:11" ht="15.75" x14ac:dyDescent="0.25">
      <c r="A18" s="131">
        <v>43887</v>
      </c>
      <c r="B18" s="132">
        <v>0.625</v>
      </c>
      <c r="C18" s="132">
        <v>0.66666666666666663</v>
      </c>
      <c r="D18" s="140">
        <f>(C18-B18)</f>
        <v>4.166666666666663E-2</v>
      </c>
      <c r="E18" s="231" t="s">
        <v>54</v>
      </c>
      <c r="F18" s="231"/>
      <c r="G18" s="233">
        <v>5</v>
      </c>
    </row>
    <row r="19" spans="1:11" ht="51" customHeight="1" thickBot="1" x14ac:dyDescent="0.3">
      <c r="A19" s="142"/>
      <c r="B19" s="143"/>
      <c r="C19" s="143"/>
      <c r="D19" s="141"/>
      <c r="E19" s="232"/>
      <c r="F19" s="232"/>
      <c r="G19" s="234"/>
      <c r="I19" s="8"/>
      <c r="K19" s="8"/>
    </row>
    <row r="20" spans="1:11" ht="15.75" customHeight="1" x14ac:dyDescent="0.25">
      <c r="A20" s="131">
        <v>43887</v>
      </c>
      <c r="B20" s="132">
        <v>0.66666666666666663</v>
      </c>
      <c r="C20" s="132">
        <v>0.67361111111111116</v>
      </c>
      <c r="D20" s="140">
        <f t="shared" ref="D20" si="1">(C20-B20)</f>
        <v>6.9444444444445308E-3</v>
      </c>
      <c r="E20" s="231" t="s">
        <v>55</v>
      </c>
      <c r="F20" s="231"/>
      <c r="G20" s="233">
        <v>6</v>
      </c>
      <c r="H20" s="8"/>
      <c r="I20" s="8"/>
      <c r="K20" s="8"/>
    </row>
    <row r="21" spans="1:11" ht="16.5" thickBot="1" x14ac:dyDescent="0.3">
      <c r="A21" s="142"/>
      <c r="B21" s="143"/>
      <c r="C21" s="143"/>
      <c r="D21" s="141"/>
      <c r="E21" s="232"/>
      <c r="F21" s="232"/>
      <c r="G21" s="234"/>
      <c r="H21" s="8"/>
      <c r="I21" s="8"/>
      <c r="K21" s="8"/>
    </row>
    <row r="22" spans="1:11" ht="15.75" customHeight="1" x14ac:dyDescent="0.25">
      <c r="A22" s="109">
        <v>43889</v>
      </c>
      <c r="B22" s="100">
        <v>0.51041666666666663</v>
      </c>
      <c r="C22" s="100">
        <v>0.5625</v>
      </c>
      <c r="D22" s="101">
        <f t="shared" ref="D22" si="2">(C22-B22)</f>
        <v>5.208333333333337E-2</v>
      </c>
      <c r="E22" s="218" t="s">
        <v>56</v>
      </c>
      <c r="F22" s="218"/>
      <c r="G22" s="233"/>
      <c r="H22" s="9"/>
      <c r="I22" s="9"/>
      <c r="K22" s="8"/>
    </row>
    <row r="23" spans="1:11" ht="32.25" customHeight="1" thickBot="1" x14ac:dyDescent="0.3">
      <c r="A23" s="110"/>
      <c r="B23" s="90"/>
      <c r="C23" s="90"/>
      <c r="D23" s="91"/>
      <c r="E23" s="219"/>
      <c r="F23" s="219"/>
      <c r="G23" s="234"/>
      <c r="H23" s="10"/>
      <c r="I23" s="10"/>
      <c r="K23" s="8"/>
    </row>
    <row r="24" spans="1:11" ht="12.75" customHeight="1" x14ac:dyDescent="0.25">
      <c r="A24" s="106">
        <v>43890</v>
      </c>
      <c r="B24" s="94">
        <v>0.51041666666666663</v>
      </c>
      <c r="C24" s="94">
        <v>0.58333333333333337</v>
      </c>
      <c r="D24" s="99">
        <f t="shared" ref="D24" si="3">(C24-B24)</f>
        <v>7.2916666666666741E-2</v>
      </c>
      <c r="E24" s="220" t="s">
        <v>57</v>
      </c>
      <c r="F24" s="220"/>
      <c r="G24" s="233"/>
      <c r="H24" s="29"/>
      <c r="K24" s="8"/>
    </row>
    <row r="25" spans="1:11" ht="21.75" customHeight="1" thickBot="1" x14ac:dyDescent="0.3">
      <c r="A25" s="111"/>
      <c r="B25" s="75"/>
      <c r="C25" s="75"/>
      <c r="D25" s="76"/>
      <c r="E25" s="221"/>
      <c r="F25" s="221"/>
      <c r="G25" s="234"/>
      <c r="H25" s="29"/>
      <c r="K25" s="9"/>
    </row>
    <row r="26" spans="1:11" ht="12.75" customHeight="1" x14ac:dyDescent="0.25">
      <c r="A26" s="106">
        <v>43890</v>
      </c>
      <c r="B26" s="94">
        <v>0.58333333333333337</v>
      </c>
      <c r="C26" s="94">
        <v>0.625</v>
      </c>
      <c r="D26" s="99">
        <f t="shared" ref="D26" si="4">(C26-B26)</f>
        <v>4.166666666666663E-2</v>
      </c>
      <c r="E26" s="223" t="s">
        <v>58</v>
      </c>
      <c r="F26" s="223"/>
      <c r="G26" s="233"/>
      <c r="H26" s="29"/>
      <c r="K26" s="11"/>
    </row>
    <row r="27" spans="1:11" ht="19.5" customHeight="1" thickBot="1" x14ac:dyDescent="0.3">
      <c r="A27" s="111"/>
      <c r="B27" s="75"/>
      <c r="C27" s="75"/>
      <c r="D27" s="76"/>
      <c r="E27" s="224"/>
      <c r="F27" s="224"/>
      <c r="G27" s="234"/>
      <c r="H27" s="29"/>
      <c r="K27" s="7"/>
    </row>
    <row r="28" spans="1:11" ht="12.75" customHeight="1" x14ac:dyDescent="0.25">
      <c r="A28" s="106">
        <v>43890</v>
      </c>
      <c r="B28" s="94">
        <v>0.64583333333333337</v>
      </c>
      <c r="C28" s="94">
        <v>0.68055555555555547</v>
      </c>
      <c r="D28" s="99">
        <f t="shared" ref="D28" si="5">(C28-B28)</f>
        <v>3.4722222222222099E-2</v>
      </c>
      <c r="E28" s="220" t="s">
        <v>59</v>
      </c>
      <c r="F28" s="220"/>
      <c r="G28" s="233"/>
      <c r="H28" s="29"/>
    </row>
    <row r="29" spans="1:11" ht="20.25" customHeight="1" thickBot="1" x14ac:dyDescent="0.3">
      <c r="A29" s="111"/>
      <c r="B29" s="75"/>
      <c r="C29" s="75"/>
      <c r="D29" s="76"/>
      <c r="E29" s="221"/>
      <c r="F29" s="221"/>
      <c r="G29" s="234"/>
      <c r="H29" s="29"/>
    </row>
    <row r="30" spans="1:11" ht="12.75" customHeight="1" x14ac:dyDescent="0.25">
      <c r="A30" s="112">
        <v>43890</v>
      </c>
      <c r="B30" s="78">
        <v>0.68055555555555547</v>
      </c>
      <c r="C30" s="78">
        <v>0.75</v>
      </c>
      <c r="D30" s="102">
        <f t="shared" ref="D30" si="6">(C30-B30)</f>
        <v>6.9444444444444531E-2</v>
      </c>
      <c r="E30" s="248" t="s">
        <v>60</v>
      </c>
      <c r="F30" s="248"/>
      <c r="G30" s="233"/>
      <c r="H30" s="29"/>
    </row>
    <row r="31" spans="1:11" ht="23.25" customHeight="1" thickBot="1" x14ac:dyDescent="0.3">
      <c r="A31" s="110"/>
      <c r="B31" s="90"/>
      <c r="C31" s="90"/>
      <c r="D31" s="91"/>
      <c r="E31" s="249"/>
      <c r="F31" s="249"/>
      <c r="G31" s="234"/>
      <c r="H31" s="29"/>
    </row>
    <row r="32" spans="1:11" ht="17.25" customHeight="1" x14ac:dyDescent="0.25">
      <c r="A32" s="126"/>
      <c r="B32" s="85"/>
      <c r="C32" s="85"/>
      <c r="D32" s="63">
        <f t="shared" ref="D32" si="7">(C32-B32)</f>
        <v>0</v>
      </c>
      <c r="E32" s="250"/>
      <c r="F32" s="250"/>
      <c r="G32" s="247"/>
      <c r="H32" s="29"/>
    </row>
    <row r="33" spans="1:8" ht="16.5" customHeight="1" thickBot="1" x14ac:dyDescent="0.3">
      <c r="A33" s="125"/>
      <c r="B33" s="86"/>
      <c r="C33" s="86"/>
      <c r="D33" s="50"/>
      <c r="E33" s="251"/>
      <c r="F33" s="251"/>
      <c r="G33" s="234"/>
      <c r="H33" s="29"/>
    </row>
    <row r="34" spans="1:8" ht="24.75" customHeight="1" thickBot="1" x14ac:dyDescent="0.4">
      <c r="A34" s="222" t="s">
        <v>21</v>
      </c>
      <c r="B34" s="222"/>
      <c r="C34" s="27"/>
      <c r="D34" s="27"/>
      <c r="E34" s="27"/>
      <c r="F34" s="114"/>
      <c r="G34" s="114"/>
      <c r="H34" s="29"/>
    </row>
    <row r="35" spans="1:8" ht="13.5" customHeight="1" thickBot="1" x14ac:dyDescent="0.25">
      <c r="A35" s="5"/>
      <c r="B35" s="15"/>
      <c r="C35" s="16"/>
      <c r="D35" s="17"/>
      <c r="E35" s="18"/>
      <c r="F35" s="30"/>
      <c r="G35" s="30"/>
    </row>
    <row r="36" spans="1:8" ht="12.75" customHeight="1" x14ac:dyDescent="0.2">
      <c r="A36" s="191" t="s">
        <v>61</v>
      </c>
      <c r="B36" s="192"/>
      <c r="C36" s="192"/>
      <c r="D36" s="192"/>
      <c r="E36" s="192"/>
      <c r="F36" s="192"/>
      <c r="G36" s="193"/>
    </row>
    <row r="37" spans="1:8" ht="12.75" customHeight="1" x14ac:dyDescent="0.2">
      <c r="A37" s="194"/>
      <c r="B37" s="195"/>
      <c r="C37" s="195"/>
      <c r="D37" s="195"/>
      <c r="E37" s="195"/>
      <c r="F37" s="195"/>
      <c r="G37" s="196"/>
    </row>
    <row r="38" spans="1:8" ht="12.75" customHeight="1" x14ac:dyDescent="0.2">
      <c r="A38" s="194"/>
      <c r="B38" s="195"/>
      <c r="C38" s="195"/>
      <c r="D38" s="195"/>
      <c r="E38" s="195"/>
      <c r="F38" s="195"/>
      <c r="G38" s="196"/>
    </row>
    <row r="39" spans="1:8" ht="12.75" customHeight="1" x14ac:dyDescent="0.2">
      <c r="A39" s="194"/>
      <c r="B39" s="195"/>
      <c r="C39" s="195"/>
      <c r="D39" s="195"/>
      <c r="E39" s="195"/>
      <c r="F39" s="195"/>
      <c r="G39" s="196"/>
    </row>
    <row r="40" spans="1:8" ht="12.75" customHeight="1" x14ac:dyDescent="0.2">
      <c r="A40" s="194"/>
      <c r="B40" s="195"/>
      <c r="C40" s="195"/>
      <c r="D40" s="195"/>
      <c r="E40" s="195"/>
      <c r="F40" s="195"/>
      <c r="G40" s="196"/>
    </row>
    <row r="41" spans="1:8" ht="12.75" customHeight="1" x14ac:dyDescent="0.2">
      <c r="A41" s="194"/>
      <c r="B41" s="195"/>
      <c r="C41" s="195"/>
      <c r="D41" s="195"/>
      <c r="E41" s="195"/>
      <c r="F41" s="195"/>
      <c r="G41" s="196"/>
    </row>
    <row r="42" spans="1:8" ht="12.75" customHeight="1" x14ac:dyDescent="0.2">
      <c r="A42" s="194"/>
      <c r="B42" s="195"/>
      <c r="C42" s="195"/>
      <c r="D42" s="195"/>
      <c r="E42" s="195"/>
      <c r="F42" s="195"/>
      <c r="G42" s="196"/>
    </row>
    <row r="43" spans="1:8" ht="12.75" customHeight="1" x14ac:dyDescent="0.2">
      <c r="A43" s="194"/>
      <c r="B43" s="195"/>
      <c r="C43" s="195"/>
      <c r="D43" s="195"/>
      <c r="E43" s="195"/>
      <c r="F43" s="195"/>
      <c r="G43" s="196"/>
    </row>
    <row r="44" spans="1:8" ht="12.75" customHeight="1" x14ac:dyDescent="0.2">
      <c r="A44" s="194"/>
      <c r="B44" s="195"/>
      <c r="C44" s="195"/>
      <c r="D44" s="195"/>
      <c r="E44" s="195"/>
      <c r="F44" s="195"/>
      <c r="G44" s="196"/>
    </row>
    <row r="45" spans="1:8" ht="12.75" customHeight="1" x14ac:dyDescent="0.2">
      <c r="A45" s="194"/>
      <c r="B45" s="195"/>
      <c r="C45" s="195"/>
      <c r="D45" s="195"/>
      <c r="E45" s="195"/>
      <c r="F45" s="195"/>
      <c r="G45" s="196"/>
    </row>
    <row r="46" spans="1:8" ht="12.75" customHeight="1" x14ac:dyDescent="0.2">
      <c r="A46" s="194"/>
      <c r="B46" s="195"/>
      <c r="C46" s="195"/>
      <c r="D46" s="195"/>
      <c r="E46" s="195"/>
      <c r="F46" s="195"/>
      <c r="G46" s="196"/>
    </row>
    <row r="47" spans="1:8" ht="12.75" customHeight="1" x14ac:dyDescent="0.2">
      <c r="A47" s="194"/>
      <c r="B47" s="195"/>
      <c r="C47" s="195"/>
      <c r="D47" s="195"/>
      <c r="E47" s="195"/>
      <c r="F47" s="195"/>
      <c r="G47" s="196"/>
    </row>
    <row r="48" spans="1:8" ht="12.75" customHeight="1" x14ac:dyDescent="0.2">
      <c r="A48" s="194"/>
      <c r="B48" s="195"/>
      <c r="C48" s="195"/>
      <c r="D48" s="195"/>
      <c r="E48" s="195"/>
      <c r="F48" s="195"/>
      <c r="G48" s="196"/>
    </row>
    <row r="49" spans="1:7" ht="156.75" customHeight="1" thickBot="1" x14ac:dyDescent="0.25">
      <c r="A49" s="197"/>
      <c r="B49" s="198"/>
      <c r="C49" s="198"/>
      <c r="D49" s="198"/>
      <c r="E49" s="198"/>
      <c r="F49" s="198"/>
      <c r="G49" s="199"/>
    </row>
    <row r="50" spans="1:7" ht="12.75" customHeight="1" x14ac:dyDescent="0.2">
      <c r="A50" t="s">
        <v>62</v>
      </c>
    </row>
    <row r="51" spans="1:7" ht="12.75" customHeight="1" x14ac:dyDescent="0.2"/>
    <row r="52" spans="1:7" ht="12.75" customHeight="1" x14ac:dyDescent="0.2"/>
    <row r="53" spans="1:7" ht="12.75" customHeight="1" x14ac:dyDescent="0.2"/>
    <row r="54" spans="1:7" ht="12.75" customHeight="1" x14ac:dyDescent="0.2"/>
    <row r="55" spans="1:7" ht="12.75" customHeight="1" x14ac:dyDescent="0.2"/>
    <row r="56" spans="1:7" ht="12.75" customHeight="1" x14ac:dyDescent="0.2"/>
    <row r="57" spans="1:7" ht="13.5" customHeight="1" x14ac:dyDescent="0.2"/>
  </sheetData>
  <mergeCells count="30">
    <mergeCell ref="A36:G49"/>
    <mergeCell ref="E14:F15"/>
    <mergeCell ref="E16:F17"/>
    <mergeCell ref="E18:F19"/>
    <mergeCell ref="E20:F21"/>
    <mergeCell ref="E22:F23"/>
    <mergeCell ref="E24:F25"/>
    <mergeCell ref="E26:F27"/>
    <mergeCell ref="E28:F29"/>
    <mergeCell ref="E30:F31"/>
    <mergeCell ref="E32:F33"/>
    <mergeCell ref="A34:B34"/>
    <mergeCell ref="G14:G15"/>
    <mergeCell ref="G16:G17"/>
    <mergeCell ref="G18:G19"/>
    <mergeCell ref="G20:G21"/>
    <mergeCell ref="E12:F13"/>
    <mergeCell ref="A1:D1"/>
    <mergeCell ref="A4:B5"/>
    <mergeCell ref="C4:D5"/>
    <mergeCell ref="J4:J5"/>
    <mergeCell ref="E10:F11"/>
    <mergeCell ref="G12:G13"/>
    <mergeCell ref="G10:G11"/>
    <mergeCell ref="G32:G33"/>
    <mergeCell ref="G22:G23"/>
    <mergeCell ref="G24:G25"/>
    <mergeCell ref="G26:G27"/>
    <mergeCell ref="G28:G29"/>
    <mergeCell ref="G30:G31"/>
  </mergeCells>
  <conditionalFormatting sqref="H20:I21 I19">
    <cfRule type="expression" dxfId="115" priority="5">
      <formula>ISNUMBER(SEARCH(TEXT(#REF!,"ddd"),#REF!))</formula>
    </cfRule>
  </conditionalFormatting>
  <conditionalFormatting sqref="A10:D12 A16:D17 A18:C18 A20:C20 A22:C22 A24:C24 A26:C26 A28:C28 A30:C30 A32:C32">
    <cfRule type="expression" dxfId="114" priority="6">
      <formula>ISNUMBER(SEARCH(TEXT(#REF!,"ddd"),#REF!))</formula>
    </cfRule>
  </conditionalFormatting>
  <conditionalFormatting sqref="K19:K24">
    <cfRule type="expression" dxfId="113" priority="7">
      <formula>ISNUMBER(SEARCH(TEXT(#REF!,"ddd"),#REF!))</formula>
    </cfRule>
  </conditionalFormatting>
  <conditionalFormatting sqref="D14">
    <cfRule type="expression" dxfId="112" priority="4">
      <formula>ISNUMBER(SEARCH(TEXT(#REF!,"ddd"),#REF!))</formula>
    </cfRule>
  </conditionalFormatting>
  <conditionalFormatting sqref="A14:C14">
    <cfRule type="expression" dxfId="111" priority="1">
      <formula>ISNUMBER(SEARCH(TEXT(#REF!,"ddd"),#REF!))</formula>
    </cfRule>
  </conditionalFormatting>
  <conditionalFormatting sqref="A13:D13">
    <cfRule type="expression" dxfId="110" priority="3">
      <formula>ISNUMBER(SEARCH(TEXT(#REF!,"ddd"),#REF!))</formula>
    </cfRule>
  </conditionalFormatting>
  <conditionalFormatting sqref="A15:D15">
    <cfRule type="expression" dxfId="109" priority="2">
      <formula>ISNUMBER(SEARCH(TEXT(#REF!,"ddd"),#REF!))</formula>
    </cfRule>
  </conditionalFormatting>
  <dataValidations count="2">
    <dataValidation type="custom" allowBlank="1" showInputMessage="1" showErrorMessage="1" sqref="C10 C17" xr:uid="{7D491AFA-985A-4242-A2F8-505B2F68D169}">
      <formula1>AND($C10&lt;=1,ISNUMBER($C10),($C10&gt;=$B10))</formula1>
    </dataValidation>
    <dataValidation type="custom" allowBlank="1" showInputMessage="1" showErrorMessage="1" sqref="C18 B10:B18 C11:C16 B20:C20 B22:C22 B24:C24 B26:C26 B28:C28 B30:C30 B32:C32" xr:uid="{2CDD2BCB-F9AA-424A-BCA7-569843A7E045}">
      <formula1>AND($B10&lt;=1,ISNUMBER($B10))</formula1>
    </dataValidation>
  </dataValidations>
  <pageMargins left="0" right="0" top="0" bottom="0" header="0" footer="0"/>
  <pageSetup paperSize="9" scale="63" fitToHeight="0" orientation="portrait" horizontalDpi="4294967293" vertic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47701-5659-4B11-8B6A-FE08535C9678}">
  <sheetPr codeName="Sheet16">
    <pageSetUpPr fitToPage="1"/>
  </sheetPr>
  <dimension ref="A1:K57"/>
  <sheetViews>
    <sheetView showGridLines="0" zoomScaleNormal="100" workbookViewId="0">
      <selection activeCell="I20" sqref="I20"/>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10</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43892</v>
      </c>
      <c r="B3" s="154"/>
      <c r="C3" s="103">
        <f>A20</f>
        <v>43898</v>
      </c>
      <c r="D3" s="154"/>
      <c r="E3" s="34" t="s">
        <v>6</v>
      </c>
      <c r="F3" s="149">
        <f>Sumcolor(E3,D10:D31)</f>
        <v>0</v>
      </c>
      <c r="G3" s="147">
        <f>SUM(Først:Sist!F3)</f>
        <v>0.62499999999999989</v>
      </c>
      <c r="H3" s="22"/>
      <c r="I3" s="7"/>
      <c r="J3" s="7"/>
    </row>
    <row r="4" spans="1:10" ht="15" customHeight="1" x14ac:dyDescent="0.2">
      <c r="A4" s="192" t="s">
        <v>7</v>
      </c>
      <c r="B4" s="192"/>
      <c r="C4" s="201" t="s">
        <v>8</v>
      </c>
      <c r="D4" s="201"/>
      <c r="E4" s="35" t="s">
        <v>9</v>
      </c>
      <c r="F4" s="149">
        <f>Sumcolor(E4,D10:D31)</f>
        <v>5.9027777777777679E-2</v>
      </c>
      <c r="G4" s="147">
        <f>SUM(Først:Sist!F4)</f>
        <v>2.7604166666666665</v>
      </c>
      <c r="H4" s="22"/>
      <c r="I4" s="7"/>
      <c r="J4" s="190"/>
    </row>
    <row r="5" spans="1:10" ht="15.75" x14ac:dyDescent="0.2">
      <c r="A5" s="201"/>
      <c r="B5" s="201"/>
      <c r="C5" s="201"/>
      <c r="D5" s="201"/>
      <c r="E5" s="36" t="s">
        <v>10</v>
      </c>
      <c r="F5" s="149">
        <f>Sumcolor(E5,D10:D31)</f>
        <v>6.25E-2</v>
      </c>
      <c r="G5" s="147">
        <f>SUM(Først:Sist!F5)</f>
        <v>1.1701388888888882</v>
      </c>
      <c r="H5" s="22"/>
      <c r="I5" s="7"/>
      <c r="J5" s="190"/>
    </row>
    <row r="6" spans="1:10" ht="18.75" customHeight="1" thickBot="1" x14ac:dyDescent="0.25">
      <c r="A6" s="150">
        <f>SUM(D10:D31)</f>
        <v>0.35069444444444442</v>
      </c>
      <c r="B6" s="43"/>
      <c r="C6" s="151">
        <f>SUM(Først:Sist!A6)</f>
        <v>6.8680555555555571</v>
      </c>
      <c r="D6" s="44"/>
      <c r="E6" s="37" t="s">
        <v>11</v>
      </c>
      <c r="F6" s="148">
        <f>Sumcolor(E6,D10:D31)</f>
        <v>0.22916666666666674</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04">
        <v>43892</v>
      </c>
      <c r="B10" s="87">
        <v>0.58680555555555558</v>
      </c>
      <c r="C10" s="87">
        <v>0.60763888888888895</v>
      </c>
      <c r="D10" s="88">
        <f t="shared" ref="D10" si="0">(C10-B10)</f>
        <v>2.083333333333337E-2</v>
      </c>
      <c r="E10" s="225" t="s">
        <v>36</v>
      </c>
      <c r="F10" s="225"/>
      <c r="G10" s="155"/>
      <c r="H10" s="25"/>
    </row>
    <row r="11" spans="1:10" ht="16.5" thickBot="1" x14ac:dyDescent="0.3">
      <c r="A11" s="105"/>
      <c r="B11" s="92"/>
      <c r="C11" s="92"/>
      <c r="D11" s="93"/>
      <c r="E11" s="226"/>
      <c r="F11" s="226"/>
      <c r="G11" s="156"/>
      <c r="H11" s="25"/>
    </row>
    <row r="12" spans="1:10" ht="15.75" customHeight="1" x14ac:dyDescent="0.25">
      <c r="A12" s="131">
        <v>43892</v>
      </c>
      <c r="B12" s="132">
        <v>0.60763888888888895</v>
      </c>
      <c r="C12" s="132">
        <v>0.66666666666666663</v>
      </c>
      <c r="D12" s="133">
        <f>(C12-B12)</f>
        <v>5.9027777777777679E-2</v>
      </c>
      <c r="E12" s="245" t="s">
        <v>100</v>
      </c>
      <c r="F12" s="245"/>
      <c r="G12" s="262" t="s">
        <v>101</v>
      </c>
    </row>
    <row r="13" spans="1:10" ht="31.5" customHeight="1" thickBot="1" x14ac:dyDescent="0.3">
      <c r="A13" s="134"/>
      <c r="B13" s="135"/>
      <c r="C13" s="135"/>
      <c r="D13" s="136"/>
      <c r="E13" s="246"/>
      <c r="F13" s="246"/>
      <c r="G13" s="262"/>
    </row>
    <row r="14" spans="1:10" ht="15.75" customHeight="1" x14ac:dyDescent="0.25">
      <c r="A14" s="109">
        <v>43894</v>
      </c>
      <c r="B14" s="100">
        <v>0.51388888888888895</v>
      </c>
      <c r="C14" s="100">
        <v>0.53472222222222221</v>
      </c>
      <c r="D14" s="88">
        <f>(C14-B14)</f>
        <v>2.0833333333333259E-2</v>
      </c>
      <c r="E14" s="239" t="s">
        <v>63</v>
      </c>
      <c r="F14" s="239"/>
      <c r="G14" s="156"/>
    </row>
    <row r="15" spans="1:10" ht="16.5" thickBot="1" x14ac:dyDescent="0.3">
      <c r="A15" s="137"/>
      <c r="B15" s="138"/>
      <c r="C15" s="138"/>
      <c r="D15" s="139"/>
      <c r="E15" s="240"/>
      <c r="F15" s="240"/>
      <c r="G15" s="156"/>
    </row>
    <row r="16" spans="1:10" ht="15.75" customHeight="1" x14ac:dyDescent="0.25">
      <c r="A16" s="109">
        <v>43894</v>
      </c>
      <c r="B16" s="100">
        <v>0.53472222222222221</v>
      </c>
      <c r="C16" s="100">
        <v>0.55555555555555558</v>
      </c>
      <c r="D16" s="101">
        <f>(C16-B16)</f>
        <v>2.083333333333337E-2</v>
      </c>
      <c r="E16" s="239" t="s">
        <v>64</v>
      </c>
      <c r="F16" s="255"/>
      <c r="G16" s="156"/>
    </row>
    <row r="17" spans="1:11" ht="16.5" thickBot="1" x14ac:dyDescent="0.3">
      <c r="A17" s="152"/>
      <c r="B17" s="153"/>
      <c r="C17" s="153"/>
      <c r="D17" s="91"/>
      <c r="E17" s="256"/>
      <c r="F17" s="256"/>
      <c r="G17" s="156"/>
    </row>
    <row r="18" spans="1:11" ht="15.75" x14ac:dyDescent="0.25">
      <c r="A18" s="106">
        <v>43894</v>
      </c>
      <c r="B18" s="94">
        <v>0.70833333333333337</v>
      </c>
      <c r="C18" s="94">
        <v>0.83333333333333337</v>
      </c>
      <c r="D18" s="99">
        <f>(C18-B18)</f>
        <v>0.125</v>
      </c>
      <c r="E18" s="257" t="s">
        <v>65</v>
      </c>
      <c r="F18" s="257"/>
      <c r="G18" s="156"/>
    </row>
    <row r="19" spans="1:11" ht="15.75" x14ac:dyDescent="0.25">
      <c r="A19" s="111"/>
      <c r="B19" s="75"/>
      <c r="C19" s="75"/>
      <c r="D19" s="76"/>
      <c r="E19" s="258"/>
      <c r="F19" s="258"/>
      <c r="G19" s="156"/>
      <c r="I19" s="8"/>
      <c r="K19" s="8"/>
    </row>
    <row r="20" spans="1:11" ht="15.75" customHeight="1" x14ac:dyDescent="0.25">
      <c r="A20" s="106">
        <v>43898</v>
      </c>
      <c r="B20" s="94">
        <v>0.54166666666666663</v>
      </c>
      <c r="C20" s="94">
        <v>0.64583333333333337</v>
      </c>
      <c r="D20" s="99">
        <f t="shared" ref="D20" si="1">(C20-B20)</f>
        <v>0.10416666666666674</v>
      </c>
      <c r="E20" s="259" t="s">
        <v>99</v>
      </c>
      <c r="F20" s="220"/>
      <c r="G20" s="156"/>
      <c r="H20" s="8"/>
      <c r="I20" s="8"/>
      <c r="K20" s="8"/>
    </row>
    <row r="21" spans="1:11" ht="16.5" thickBot="1" x14ac:dyDescent="0.3">
      <c r="A21" s="111"/>
      <c r="B21" s="75"/>
      <c r="C21" s="75"/>
      <c r="D21" s="76"/>
      <c r="E21" s="221"/>
      <c r="F21" s="221"/>
      <c r="G21" s="156"/>
      <c r="H21" s="8"/>
      <c r="I21" s="8"/>
      <c r="K21" s="8"/>
    </row>
    <row r="22" spans="1:11" ht="15.75" customHeight="1" x14ac:dyDescent="0.25">
      <c r="A22" s="122"/>
      <c r="B22" s="123"/>
      <c r="C22" s="123"/>
      <c r="D22" s="124">
        <f t="shared" ref="D22" si="2">(C22-B22)</f>
        <v>0</v>
      </c>
      <c r="E22" s="250"/>
      <c r="F22" s="250"/>
      <c r="G22" s="156"/>
      <c r="H22" s="9"/>
      <c r="I22" s="9"/>
      <c r="K22" s="8"/>
    </row>
    <row r="23" spans="1:11" ht="18.75" customHeight="1" thickBot="1" x14ac:dyDescent="0.3">
      <c r="A23" s="125"/>
      <c r="B23" s="86"/>
      <c r="C23" s="86"/>
      <c r="D23" s="50"/>
      <c r="E23" s="251"/>
      <c r="F23" s="251"/>
      <c r="G23" s="156"/>
      <c r="H23" s="10"/>
      <c r="I23" s="10"/>
      <c r="K23" s="8"/>
    </row>
    <row r="24" spans="1:11" ht="12.75" customHeight="1" x14ac:dyDescent="0.25">
      <c r="A24" s="122"/>
      <c r="B24" s="123"/>
      <c r="C24" s="123"/>
      <c r="D24" s="124">
        <f t="shared" ref="D24" si="3">(C24-B24)</f>
        <v>0</v>
      </c>
      <c r="E24" s="250"/>
      <c r="F24" s="250"/>
      <c r="G24" s="156"/>
      <c r="H24" s="29"/>
      <c r="K24" s="8"/>
    </row>
    <row r="25" spans="1:11" ht="21.75" customHeight="1" thickBot="1" x14ac:dyDescent="0.3">
      <c r="A25" s="125"/>
      <c r="B25" s="86"/>
      <c r="C25" s="86"/>
      <c r="D25" s="50"/>
      <c r="E25" s="251"/>
      <c r="F25" s="251"/>
      <c r="G25" s="156"/>
      <c r="H25" s="29"/>
      <c r="K25" s="9"/>
    </row>
    <row r="26" spans="1:11" ht="12.75" customHeight="1" x14ac:dyDescent="0.25">
      <c r="A26" s="122"/>
      <c r="B26" s="123"/>
      <c r="C26" s="123"/>
      <c r="D26" s="124">
        <f t="shared" ref="D26" si="4">(C26-B26)</f>
        <v>0</v>
      </c>
      <c r="E26" s="260"/>
      <c r="F26" s="260"/>
      <c r="G26" s="156"/>
      <c r="H26" s="29"/>
      <c r="K26" s="11"/>
    </row>
    <row r="27" spans="1:11" ht="19.5" customHeight="1" thickBot="1" x14ac:dyDescent="0.3">
      <c r="A27" s="125"/>
      <c r="B27" s="86"/>
      <c r="C27" s="86"/>
      <c r="D27" s="50"/>
      <c r="E27" s="261"/>
      <c r="F27" s="261"/>
      <c r="G27" s="156"/>
      <c r="H27" s="29"/>
      <c r="K27" s="7"/>
    </row>
    <row r="28" spans="1:11" ht="12.75" customHeight="1" x14ac:dyDescent="0.25">
      <c r="A28" s="122"/>
      <c r="B28" s="123"/>
      <c r="C28" s="123"/>
      <c r="D28" s="124">
        <f t="shared" ref="D28" si="5">(C28-B28)</f>
        <v>0</v>
      </c>
      <c r="E28" s="250"/>
      <c r="F28" s="250"/>
      <c r="G28" s="156"/>
      <c r="H28" s="29"/>
    </row>
    <row r="29" spans="1:11" ht="20.25" customHeight="1" thickBot="1" x14ac:dyDescent="0.3">
      <c r="A29" s="125"/>
      <c r="B29" s="86"/>
      <c r="C29" s="86"/>
      <c r="D29" s="50"/>
      <c r="E29" s="251"/>
      <c r="F29" s="251"/>
      <c r="G29" s="156"/>
      <c r="H29" s="29"/>
    </row>
    <row r="30" spans="1:11" ht="12.75" customHeight="1" x14ac:dyDescent="0.25">
      <c r="A30" s="126"/>
      <c r="B30" s="85"/>
      <c r="C30" s="85"/>
      <c r="D30" s="63">
        <f t="shared" ref="D30" si="6">(C30-B30)</f>
        <v>0</v>
      </c>
      <c r="E30" s="250"/>
      <c r="F30" s="250"/>
      <c r="G30" s="156"/>
      <c r="H30" s="29"/>
    </row>
    <row r="31" spans="1:11" ht="23.25" customHeight="1" thickBot="1" x14ac:dyDescent="0.3">
      <c r="A31" s="125"/>
      <c r="B31" s="86"/>
      <c r="C31" s="86"/>
      <c r="D31" s="50"/>
      <c r="E31" s="251"/>
      <c r="F31" s="251"/>
      <c r="G31" s="156"/>
      <c r="H31" s="29"/>
    </row>
    <row r="32" spans="1:11" ht="17.25" customHeight="1" x14ac:dyDescent="0.25">
      <c r="A32" s="126"/>
      <c r="B32" s="85"/>
      <c r="C32" s="85"/>
      <c r="D32" s="63">
        <f t="shared" ref="D32" si="7">(C32-B32)</f>
        <v>0</v>
      </c>
      <c r="E32" s="250"/>
      <c r="F32" s="250"/>
      <c r="G32" s="156"/>
      <c r="H32" s="29"/>
    </row>
    <row r="33" spans="1:8" ht="16.5" customHeight="1" thickBot="1" x14ac:dyDescent="0.3">
      <c r="A33" s="125"/>
      <c r="B33" s="86"/>
      <c r="C33" s="86"/>
      <c r="D33" s="50"/>
      <c r="E33" s="251"/>
      <c r="F33" s="251"/>
      <c r="G33" s="157"/>
      <c r="H33" s="29"/>
    </row>
    <row r="34" spans="1:8" ht="24.75" customHeight="1" thickBot="1" x14ac:dyDescent="0.4">
      <c r="A34" s="222" t="s">
        <v>21</v>
      </c>
      <c r="B34" s="222"/>
      <c r="C34" s="27"/>
      <c r="D34" s="27"/>
      <c r="E34" s="27"/>
      <c r="F34" s="114"/>
      <c r="G34" s="114"/>
      <c r="H34" s="29"/>
    </row>
    <row r="35" spans="1:8" ht="13.5" customHeight="1" thickBot="1" x14ac:dyDescent="0.25">
      <c r="A35" s="5"/>
      <c r="B35" s="15"/>
      <c r="C35" s="16"/>
      <c r="D35" s="17"/>
      <c r="E35" s="18"/>
      <c r="F35" s="30"/>
      <c r="G35" s="30"/>
    </row>
    <row r="36" spans="1:8" ht="12.75" customHeight="1" x14ac:dyDescent="0.2">
      <c r="A36" s="254" t="s">
        <v>98</v>
      </c>
      <c r="B36" s="192"/>
      <c r="C36" s="192"/>
      <c r="D36" s="192"/>
      <c r="E36" s="192"/>
      <c r="F36" s="192"/>
      <c r="G36" s="193"/>
    </row>
    <row r="37" spans="1:8" ht="12.75" customHeight="1" x14ac:dyDescent="0.2">
      <c r="A37" s="194"/>
      <c r="B37" s="195"/>
      <c r="C37" s="195"/>
      <c r="D37" s="195"/>
      <c r="E37" s="195"/>
      <c r="F37" s="195"/>
      <c r="G37" s="196"/>
    </row>
    <row r="38" spans="1:8" ht="12.75" customHeight="1" x14ac:dyDescent="0.2">
      <c r="A38" s="194"/>
      <c r="B38" s="195"/>
      <c r="C38" s="195"/>
      <c r="D38" s="195"/>
      <c r="E38" s="195"/>
      <c r="F38" s="195"/>
      <c r="G38" s="196"/>
    </row>
    <row r="39" spans="1:8" ht="12.75" customHeight="1" x14ac:dyDescent="0.2">
      <c r="A39" s="194"/>
      <c r="B39" s="195"/>
      <c r="C39" s="195"/>
      <c r="D39" s="195"/>
      <c r="E39" s="195"/>
      <c r="F39" s="195"/>
      <c r="G39" s="196"/>
    </row>
    <row r="40" spans="1:8" ht="12.75" customHeight="1" x14ac:dyDescent="0.2">
      <c r="A40" s="194"/>
      <c r="B40" s="195"/>
      <c r="C40" s="195"/>
      <c r="D40" s="195"/>
      <c r="E40" s="195"/>
      <c r="F40" s="195"/>
      <c r="G40" s="196"/>
    </row>
    <row r="41" spans="1:8" ht="12.75" customHeight="1" x14ac:dyDescent="0.2">
      <c r="A41" s="194"/>
      <c r="B41" s="195"/>
      <c r="C41" s="195"/>
      <c r="D41" s="195"/>
      <c r="E41" s="195"/>
      <c r="F41" s="195"/>
      <c r="G41" s="196"/>
    </row>
    <row r="42" spans="1:8" ht="12.75" customHeight="1" x14ac:dyDescent="0.2">
      <c r="A42" s="194"/>
      <c r="B42" s="195"/>
      <c r="C42" s="195"/>
      <c r="D42" s="195"/>
      <c r="E42" s="195"/>
      <c r="F42" s="195"/>
      <c r="G42" s="196"/>
    </row>
    <row r="43" spans="1:8" ht="12.75" customHeight="1" x14ac:dyDescent="0.2">
      <c r="A43" s="194"/>
      <c r="B43" s="195"/>
      <c r="C43" s="195"/>
      <c r="D43" s="195"/>
      <c r="E43" s="195"/>
      <c r="F43" s="195"/>
      <c r="G43" s="196"/>
    </row>
    <row r="44" spans="1:8" ht="12.75" customHeight="1" x14ac:dyDescent="0.2">
      <c r="A44" s="194"/>
      <c r="B44" s="195"/>
      <c r="C44" s="195"/>
      <c r="D44" s="195"/>
      <c r="E44" s="195"/>
      <c r="F44" s="195"/>
      <c r="G44" s="196"/>
    </row>
    <row r="45" spans="1:8" ht="12.75" customHeight="1" x14ac:dyDescent="0.2">
      <c r="A45" s="194"/>
      <c r="B45" s="195"/>
      <c r="C45" s="195"/>
      <c r="D45" s="195"/>
      <c r="E45" s="195"/>
      <c r="F45" s="195"/>
      <c r="G45" s="196"/>
    </row>
    <row r="46" spans="1:8" ht="12.75" customHeight="1" x14ac:dyDescent="0.2">
      <c r="A46" s="194"/>
      <c r="B46" s="195"/>
      <c r="C46" s="195"/>
      <c r="D46" s="195"/>
      <c r="E46" s="195"/>
      <c r="F46" s="195"/>
      <c r="G46" s="196"/>
    </row>
    <row r="47" spans="1:8" ht="12.75" customHeight="1" x14ac:dyDescent="0.2">
      <c r="A47" s="194"/>
      <c r="B47" s="195"/>
      <c r="C47" s="195"/>
      <c r="D47" s="195"/>
      <c r="E47" s="195"/>
      <c r="F47" s="195"/>
      <c r="G47" s="196"/>
    </row>
    <row r="48" spans="1:8" ht="12.75" customHeight="1" x14ac:dyDescent="0.2">
      <c r="A48" s="194"/>
      <c r="B48" s="195"/>
      <c r="C48" s="195"/>
      <c r="D48" s="195"/>
      <c r="E48" s="195"/>
      <c r="F48" s="195"/>
      <c r="G48" s="196"/>
    </row>
    <row r="49" spans="1:7" ht="79.5" customHeight="1" thickBot="1" x14ac:dyDescent="0.25">
      <c r="A49" s="197"/>
      <c r="B49" s="198"/>
      <c r="C49" s="198"/>
      <c r="D49" s="198"/>
      <c r="E49" s="198"/>
      <c r="F49" s="198"/>
      <c r="G49" s="199"/>
    </row>
    <row r="50" spans="1:7" ht="12.75" customHeight="1" x14ac:dyDescent="0.2"/>
    <row r="51" spans="1:7" ht="12.75" customHeight="1" x14ac:dyDescent="0.2"/>
    <row r="52" spans="1:7" ht="12.75" customHeight="1" x14ac:dyDescent="0.2"/>
    <row r="53" spans="1:7" ht="12.75" customHeight="1" x14ac:dyDescent="0.2"/>
    <row r="54" spans="1:7" ht="12.75" customHeight="1" x14ac:dyDescent="0.2"/>
    <row r="55" spans="1:7" ht="12.75" customHeight="1" x14ac:dyDescent="0.2"/>
    <row r="56" spans="1:7" ht="12.75" customHeight="1" x14ac:dyDescent="0.2"/>
    <row r="57" spans="1:7" ht="13.5" customHeight="1" x14ac:dyDescent="0.2"/>
  </sheetData>
  <mergeCells count="19">
    <mergeCell ref="E12:F13"/>
    <mergeCell ref="A1:D1"/>
    <mergeCell ref="A4:B5"/>
    <mergeCell ref="C4:D5"/>
    <mergeCell ref="J4:J5"/>
    <mergeCell ref="E10:F11"/>
    <mergeCell ref="G12:G13"/>
    <mergeCell ref="A36:G49"/>
    <mergeCell ref="E14:F15"/>
    <mergeCell ref="E16:F17"/>
    <mergeCell ref="E18:F19"/>
    <mergeCell ref="E20:F21"/>
    <mergeCell ref="E22:F23"/>
    <mergeCell ref="E24:F25"/>
    <mergeCell ref="E26:F27"/>
    <mergeCell ref="E28:F29"/>
    <mergeCell ref="E30:F31"/>
    <mergeCell ref="E32:F33"/>
    <mergeCell ref="A34:B34"/>
  </mergeCells>
  <conditionalFormatting sqref="H20:I21 I19">
    <cfRule type="expression" dxfId="108" priority="5">
      <formula>ISNUMBER(SEARCH(TEXT(#REF!,"ddd"),#REF!))</formula>
    </cfRule>
  </conditionalFormatting>
  <conditionalFormatting sqref="A10:D12 A16:D17 A22:C22 A24:C24 A26:C26 A28:C28 A30:C30 A32:C32 A18:C18 A20:C20">
    <cfRule type="expression" dxfId="107" priority="6">
      <formula>ISNUMBER(SEARCH(TEXT(#REF!,"ddd"),#REF!))</formula>
    </cfRule>
  </conditionalFormatting>
  <conditionalFormatting sqref="K19:K24">
    <cfRule type="expression" dxfId="106" priority="7">
      <formula>ISNUMBER(SEARCH(TEXT(#REF!,"ddd"),#REF!))</formula>
    </cfRule>
  </conditionalFormatting>
  <conditionalFormatting sqref="D14">
    <cfRule type="expression" dxfId="105" priority="4">
      <formula>ISNUMBER(SEARCH(TEXT(#REF!,"ddd"),#REF!))</formula>
    </cfRule>
  </conditionalFormatting>
  <conditionalFormatting sqref="A14:C14">
    <cfRule type="expression" dxfId="104" priority="1">
      <formula>ISNUMBER(SEARCH(TEXT(#REF!,"ddd"),#REF!))</formula>
    </cfRule>
  </conditionalFormatting>
  <conditionalFormatting sqref="A13:D13">
    <cfRule type="expression" dxfId="103" priority="3">
      <formula>ISNUMBER(SEARCH(TEXT(#REF!,"ddd"),#REF!))</formula>
    </cfRule>
  </conditionalFormatting>
  <conditionalFormatting sqref="A15:D15">
    <cfRule type="expression" dxfId="102" priority="2">
      <formula>ISNUMBER(SEARCH(TEXT(#REF!,"ddd"),#REF!))</formula>
    </cfRule>
  </conditionalFormatting>
  <dataValidations count="2">
    <dataValidation type="custom" allowBlank="1" showInputMessage="1" showErrorMessage="1" sqref="C18 B10:B18 C11:C16 B20:C20 B22:C22 B24:C24 B26:C26 B28:C28 B30:C30 B32:C32" xr:uid="{B88C44B2-AC22-4A0D-B943-A9ADEF0652F1}">
      <formula1>AND($B10&lt;=1,ISNUMBER($B10))</formula1>
    </dataValidation>
    <dataValidation type="custom" allowBlank="1" showInputMessage="1" showErrorMessage="1" sqref="C10 C17" xr:uid="{87500AF2-7544-41A6-9441-4CF4434AFECC}">
      <formula1>AND($C10&lt;=1,ISNUMBER($C10),($C10&gt;=$B10))</formula1>
    </dataValidation>
  </dataValidations>
  <pageMargins left="0.23622047244094491" right="0.23622047244094491" top="0.74803149606299213" bottom="0.74803149606299213" header="0.31496062992125984" footer="0.31496062992125984"/>
  <pageSetup paperSize="9" scale="5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45FA3-57A1-4986-AA94-4CD6821090AB}">
  <sheetPr codeName="Sheet17">
    <pageSetUpPr fitToPage="1"/>
  </sheetPr>
  <dimension ref="A1:K79"/>
  <sheetViews>
    <sheetView showGridLines="0" topLeftCell="A19" zoomScaleNormal="100" workbookViewId="0">
      <selection activeCell="J46" sqref="J46"/>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11</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43899</v>
      </c>
      <c r="B3" s="154"/>
      <c r="C3" s="103">
        <f>A38</f>
        <v>43905</v>
      </c>
      <c r="D3" s="154"/>
      <c r="E3" s="34" t="s">
        <v>6</v>
      </c>
      <c r="F3" s="149">
        <f>Sumcolor(E3,D10:D42)</f>
        <v>0</v>
      </c>
      <c r="G3" s="147">
        <f>SUM(Først:Sist!F3)</f>
        <v>0.62499999999999989</v>
      </c>
      <c r="H3" s="22"/>
      <c r="I3" s="7"/>
      <c r="J3" s="7"/>
    </row>
    <row r="4" spans="1:10" ht="15" customHeight="1" x14ac:dyDescent="0.2">
      <c r="A4" s="192" t="s">
        <v>7</v>
      </c>
      <c r="B4" s="192"/>
      <c r="C4" s="201" t="s">
        <v>8</v>
      </c>
      <c r="D4" s="201"/>
      <c r="E4" s="35" t="s">
        <v>9</v>
      </c>
      <c r="F4" s="149">
        <f>Sumcolor(E4,D10:D42)</f>
        <v>0.7118055555555558</v>
      </c>
      <c r="G4" s="147">
        <f>SUM(Først:Sist!F4)</f>
        <v>2.7604166666666665</v>
      </c>
      <c r="H4" s="22"/>
      <c r="I4" s="7"/>
      <c r="J4" s="190"/>
    </row>
    <row r="5" spans="1:10" ht="15.75" x14ac:dyDescent="0.2">
      <c r="A5" s="201"/>
      <c r="B5" s="201"/>
      <c r="C5" s="201"/>
      <c r="D5" s="201"/>
      <c r="E5" s="36" t="s">
        <v>10</v>
      </c>
      <c r="F5" s="149">
        <f>Sumcolor(E5,D10:D42)</f>
        <v>7.638888888888884E-2</v>
      </c>
      <c r="G5" s="147">
        <f>SUM(Først:Sist!F5)</f>
        <v>1.1701388888888882</v>
      </c>
      <c r="H5" s="22"/>
      <c r="I5" s="7"/>
      <c r="J5" s="190"/>
    </row>
    <row r="6" spans="1:10" ht="18.75" customHeight="1" thickBot="1" x14ac:dyDescent="0.25">
      <c r="A6" s="150">
        <f>SUM(D10:D42)</f>
        <v>1.1631944444444446</v>
      </c>
      <c r="B6" s="43"/>
      <c r="C6" s="151">
        <f>SUM(Først:Sist!A6)</f>
        <v>6.8680555555555571</v>
      </c>
      <c r="D6" s="44"/>
      <c r="E6" s="37" t="s">
        <v>11</v>
      </c>
      <c r="F6" s="148">
        <f>Sumcolor(E6,D10:D42)</f>
        <v>0.375</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04">
        <v>43899</v>
      </c>
      <c r="B10" s="87">
        <v>0.58333333333333337</v>
      </c>
      <c r="C10" s="87">
        <v>0.60069444444444442</v>
      </c>
      <c r="D10" s="88">
        <f t="shared" ref="D10" si="0">(C10-B10)</f>
        <v>1.7361111111111049E-2</v>
      </c>
      <c r="E10" s="225" t="s">
        <v>102</v>
      </c>
      <c r="F10" s="225"/>
      <c r="G10" s="263"/>
      <c r="H10" s="25"/>
    </row>
    <row r="11" spans="1:10" ht="16.5" thickBot="1" x14ac:dyDescent="0.3">
      <c r="A11" s="105"/>
      <c r="B11" s="92"/>
      <c r="C11" s="92"/>
      <c r="D11" s="93"/>
      <c r="E11" s="226"/>
      <c r="F11" s="226"/>
      <c r="G11" s="264"/>
      <c r="H11" s="25"/>
    </row>
    <row r="12" spans="1:10" ht="15.75" customHeight="1" x14ac:dyDescent="0.25">
      <c r="A12" s="131">
        <v>43899</v>
      </c>
      <c r="B12" s="132">
        <v>0.60069444444444442</v>
      </c>
      <c r="C12" s="132">
        <v>0.63541666666666663</v>
      </c>
      <c r="D12" s="133">
        <f>(C12-B12)</f>
        <v>3.472222222222221E-2</v>
      </c>
      <c r="E12" s="245" t="s">
        <v>103</v>
      </c>
      <c r="F12" s="245"/>
      <c r="G12" s="263"/>
    </row>
    <row r="13" spans="1:10" ht="16.5" thickBot="1" x14ac:dyDescent="0.3">
      <c r="A13" s="134"/>
      <c r="B13" s="135"/>
      <c r="C13" s="135"/>
      <c r="D13" s="136"/>
      <c r="E13" s="246"/>
      <c r="F13" s="246"/>
      <c r="G13" s="264"/>
    </row>
    <row r="14" spans="1:10" ht="15.75" customHeight="1" x14ac:dyDescent="0.25">
      <c r="A14" s="131">
        <v>43899</v>
      </c>
      <c r="B14" s="132">
        <v>0.6875</v>
      </c>
      <c r="C14" s="132">
        <v>0.73958333333333337</v>
      </c>
      <c r="D14" s="133">
        <f>(C14-B14)</f>
        <v>5.208333333333337E-2</v>
      </c>
      <c r="E14" s="269" t="s">
        <v>104</v>
      </c>
      <c r="F14" s="269"/>
      <c r="G14" s="263" t="s">
        <v>105</v>
      </c>
    </row>
    <row r="15" spans="1:10" ht="16.5" thickBot="1" x14ac:dyDescent="0.3">
      <c r="A15" s="158"/>
      <c r="B15" s="159"/>
      <c r="C15" s="159"/>
      <c r="D15" s="136"/>
      <c r="E15" s="270"/>
      <c r="F15" s="270"/>
      <c r="G15" s="264"/>
    </row>
    <row r="16" spans="1:10" ht="15.75" customHeight="1" x14ac:dyDescent="0.25">
      <c r="A16" s="131">
        <v>43899</v>
      </c>
      <c r="B16" s="132">
        <v>0.74305555555555547</v>
      </c>
      <c r="C16" s="132">
        <v>0.79861111111111116</v>
      </c>
      <c r="D16" s="140">
        <f>(C16-B16)</f>
        <v>5.5555555555555691E-2</v>
      </c>
      <c r="E16" s="269" t="s">
        <v>106</v>
      </c>
      <c r="F16" s="269"/>
      <c r="G16" s="263" t="s">
        <v>107</v>
      </c>
    </row>
    <row r="17" spans="1:11" ht="16.5" thickBot="1" x14ac:dyDescent="0.3">
      <c r="A17" s="134"/>
      <c r="B17" s="135"/>
      <c r="C17" s="135"/>
      <c r="D17" s="141"/>
      <c r="E17" s="270"/>
      <c r="F17" s="270"/>
      <c r="G17" s="264"/>
    </row>
    <row r="18" spans="1:11" ht="15.75" x14ac:dyDescent="0.25">
      <c r="A18" s="131">
        <v>43900</v>
      </c>
      <c r="B18" s="132">
        <v>0.54166666666666663</v>
      </c>
      <c r="C18" s="132">
        <v>0.61111111111111105</v>
      </c>
      <c r="D18" s="140">
        <f>(C18-B18)</f>
        <v>6.944444444444442E-2</v>
      </c>
      <c r="E18" s="243" t="s">
        <v>108</v>
      </c>
      <c r="F18" s="243"/>
      <c r="G18" s="263" t="s">
        <v>105</v>
      </c>
    </row>
    <row r="19" spans="1:11" ht="16.5" thickBot="1" x14ac:dyDescent="0.3">
      <c r="A19" s="142"/>
      <c r="B19" s="143"/>
      <c r="C19" s="143"/>
      <c r="D19" s="141"/>
      <c r="E19" s="244"/>
      <c r="F19" s="244"/>
      <c r="G19" s="264"/>
      <c r="I19" s="8"/>
      <c r="K19" s="8"/>
    </row>
    <row r="20" spans="1:11" ht="15.75" customHeight="1" x14ac:dyDescent="0.25">
      <c r="A20" s="131">
        <v>43900</v>
      </c>
      <c r="B20" s="132">
        <v>0.63541666666666663</v>
      </c>
      <c r="C20" s="132">
        <v>0.69791666666666663</v>
      </c>
      <c r="D20" s="140">
        <f t="shared" ref="D20" si="1">(C20-B20)</f>
        <v>6.25E-2</v>
      </c>
      <c r="E20" s="231" t="s">
        <v>109</v>
      </c>
      <c r="F20" s="231"/>
      <c r="G20" s="263" t="s">
        <v>105</v>
      </c>
      <c r="H20" s="8"/>
      <c r="I20" s="8"/>
      <c r="K20" s="8"/>
    </row>
    <row r="21" spans="1:11" ht="16.5" thickBot="1" x14ac:dyDescent="0.3">
      <c r="A21" s="142"/>
      <c r="B21" s="143"/>
      <c r="C21" s="143"/>
      <c r="D21" s="141"/>
      <c r="E21" s="232"/>
      <c r="F21" s="232"/>
      <c r="G21" s="264"/>
      <c r="H21" s="8"/>
      <c r="I21" s="8"/>
      <c r="K21" s="8"/>
    </row>
    <row r="22" spans="1:11" ht="15.75" customHeight="1" x14ac:dyDescent="0.25">
      <c r="A22" s="131">
        <v>43900</v>
      </c>
      <c r="B22" s="132">
        <v>0.70138888888888884</v>
      </c>
      <c r="C22" s="132">
        <v>0.78125</v>
      </c>
      <c r="D22" s="140">
        <f t="shared" ref="D22" si="2">(C22-B22)</f>
        <v>7.986111111111116E-2</v>
      </c>
      <c r="E22" s="231" t="s">
        <v>110</v>
      </c>
      <c r="F22" s="231"/>
      <c r="G22" s="263" t="s">
        <v>111</v>
      </c>
      <c r="H22" s="9"/>
      <c r="I22" s="9"/>
      <c r="K22" s="8"/>
    </row>
    <row r="23" spans="1:11" ht="18.75" customHeight="1" thickBot="1" x14ac:dyDescent="0.3">
      <c r="A23" s="142"/>
      <c r="B23" s="143"/>
      <c r="C23" s="143"/>
      <c r="D23" s="141"/>
      <c r="E23" s="232"/>
      <c r="F23" s="232"/>
      <c r="G23" s="264"/>
      <c r="H23" s="10"/>
      <c r="I23" s="10"/>
      <c r="K23" s="8"/>
    </row>
    <row r="24" spans="1:11" ht="12.75" customHeight="1" x14ac:dyDescent="0.25">
      <c r="A24" s="109">
        <v>43901</v>
      </c>
      <c r="B24" s="100">
        <v>0.53472222222222221</v>
      </c>
      <c r="C24" s="100">
        <v>0.5625</v>
      </c>
      <c r="D24" s="101">
        <f t="shared" ref="D24" si="3">(C24-B24)</f>
        <v>2.777777777777779E-2</v>
      </c>
      <c r="E24" s="218" t="s">
        <v>36</v>
      </c>
      <c r="F24" s="218"/>
      <c r="G24" s="263"/>
      <c r="H24" s="29"/>
      <c r="K24" s="8"/>
    </row>
    <row r="25" spans="1:11" ht="21.75" customHeight="1" thickBot="1" x14ac:dyDescent="0.3">
      <c r="A25" s="110"/>
      <c r="B25" s="90"/>
      <c r="C25" s="90"/>
      <c r="D25" s="91"/>
      <c r="E25" s="219"/>
      <c r="F25" s="219"/>
      <c r="G25" s="264"/>
      <c r="H25" s="29"/>
      <c r="K25" s="9"/>
    </row>
    <row r="26" spans="1:11" ht="12.75" customHeight="1" x14ac:dyDescent="0.25">
      <c r="A26" s="131">
        <v>43901</v>
      </c>
      <c r="B26" s="132">
        <v>0.60416666666666663</v>
      </c>
      <c r="C26" s="132">
        <v>0.77777777777777779</v>
      </c>
      <c r="D26" s="140">
        <f t="shared" ref="D26" si="4">(C26-B26)</f>
        <v>0.17361111111111116</v>
      </c>
      <c r="E26" s="235" t="s">
        <v>112</v>
      </c>
      <c r="F26" s="235"/>
      <c r="G26" s="263" t="s">
        <v>111</v>
      </c>
      <c r="H26" s="29"/>
      <c r="K26" s="11"/>
    </row>
    <row r="27" spans="1:11" ht="19.5" customHeight="1" thickBot="1" x14ac:dyDescent="0.3">
      <c r="A27" s="142"/>
      <c r="B27" s="143"/>
      <c r="C27" s="143"/>
      <c r="D27" s="141"/>
      <c r="E27" s="236"/>
      <c r="F27" s="236"/>
      <c r="G27" s="264"/>
      <c r="H27" s="29"/>
      <c r="K27" s="7"/>
    </row>
    <row r="28" spans="1:11" ht="12.75" customHeight="1" x14ac:dyDescent="0.25">
      <c r="A28" s="109">
        <v>43903</v>
      </c>
      <c r="B28" s="100">
        <v>0.51736111111111105</v>
      </c>
      <c r="C28" s="100">
        <v>0.53472222222222221</v>
      </c>
      <c r="D28" s="101">
        <f t="shared" ref="D28" si="5">(C28-B28)</f>
        <v>1.736111111111116E-2</v>
      </c>
      <c r="E28" s="218" t="s">
        <v>36</v>
      </c>
      <c r="F28" s="218"/>
      <c r="G28" s="263"/>
      <c r="H28" s="29"/>
    </row>
    <row r="29" spans="1:11" ht="20.25" customHeight="1" thickBot="1" x14ac:dyDescent="0.3">
      <c r="A29" s="110"/>
      <c r="B29" s="90"/>
      <c r="C29" s="90"/>
      <c r="D29" s="91"/>
      <c r="E29" s="219"/>
      <c r="F29" s="219"/>
      <c r="G29" s="264"/>
      <c r="H29" s="29"/>
    </row>
    <row r="30" spans="1:11" ht="12.75" customHeight="1" x14ac:dyDescent="0.25">
      <c r="A30" s="119">
        <v>43903</v>
      </c>
      <c r="B30" s="71">
        <v>0.53472222222222221</v>
      </c>
      <c r="C30" s="71">
        <v>0.54513888888888895</v>
      </c>
      <c r="D30" s="72">
        <f t="shared" ref="D30" si="6">(C30-B30)</f>
        <v>1.0416666666666741E-2</v>
      </c>
      <c r="E30" s="220" t="s">
        <v>113</v>
      </c>
      <c r="F30" s="220"/>
      <c r="G30" s="263"/>
      <c r="H30" s="29"/>
    </row>
    <row r="31" spans="1:11" ht="23.25" customHeight="1" thickBot="1" x14ac:dyDescent="0.3">
      <c r="A31" s="111"/>
      <c r="B31" s="75"/>
      <c r="C31" s="75"/>
      <c r="D31" s="76"/>
      <c r="E31" s="221"/>
      <c r="F31" s="221"/>
      <c r="G31" s="264"/>
      <c r="H31" s="29"/>
    </row>
    <row r="32" spans="1:11" ht="17.25" customHeight="1" x14ac:dyDescent="0.25">
      <c r="A32" s="106">
        <v>43903</v>
      </c>
      <c r="B32" s="94">
        <v>0.54513888888888895</v>
      </c>
      <c r="C32" s="94">
        <v>0.56597222222222221</v>
      </c>
      <c r="D32" s="99">
        <f t="shared" ref="D32" si="7">(C32-B32)</f>
        <v>2.0833333333333259E-2</v>
      </c>
      <c r="E32" s="220" t="s">
        <v>114</v>
      </c>
      <c r="F32" s="265"/>
      <c r="G32" s="263"/>
      <c r="H32" s="29"/>
    </row>
    <row r="33" spans="1:8" ht="17.25" customHeight="1" thickBot="1" x14ac:dyDescent="0.3">
      <c r="A33" s="107"/>
      <c r="B33" s="96"/>
      <c r="C33" s="96"/>
      <c r="D33" s="160"/>
      <c r="E33" s="221"/>
      <c r="F33" s="266"/>
      <c r="G33" s="264"/>
      <c r="H33" s="29"/>
    </row>
    <row r="34" spans="1:8" ht="17.25" customHeight="1" x14ac:dyDescent="0.25">
      <c r="A34" s="131">
        <v>43903</v>
      </c>
      <c r="B34" s="132">
        <v>0.64930555555555558</v>
      </c>
      <c r="C34" s="132">
        <v>0.81597222222222221</v>
      </c>
      <c r="D34" s="140">
        <f t="shared" ref="D34:D40" si="8">(C34-B34)</f>
        <v>0.16666666666666663</v>
      </c>
      <c r="E34" s="231" t="s">
        <v>115</v>
      </c>
      <c r="F34" s="267"/>
      <c r="G34" s="263" t="s">
        <v>111</v>
      </c>
      <c r="H34" s="29"/>
    </row>
    <row r="35" spans="1:8" ht="17.25" customHeight="1" thickBot="1" x14ac:dyDescent="0.3">
      <c r="A35" s="134"/>
      <c r="B35" s="135"/>
      <c r="C35" s="135"/>
      <c r="D35" s="161"/>
      <c r="E35" s="232"/>
      <c r="F35" s="268"/>
      <c r="G35" s="264"/>
      <c r="H35" s="29"/>
    </row>
    <row r="36" spans="1:8" ht="17.25" customHeight="1" x14ac:dyDescent="0.25">
      <c r="A36" s="109">
        <v>43905</v>
      </c>
      <c r="B36" s="100">
        <v>0.58333333333333337</v>
      </c>
      <c r="C36" s="100">
        <v>0.59722222222222221</v>
      </c>
      <c r="D36" s="101">
        <f t="shared" si="8"/>
        <v>1.388888888888884E-2</v>
      </c>
      <c r="E36" s="218" t="s">
        <v>36</v>
      </c>
      <c r="F36" s="280"/>
      <c r="G36" s="263"/>
      <c r="H36" s="29"/>
    </row>
    <row r="37" spans="1:8" ht="17.25" customHeight="1" thickBot="1" x14ac:dyDescent="0.3">
      <c r="A37" s="152"/>
      <c r="B37" s="153"/>
      <c r="C37" s="153"/>
      <c r="D37" s="162"/>
      <c r="E37" s="219"/>
      <c r="F37" s="281"/>
      <c r="G37" s="264"/>
      <c r="H37" s="29"/>
    </row>
    <row r="38" spans="1:8" ht="17.25" customHeight="1" x14ac:dyDescent="0.25">
      <c r="A38" s="131">
        <v>43905</v>
      </c>
      <c r="B38" s="132">
        <v>0.59722222222222221</v>
      </c>
      <c r="C38" s="132">
        <v>0.61458333333333337</v>
      </c>
      <c r="D38" s="140">
        <f t="shared" si="8"/>
        <v>1.736111111111116E-2</v>
      </c>
      <c r="E38" s="231" t="s">
        <v>116</v>
      </c>
      <c r="F38" s="267"/>
      <c r="G38" s="263"/>
      <c r="H38" s="29"/>
    </row>
    <row r="39" spans="1:8" ht="17.25" customHeight="1" thickBot="1" x14ac:dyDescent="0.3">
      <c r="A39" s="134"/>
      <c r="B39" s="135"/>
      <c r="C39" s="135"/>
      <c r="D39" s="161"/>
      <c r="E39" s="232"/>
      <c r="F39" s="268"/>
      <c r="G39" s="264"/>
      <c r="H39" s="29"/>
    </row>
    <row r="40" spans="1:8" ht="17.25" customHeight="1" x14ac:dyDescent="0.25">
      <c r="A40" s="106">
        <v>43905</v>
      </c>
      <c r="B40" s="94">
        <v>0.61458333333333337</v>
      </c>
      <c r="C40" s="94">
        <v>0.95833333333333337</v>
      </c>
      <c r="D40" s="99">
        <f t="shared" si="8"/>
        <v>0.34375</v>
      </c>
      <c r="E40" s="220" t="s">
        <v>117</v>
      </c>
      <c r="F40" s="265"/>
      <c r="G40" s="263"/>
      <c r="H40" s="29"/>
    </row>
    <row r="41" spans="1:8" ht="17.25" customHeight="1" thickBot="1" x14ac:dyDescent="0.3">
      <c r="A41" s="107"/>
      <c r="B41" s="96"/>
      <c r="C41" s="96"/>
      <c r="D41" s="160"/>
      <c r="E41" s="221"/>
      <c r="F41" s="266"/>
      <c r="G41" s="264"/>
      <c r="H41" s="29"/>
    </row>
    <row r="42" spans="1:8" ht="17.25" customHeight="1" x14ac:dyDescent="0.25">
      <c r="A42" s="144"/>
      <c r="B42" s="85"/>
      <c r="C42" s="85"/>
      <c r="D42" s="63"/>
      <c r="E42" s="163"/>
      <c r="F42" s="163"/>
      <c r="G42" s="164"/>
      <c r="H42" s="29"/>
    </row>
    <row r="43" spans="1:8" ht="17.25" customHeight="1" thickBot="1" x14ac:dyDescent="0.4">
      <c r="A43" s="222" t="s">
        <v>21</v>
      </c>
      <c r="B43" s="222"/>
      <c r="C43" s="27"/>
      <c r="D43" s="27"/>
      <c r="E43" s="27"/>
      <c r="F43" s="114"/>
      <c r="G43" s="114"/>
      <c r="H43" s="29"/>
    </row>
    <row r="44" spans="1:8" ht="17.25" customHeight="1" thickBot="1" x14ac:dyDescent="0.25">
      <c r="A44" s="5"/>
      <c r="B44" s="15"/>
      <c r="C44" s="16"/>
      <c r="D44" s="17"/>
      <c r="E44" s="18"/>
      <c r="F44" s="30"/>
      <c r="G44" s="30"/>
      <c r="H44" s="29"/>
    </row>
    <row r="45" spans="1:8" ht="17.25" customHeight="1" x14ac:dyDescent="0.2">
      <c r="A45" s="271" t="s">
        <v>118</v>
      </c>
      <c r="B45" s="272"/>
      <c r="C45" s="272"/>
      <c r="D45" s="272"/>
      <c r="E45" s="272"/>
      <c r="F45" s="272"/>
      <c r="G45" s="273"/>
      <c r="H45" s="29"/>
    </row>
    <row r="46" spans="1:8" ht="17.25" customHeight="1" x14ac:dyDescent="0.2">
      <c r="A46" s="274"/>
      <c r="B46" s="275"/>
      <c r="C46" s="275"/>
      <c r="D46" s="275"/>
      <c r="E46" s="275"/>
      <c r="F46" s="275"/>
      <c r="G46" s="276"/>
      <c r="H46" s="29"/>
    </row>
    <row r="47" spans="1:8" x14ac:dyDescent="0.2">
      <c r="A47" s="274"/>
      <c r="B47" s="275"/>
      <c r="C47" s="275"/>
      <c r="D47" s="275"/>
      <c r="E47" s="275"/>
      <c r="F47" s="275"/>
      <c r="G47" s="276"/>
      <c r="H47" s="29"/>
    </row>
    <row r="48" spans="1:8" ht="24.75" customHeight="1" x14ac:dyDescent="0.2">
      <c r="A48" s="274"/>
      <c r="B48" s="275"/>
      <c r="C48" s="275"/>
      <c r="D48" s="275"/>
      <c r="E48" s="275"/>
      <c r="F48" s="275"/>
      <c r="G48" s="276"/>
      <c r="H48" s="29"/>
    </row>
    <row r="49" spans="1:7" ht="13.5" customHeight="1" x14ac:dyDescent="0.2">
      <c r="A49" s="274"/>
      <c r="B49" s="275"/>
      <c r="C49" s="275"/>
      <c r="D49" s="275"/>
      <c r="E49" s="275"/>
      <c r="F49" s="275"/>
      <c r="G49" s="276"/>
    </row>
    <row r="50" spans="1:7" ht="12.75" customHeight="1" x14ac:dyDescent="0.2">
      <c r="A50" s="274"/>
      <c r="B50" s="275"/>
      <c r="C50" s="275"/>
      <c r="D50" s="275"/>
      <c r="E50" s="275"/>
      <c r="F50" s="275"/>
      <c r="G50" s="276"/>
    </row>
    <row r="51" spans="1:7" ht="12.75" customHeight="1" x14ac:dyDescent="0.2">
      <c r="A51" s="274"/>
      <c r="B51" s="275"/>
      <c r="C51" s="275"/>
      <c r="D51" s="275"/>
      <c r="E51" s="275"/>
      <c r="F51" s="275"/>
      <c r="G51" s="276"/>
    </row>
    <row r="52" spans="1:7" ht="12.75" customHeight="1" x14ac:dyDescent="0.2">
      <c r="A52" s="274"/>
      <c r="B52" s="275"/>
      <c r="C52" s="275"/>
      <c r="D52" s="275"/>
      <c r="E52" s="275"/>
      <c r="F52" s="275"/>
      <c r="G52" s="276"/>
    </row>
    <row r="53" spans="1:7" ht="10.5" customHeight="1" x14ac:dyDescent="0.2">
      <c r="A53" s="274"/>
      <c r="B53" s="275"/>
      <c r="C53" s="275"/>
      <c r="D53" s="275"/>
      <c r="E53" s="275"/>
      <c r="F53" s="275"/>
      <c r="G53" s="276"/>
    </row>
    <row r="54" spans="1:7" ht="21" customHeight="1" x14ac:dyDescent="0.2">
      <c r="A54" s="274"/>
      <c r="B54" s="275"/>
      <c r="C54" s="275"/>
      <c r="D54" s="275"/>
      <c r="E54" s="275"/>
      <c r="F54" s="275"/>
      <c r="G54" s="276"/>
    </row>
    <row r="55" spans="1:7" ht="21" customHeight="1" x14ac:dyDescent="0.2">
      <c r="A55" s="274"/>
      <c r="B55" s="275"/>
      <c r="C55" s="275"/>
      <c r="D55" s="275"/>
      <c r="E55" s="275"/>
      <c r="F55" s="275"/>
      <c r="G55" s="276"/>
    </row>
    <row r="56" spans="1:7" ht="12.75" customHeight="1" x14ac:dyDescent="0.2">
      <c r="A56" s="274"/>
      <c r="B56" s="275"/>
      <c r="C56" s="275"/>
      <c r="D56" s="275"/>
      <c r="E56" s="275"/>
      <c r="F56" s="275"/>
      <c r="G56" s="276"/>
    </row>
    <row r="57" spans="1:7" ht="12.75" customHeight="1" x14ac:dyDescent="0.2">
      <c r="A57" s="274"/>
      <c r="B57" s="275"/>
      <c r="C57" s="275"/>
      <c r="D57" s="275"/>
      <c r="E57" s="275"/>
      <c r="F57" s="275"/>
      <c r="G57" s="276"/>
    </row>
    <row r="58" spans="1:7" ht="300" customHeight="1" thickBot="1" x14ac:dyDescent="0.25">
      <c r="A58" s="277"/>
      <c r="B58" s="278"/>
      <c r="C58" s="278"/>
      <c r="D58" s="278"/>
      <c r="E58" s="278"/>
      <c r="F58" s="278"/>
      <c r="G58" s="279"/>
    </row>
    <row r="59" spans="1:7" ht="12.75" customHeight="1" x14ac:dyDescent="0.2"/>
    <row r="60" spans="1:7" ht="12.75" customHeight="1" x14ac:dyDescent="0.2"/>
    <row r="61" spans="1:7" ht="12.75" customHeight="1" x14ac:dyDescent="0.2"/>
    <row r="62" spans="1:7" ht="12.75" customHeight="1" x14ac:dyDescent="0.2"/>
    <row r="63" spans="1:7" ht="16.5" customHeight="1" x14ac:dyDescent="0.2"/>
    <row r="64" spans="1:7"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38">
    <mergeCell ref="A45:G58"/>
    <mergeCell ref="A43:B43"/>
    <mergeCell ref="E12:F13"/>
    <mergeCell ref="A1:D1"/>
    <mergeCell ref="A4:B5"/>
    <mergeCell ref="C4:D5"/>
    <mergeCell ref="E26:F27"/>
    <mergeCell ref="E28:F29"/>
    <mergeCell ref="E30:F31"/>
    <mergeCell ref="G26:G27"/>
    <mergeCell ref="G28:G29"/>
    <mergeCell ref="G30:G31"/>
    <mergeCell ref="E32:F33"/>
    <mergeCell ref="G32:G33"/>
    <mergeCell ref="E34:F35"/>
    <mergeCell ref="E36:F37"/>
    <mergeCell ref="J4:J5"/>
    <mergeCell ref="E10:F11"/>
    <mergeCell ref="G10:G11"/>
    <mergeCell ref="G12:G13"/>
    <mergeCell ref="E24:F25"/>
    <mergeCell ref="G14:G15"/>
    <mergeCell ref="G16:G17"/>
    <mergeCell ref="G18:G19"/>
    <mergeCell ref="G20:G21"/>
    <mergeCell ref="E14:F15"/>
    <mergeCell ref="E16:F17"/>
    <mergeCell ref="E18:F19"/>
    <mergeCell ref="E20:F21"/>
    <mergeCell ref="E22:F23"/>
    <mergeCell ref="G22:G23"/>
    <mergeCell ref="G24:G25"/>
    <mergeCell ref="G34:G35"/>
    <mergeCell ref="G36:G37"/>
    <mergeCell ref="G38:G39"/>
    <mergeCell ref="G40:G41"/>
    <mergeCell ref="E40:F41"/>
    <mergeCell ref="E38:F39"/>
  </mergeCells>
  <conditionalFormatting sqref="H20:I21 I19">
    <cfRule type="expression" dxfId="101" priority="6">
      <formula>ISNUMBER(SEARCH(TEXT(#REF!,"ddd"),#REF!))</formula>
    </cfRule>
  </conditionalFormatting>
  <conditionalFormatting sqref="A10:D12 A16:D17 A18:C18 A20:C20 A22:C22 A24:C24 A26:C26 A28:C28 A30:C30 A32:C33">
    <cfRule type="expression" dxfId="100" priority="7">
      <formula>ISNUMBER(SEARCH(TEXT(#REF!,"ddd"),#REF!))</formula>
    </cfRule>
  </conditionalFormatting>
  <conditionalFormatting sqref="K19:K24">
    <cfRule type="expression" dxfId="99" priority="8">
      <formula>ISNUMBER(SEARCH(TEXT(#REF!,"ddd"),#REF!))</formula>
    </cfRule>
  </conditionalFormatting>
  <conditionalFormatting sqref="D14">
    <cfRule type="expression" dxfId="98" priority="5">
      <formula>ISNUMBER(SEARCH(TEXT(#REF!,"ddd"),#REF!))</formula>
    </cfRule>
  </conditionalFormatting>
  <conditionalFormatting sqref="A14:C14">
    <cfRule type="expression" dxfId="97" priority="2">
      <formula>ISNUMBER(SEARCH(TEXT(#REF!,"ddd"),#REF!))</formula>
    </cfRule>
  </conditionalFormatting>
  <conditionalFormatting sqref="A13:D13">
    <cfRule type="expression" dxfId="96" priority="4">
      <formula>ISNUMBER(SEARCH(TEXT(#REF!,"ddd"),#REF!))</formula>
    </cfRule>
  </conditionalFormatting>
  <conditionalFormatting sqref="A15:D15">
    <cfRule type="expression" dxfId="95" priority="3">
      <formula>ISNUMBER(SEARCH(TEXT(#REF!,"ddd"),#REF!))</formula>
    </cfRule>
  </conditionalFormatting>
  <conditionalFormatting sqref="A34:C42">
    <cfRule type="expression" dxfId="94" priority="1">
      <formula>ISNUMBER(SEARCH(TEXT(#REF!,"ddd"),#REF!))</formula>
    </cfRule>
  </conditionalFormatting>
  <dataValidations count="2">
    <dataValidation type="custom" allowBlank="1" showInputMessage="1" showErrorMessage="1" sqref="C10 C17" xr:uid="{384B0263-2C64-4A4A-90EE-8B4910EF4872}">
      <formula1>AND($C10&lt;=1,ISNUMBER($C10),($C10&gt;=$B10))</formula1>
    </dataValidation>
    <dataValidation type="custom" allowBlank="1" showInputMessage="1" showErrorMessage="1" sqref="C18 B10:B18 C11:C16 B20:C20 B22:C22 B24:C24 B26:C26 B28:C28 B30:C30 B32:C42" xr:uid="{5D900245-8716-46AB-86CF-C196BEB0658C}">
      <formula1>AND($B10&lt;=1,ISNUMBER($B10))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24E3-4AC0-46B2-A3DA-95B475244079}">
  <sheetPr codeName="Sheet18">
    <pageSetUpPr fitToPage="1"/>
  </sheetPr>
  <dimension ref="A1:K79"/>
  <sheetViews>
    <sheetView showGridLines="0" zoomScaleNormal="100" workbookViewId="0">
      <selection activeCell="H7" sqref="H7"/>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12</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43906</v>
      </c>
      <c r="B3" s="154"/>
      <c r="C3" s="103">
        <f>A22</f>
        <v>43912</v>
      </c>
      <c r="D3" s="154"/>
      <c r="E3" s="34" t="s">
        <v>6</v>
      </c>
      <c r="F3" s="149">
        <f>Sumcolor(E3,D10:D42)</f>
        <v>0</v>
      </c>
      <c r="G3" s="147">
        <f>SUM(Først:Sist!F3)</f>
        <v>0.62499999999999989</v>
      </c>
      <c r="H3" s="22"/>
      <c r="I3" s="7"/>
      <c r="J3" s="7"/>
    </row>
    <row r="4" spans="1:10" ht="15" customHeight="1" x14ac:dyDescent="0.2">
      <c r="A4" s="192" t="s">
        <v>7</v>
      </c>
      <c r="B4" s="192"/>
      <c r="C4" s="201" t="s">
        <v>8</v>
      </c>
      <c r="D4" s="201"/>
      <c r="E4" s="35" t="s">
        <v>9</v>
      </c>
      <c r="F4" s="149">
        <f>Sumcolor(E4,D10:D42)</f>
        <v>0.35763888888888895</v>
      </c>
      <c r="G4" s="147">
        <f>SUM(Først:Sist!F4)</f>
        <v>2.7604166666666665</v>
      </c>
      <c r="H4" s="22"/>
      <c r="I4" s="7"/>
      <c r="J4" s="190"/>
    </row>
    <row r="5" spans="1:10" ht="15.75" x14ac:dyDescent="0.2">
      <c r="A5" s="201"/>
      <c r="B5" s="201"/>
      <c r="C5" s="201"/>
      <c r="D5" s="201"/>
      <c r="E5" s="36" t="s">
        <v>10</v>
      </c>
      <c r="F5" s="149">
        <f>Sumcolor(E5,D10:D42)</f>
        <v>5.9027777777777735E-2</v>
      </c>
      <c r="G5" s="147">
        <f>SUM(Først:Sist!F5)</f>
        <v>1.1701388888888882</v>
      </c>
      <c r="H5" s="22"/>
      <c r="I5" s="7"/>
      <c r="J5" s="190"/>
    </row>
    <row r="6" spans="1:10" ht="18.75" customHeight="1" thickBot="1" x14ac:dyDescent="0.25">
      <c r="A6" s="150">
        <f>SUM(D10:D42)</f>
        <v>0.41666666666666669</v>
      </c>
      <c r="B6" s="43"/>
      <c r="C6" s="151">
        <f>SUM(Først:Sist!A6)</f>
        <v>6.8680555555555571</v>
      </c>
      <c r="D6" s="44"/>
      <c r="E6" s="37" t="s">
        <v>11</v>
      </c>
      <c r="F6" s="148">
        <f>Sumcolor(E6,D10:D42)</f>
        <v>0</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04">
        <v>43906</v>
      </c>
      <c r="B10" s="87">
        <v>0.58333333333333337</v>
      </c>
      <c r="C10" s="87">
        <v>0.60416666666666663</v>
      </c>
      <c r="D10" s="88">
        <f t="shared" ref="D10" si="0">(C10-B10)</f>
        <v>2.0833333333333259E-2</v>
      </c>
      <c r="E10" s="225" t="s">
        <v>120</v>
      </c>
      <c r="F10" s="225"/>
      <c r="G10" s="263"/>
      <c r="H10" s="25"/>
    </row>
    <row r="11" spans="1:10" ht="16.5" thickBot="1" x14ac:dyDescent="0.3">
      <c r="A11" s="105"/>
      <c r="B11" s="92"/>
      <c r="C11" s="92"/>
      <c r="D11" s="93"/>
      <c r="E11" s="226"/>
      <c r="F11" s="226"/>
      <c r="G11" s="264"/>
      <c r="H11" s="25"/>
    </row>
    <row r="12" spans="1:10" ht="15.75" customHeight="1" x14ac:dyDescent="0.25">
      <c r="A12" s="109">
        <v>43908</v>
      </c>
      <c r="B12" s="100">
        <v>0.48958333333333331</v>
      </c>
      <c r="C12" s="100">
        <v>0.50694444444444442</v>
      </c>
      <c r="D12" s="88">
        <f>(C12-B12)</f>
        <v>1.7361111111111105E-2</v>
      </c>
      <c r="E12" s="283" t="s">
        <v>119</v>
      </c>
      <c r="F12" s="283"/>
      <c r="G12" s="263"/>
    </row>
    <row r="13" spans="1:10" ht="16.5" thickBot="1" x14ac:dyDescent="0.3">
      <c r="A13" s="152"/>
      <c r="B13" s="153"/>
      <c r="C13" s="153"/>
      <c r="D13" s="139"/>
      <c r="E13" s="284"/>
      <c r="F13" s="284"/>
      <c r="G13" s="264"/>
    </row>
    <row r="14" spans="1:10" ht="15.75" customHeight="1" x14ac:dyDescent="0.25">
      <c r="A14" s="109">
        <v>43911</v>
      </c>
      <c r="B14" s="100">
        <v>0.54166666666666663</v>
      </c>
      <c r="C14" s="100">
        <v>0.5625</v>
      </c>
      <c r="D14" s="88">
        <f>(C14-B14)</f>
        <v>2.083333333333337E-2</v>
      </c>
      <c r="E14" s="239" t="s">
        <v>63</v>
      </c>
      <c r="F14" s="239"/>
      <c r="G14" s="263"/>
    </row>
    <row r="15" spans="1:10" ht="16.5" thickBot="1" x14ac:dyDescent="0.3">
      <c r="A15" s="137"/>
      <c r="B15" s="138"/>
      <c r="C15" s="138"/>
      <c r="D15" s="139"/>
      <c r="E15" s="240"/>
      <c r="F15" s="240"/>
      <c r="G15" s="264"/>
    </row>
    <row r="16" spans="1:10" ht="15.75" customHeight="1" x14ac:dyDescent="0.25">
      <c r="A16" s="131">
        <v>43911</v>
      </c>
      <c r="B16" s="132">
        <v>0.5625</v>
      </c>
      <c r="C16" s="132">
        <v>0.59375</v>
      </c>
      <c r="D16" s="140">
        <f>(C16-B16)</f>
        <v>3.125E-2</v>
      </c>
      <c r="E16" s="269" t="s">
        <v>121</v>
      </c>
      <c r="F16" s="269"/>
      <c r="G16" s="263"/>
    </row>
    <row r="17" spans="1:11" ht="16.5" thickBot="1" x14ac:dyDescent="0.3">
      <c r="A17" s="134"/>
      <c r="B17" s="135"/>
      <c r="C17" s="135"/>
      <c r="D17" s="141"/>
      <c r="E17" s="270"/>
      <c r="F17" s="270"/>
      <c r="G17" s="264"/>
    </row>
    <row r="18" spans="1:11" ht="15.75" x14ac:dyDescent="0.25">
      <c r="A18" s="131">
        <v>43911</v>
      </c>
      <c r="B18" s="132">
        <v>0.70138888888888884</v>
      </c>
      <c r="C18" s="132">
        <v>0.83333333333333337</v>
      </c>
      <c r="D18" s="140">
        <f>(C18-B18)</f>
        <v>0.13194444444444453</v>
      </c>
      <c r="E18" s="231" t="s">
        <v>122</v>
      </c>
      <c r="F18" s="231"/>
      <c r="G18" s="263" t="s">
        <v>111</v>
      </c>
    </row>
    <row r="19" spans="1:11" ht="16.5" thickBot="1" x14ac:dyDescent="0.3">
      <c r="A19" s="142"/>
      <c r="B19" s="143"/>
      <c r="C19" s="143"/>
      <c r="D19" s="141"/>
      <c r="E19" s="232"/>
      <c r="F19" s="232"/>
      <c r="G19" s="264"/>
      <c r="I19" s="8"/>
      <c r="K19" s="8"/>
    </row>
    <row r="20" spans="1:11" ht="15.75" customHeight="1" x14ac:dyDescent="0.25">
      <c r="A20" s="131">
        <v>43912</v>
      </c>
      <c r="B20" s="132">
        <v>0.54166666666666663</v>
      </c>
      <c r="C20" s="132">
        <v>0.70833333333333337</v>
      </c>
      <c r="D20" s="140">
        <f t="shared" ref="D20" si="1">(C20-B20)</f>
        <v>0.16666666666666674</v>
      </c>
      <c r="E20" s="231" t="s">
        <v>122</v>
      </c>
      <c r="F20" s="231"/>
      <c r="G20" s="263" t="s">
        <v>111</v>
      </c>
      <c r="H20" s="8"/>
      <c r="I20" s="8"/>
      <c r="K20" s="8"/>
    </row>
    <row r="21" spans="1:11" ht="16.5" thickBot="1" x14ac:dyDescent="0.3">
      <c r="A21" s="142"/>
      <c r="B21" s="143"/>
      <c r="C21" s="143"/>
      <c r="D21" s="141"/>
      <c r="E21" s="232"/>
      <c r="F21" s="232"/>
      <c r="G21" s="264"/>
      <c r="H21" s="8"/>
      <c r="I21" s="8"/>
      <c r="K21" s="8"/>
    </row>
    <row r="22" spans="1:11" ht="15.75" customHeight="1" x14ac:dyDescent="0.25">
      <c r="A22" s="131">
        <v>43912</v>
      </c>
      <c r="B22" s="132">
        <v>0.77777777777777779</v>
      </c>
      <c r="C22" s="132">
        <v>0.80555555555555547</v>
      </c>
      <c r="D22" s="140">
        <f t="shared" ref="D22" si="2">(C22-B22)</f>
        <v>2.7777777777777679E-2</v>
      </c>
      <c r="E22" s="231" t="s">
        <v>122</v>
      </c>
      <c r="F22" s="231"/>
      <c r="G22" s="263" t="s">
        <v>111</v>
      </c>
      <c r="H22" s="9"/>
      <c r="I22" s="9"/>
      <c r="K22" s="8"/>
    </row>
    <row r="23" spans="1:11" ht="18.75" customHeight="1" thickBot="1" x14ac:dyDescent="0.3">
      <c r="A23" s="142"/>
      <c r="B23" s="143"/>
      <c r="C23" s="143"/>
      <c r="D23" s="141"/>
      <c r="E23" s="232"/>
      <c r="F23" s="232"/>
      <c r="G23" s="264"/>
      <c r="H23" s="10"/>
      <c r="I23" s="10"/>
      <c r="K23" s="8"/>
    </row>
    <row r="24" spans="1:11" ht="12.75" customHeight="1" x14ac:dyDescent="0.2">
      <c r="A24" s="29"/>
      <c r="D24" s="8"/>
    </row>
    <row r="25" spans="1:11" ht="21.75" customHeight="1" thickBot="1" x14ac:dyDescent="0.4">
      <c r="A25" s="222" t="s">
        <v>21</v>
      </c>
      <c r="B25" s="222"/>
      <c r="C25" s="27"/>
      <c r="D25" s="27"/>
      <c r="E25" s="27"/>
      <c r="F25" s="114"/>
      <c r="G25" s="114"/>
    </row>
    <row r="26" spans="1:11" ht="12.75" customHeight="1" thickBot="1" x14ac:dyDescent="0.25">
      <c r="A26" s="5"/>
      <c r="B26" s="15"/>
      <c r="C26" s="16"/>
      <c r="D26" s="17"/>
      <c r="E26" s="18"/>
      <c r="F26" s="30"/>
      <c r="G26" s="30"/>
    </row>
    <row r="27" spans="1:11" ht="19.5" customHeight="1" x14ac:dyDescent="0.2">
      <c r="A27" s="282" t="s">
        <v>123</v>
      </c>
      <c r="B27" s="272"/>
      <c r="C27" s="272"/>
      <c r="D27" s="272"/>
      <c r="E27" s="272"/>
      <c r="F27" s="272"/>
      <c r="G27" s="273"/>
    </row>
    <row r="28" spans="1:11" ht="12.75" customHeight="1" x14ac:dyDescent="0.2">
      <c r="A28" s="274"/>
      <c r="B28" s="275"/>
      <c r="C28" s="275"/>
      <c r="D28" s="275"/>
      <c r="E28" s="275"/>
      <c r="F28" s="275"/>
      <c r="G28" s="276"/>
    </row>
    <row r="29" spans="1:11" ht="20.25" customHeight="1" x14ac:dyDescent="0.2">
      <c r="A29" s="274"/>
      <c r="B29" s="275"/>
      <c r="C29" s="275"/>
      <c r="D29" s="275"/>
      <c r="E29" s="275"/>
      <c r="F29" s="275"/>
      <c r="G29" s="276"/>
    </row>
    <row r="30" spans="1:11" ht="12.75" customHeight="1" x14ac:dyDescent="0.2">
      <c r="A30" s="274"/>
      <c r="B30" s="275"/>
      <c r="C30" s="275"/>
      <c r="D30" s="275"/>
      <c r="E30" s="275"/>
      <c r="F30" s="275"/>
      <c r="G30" s="276"/>
    </row>
    <row r="31" spans="1:11" ht="23.25" customHeight="1" x14ac:dyDescent="0.2">
      <c r="A31" s="274"/>
      <c r="B31" s="275"/>
      <c r="C31" s="275"/>
      <c r="D31" s="275"/>
      <c r="E31" s="275"/>
      <c r="F31" s="275"/>
      <c r="G31" s="276"/>
    </row>
    <row r="32" spans="1:11" ht="17.25" customHeight="1" x14ac:dyDescent="0.2">
      <c r="A32" s="274"/>
      <c r="B32" s="275"/>
      <c r="C32" s="275"/>
      <c r="D32" s="275"/>
      <c r="E32" s="275"/>
      <c r="F32" s="275"/>
      <c r="G32" s="276"/>
    </row>
    <row r="33" spans="1:8" ht="17.25" customHeight="1" x14ac:dyDescent="0.2">
      <c r="A33" s="274"/>
      <c r="B33" s="275"/>
      <c r="C33" s="275"/>
      <c r="D33" s="275"/>
      <c r="E33" s="275"/>
      <c r="F33" s="275"/>
      <c r="G33" s="276"/>
    </row>
    <row r="34" spans="1:8" ht="17.25" customHeight="1" x14ac:dyDescent="0.2">
      <c r="A34" s="274"/>
      <c r="B34" s="275"/>
      <c r="C34" s="275"/>
      <c r="D34" s="275"/>
      <c r="E34" s="275"/>
      <c r="F34" s="275"/>
      <c r="G34" s="276"/>
    </row>
    <row r="35" spans="1:8" ht="17.25" customHeight="1" x14ac:dyDescent="0.2">
      <c r="A35" s="274"/>
      <c r="B35" s="275"/>
      <c r="C35" s="275"/>
      <c r="D35" s="275"/>
      <c r="E35" s="275"/>
      <c r="F35" s="275"/>
      <c r="G35" s="276"/>
    </row>
    <row r="36" spans="1:8" ht="17.25" customHeight="1" x14ac:dyDescent="0.2">
      <c r="A36" s="274"/>
      <c r="B36" s="275"/>
      <c r="C36" s="275"/>
      <c r="D36" s="275"/>
      <c r="E36" s="275"/>
      <c r="F36" s="275"/>
      <c r="G36" s="276"/>
    </row>
    <row r="37" spans="1:8" ht="17.25" customHeight="1" x14ac:dyDescent="0.2">
      <c r="A37" s="274"/>
      <c r="B37" s="275"/>
      <c r="C37" s="275"/>
      <c r="D37" s="275"/>
      <c r="E37" s="275"/>
      <c r="F37" s="275"/>
      <c r="G37" s="276"/>
    </row>
    <row r="38" spans="1:8" ht="17.25" customHeight="1" x14ac:dyDescent="0.2">
      <c r="A38" s="274"/>
      <c r="B38" s="275"/>
      <c r="C38" s="275"/>
      <c r="D38" s="275"/>
      <c r="E38" s="275"/>
      <c r="F38" s="275"/>
      <c r="G38" s="276"/>
    </row>
    <row r="39" spans="1:8" ht="17.25" customHeight="1" x14ac:dyDescent="0.2">
      <c r="A39" s="274"/>
      <c r="B39" s="275"/>
      <c r="C39" s="275"/>
      <c r="D39" s="275"/>
      <c r="E39" s="275"/>
      <c r="F39" s="275"/>
      <c r="G39" s="276"/>
    </row>
    <row r="40" spans="1:8" ht="45.75" customHeight="1" thickBot="1" x14ac:dyDescent="0.25">
      <c r="A40" s="277"/>
      <c r="B40" s="278"/>
      <c r="C40" s="278"/>
      <c r="D40" s="278"/>
      <c r="E40" s="278"/>
      <c r="F40" s="278"/>
      <c r="G40" s="279"/>
    </row>
    <row r="41" spans="1:8" ht="17.25" customHeight="1" x14ac:dyDescent="0.2">
      <c r="A41" s="29"/>
    </row>
    <row r="42" spans="1:8" ht="17.25" customHeight="1" x14ac:dyDescent="0.25">
      <c r="A42" s="144"/>
      <c r="B42" s="85"/>
      <c r="C42" s="85"/>
      <c r="D42" s="63"/>
      <c r="E42" s="163"/>
      <c r="F42" s="163"/>
      <c r="G42" s="164"/>
      <c r="H42" s="29"/>
    </row>
    <row r="43" spans="1:8" ht="17.25" customHeight="1" x14ac:dyDescent="0.2">
      <c r="H43" s="29"/>
    </row>
    <row r="44" spans="1:8" ht="17.25" customHeight="1" x14ac:dyDescent="0.2">
      <c r="H44" s="29"/>
    </row>
    <row r="45" spans="1:8" ht="17.25" customHeight="1" x14ac:dyDescent="0.2">
      <c r="H45" s="29"/>
    </row>
    <row r="46" spans="1:8" ht="17.25" customHeight="1" x14ac:dyDescent="0.2">
      <c r="H46" s="29"/>
    </row>
    <row r="47" spans="1:8" x14ac:dyDescent="0.2">
      <c r="H47" s="29"/>
    </row>
    <row r="48" spans="1:8" ht="24.75" customHeight="1" x14ac:dyDescent="0.2">
      <c r="H48" s="29"/>
    </row>
    <row r="49" ht="13.5" customHeight="1" x14ac:dyDescent="0.2"/>
    <row r="50" ht="12.75" customHeight="1" x14ac:dyDescent="0.2"/>
    <row r="51" ht="12.75" customHeight="1" x14ac:dyDescent="0.2"/>
    <row r="52" ht="12.75" customHeight="1" x14ac:dyDescent="0.2"/>
    <row r="53" ht="10.5" customHeight="1" x14ac:dyDescent="0.2"/>
    <row r="54" ht="21" customHeight="1" x14ac:dyDescent="0.2"/>
    <row r="55" ht="21" customHeight="1" x14ac:dyDescent="0.2"/>
    <row r="56" ht="12.75" customHeight="1" x14ac:dyDescent="0.2"/>
    <row r="57" ht="12.75" customHeight="1" x14ac:dyDescent="0.2"/>
    <row r="58" ht="71.25" customHeight="1" x14ac:dyDescent="0.2"/>
    <row r="59" ht="12.75" customHeight="1" x14ac:dyDescent="0.2"/>
    <row r="60" ht="12.75" customHeight="1" x14ac:dyDescent="0.2"/>
    <row r="61" ht="12.75" customHeight="1" x14ac:dyDescent="0.2"/>
    <row r="62" ht="12.75" customHeight="1" x14ac:dyDescent="0.2"/>
    <row r="63" ht="16.5" customHeight="1" x14ac:dyDescent="0.2"/>
    <row r="64"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20">
    <mergeCell ref="A1:D1"/>
    <mergeCell ref="A4:B5"/>
    <mergeCell ref="C4:D5"/>
    <mergeCell ref="J4:J5"/>
    <mergeCell ref="E10:F11"/>
    <mergeCell ref="G10:G11"/>
    <mergeCell ref="E12:F13"/>
    <mergeCell ref="G12:G13"/>
    <mergeCell ref="E14:F15"/>
    <mergeCell ref="G14:G15"/>
    <mergeCell ref="E16:F17"/>
    <mergeCell ref="G16:G17"/>
    <mergeCell ref="A25:B25"/>
    <mergeCell ref="A27:G40"/>
    <mergeCell ref="E18:F19"/>
    <mergeCell ref="G18:G19"/>
    <mergeCell ref="E20:F21"/>
    <mergeCell ref="G20:G21"/>
    <mergeCell ref="E22:F23"/>
    <mergeCell ref="G22:G23"/>
  </mergeCells>
  <conditionalFormatting sqref="H20:I21 I19">
    <cfRule type="expression" dxfId="93" priority="6">
      <formula>ISNUMBER(SEARCH(TEXT(#REF!,"ddd"),#REF!))</formula>
    </cfRule>
  </conditionalFormatting>
  <conditionalFormatting sqref="A10:D12 A16:D17 A18:C18 A20:C20 A22:C22">
    <cfRule type="expression" dxfId="92" priority="7">
      <formula>ISNUMBER(SEARCH(TEXT(#REF!,"ddd"),#REF!))</formula>
    </cfRule>
  </conditionalFormatting>
  <conditionalFormatting sqref="K19:K23 D24">
    <cfRule type="expression" dxfId="91" priority="8">
      <formula>ISNUMBER(SEARCH(TEXT(#REF!,"ddd"),#REF!))</formula>
    </cfRule>
  </conditionalFormatting>
  <conditionalFormatting sqref="D14">
    <cfRule type="expression" dxfId="90" priority="5">
      <formula>ISNUMBER(SEARCH(TEXT(#REF!,"ddd"),#REF!))</formula>
    </cfRule>
  </conditionalFormatting>
  <conditionalFormatting sqref="A14:C14">
    <cfRule type="expression" dxfId="89" priority="2">
      <formula>ISNUMBER(SEARCH(TEXT(#REF!,"ddd"),#REF!))</formula>
    </cfRule>
  </conditionalFormatting>
  <conditionalFormatting sqref="A13:D13">
    <cfRule type="expression" dxfId="88" priority="4">
      <formula>ISNUMBER(SEARCH(TEXT(#REF!,"ddd"),#REF!))</formula>
    </cfRule>
  </conditionalFormatting>
  <conditionalFormatting sqref="A15:D15">
    <cfRule type="expression" dxfId="87" priority="3">
      <formula>ISNUMBER(SEARCH(TEXT(#REF!,"ddd"),#REF!))</formula>
    </cfRule>
  </conditionalFormatting>
  <conditionalFormatting sqref="A42:C42">
    <cfRule type="expression" dxfId="86" priority="1">
      <formula>ISNUMBER(SEARCH(TEXT(#REF!,"ddd"),#REF!))</formula>
    </cfRule>
  </conditionalFormatting>
  <dataValidations count="2">
    <dataValidation type="custom" allowBlank="1" showInputMessage="1" showErrorMessage="1" sqref="C18 B10:B18 C11:C16 B20:C20 B22:C22 B42:C42" xr:uid="{149C69E0-D515-4784-8253-67CF565F74D0}">
      <formula1>AND($B10&lt;=1,ISNUMBER($B10))</formula1>
    </dataValidation>
    <dataValidation type="custom" allowBlank="1" showInputMessage="1" showErrorMessage="1" sqref="C10 C17" xr:uid="{6A04E35D-88D8-463B-A864-0A20313D035D}">
      <formula1>AND($C10&lt;=1,ISNUMBER($C10),($C10&gt;=$B10))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6B460-800B-43F7-A780-C2B9E6B56D3B}">
  <sheetPr codeName="Sheet19">
    <pageSetUpPr fitToPage="1"/>
  </sheetPr>
  <dimension ref="A1:K79"/>
  <sheetViews>
    <sheetView showGridLines="0" zoomScaleNormal="100" workbookViewId="0">
      <selection activeCell="J25" sqref="J25"/>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13</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43913</v>
      </c>
      <c r="B3" s="154"/>
      <c r="C3" s="103">
        <f>A18</f>
        <v>43919</v>
      </c>
      <c r="D3" s="154"/>
      <c r="E3" s="34" t="s">
        <v>6</v>
      </c>
      <c r="F3" s="149">
        <f>Sumcolor(E3,D10:D40)</f>
        <v>0</v>
      </c>
      <c r="G3" s="147">
        <f>SUM(Først:Sist!F3)</f>
        <v>0.62499999999999989</v>
      </c>
      <c r="H3" s="22"/>
      <c r="I3" s="7"/>
      <c r="J3" s="7"/>
    </row>
    <row r="4" spans="1:10" ht="15" customHeight="1" x14ac:dyDescent="0.2">
      <c r="A4" s="192" t="s">
        <v>7</v>
      </c>
      <c r="B4" s="192"/>
      <c r="C4" s="201" t="s">
        <v>8</v>
      </c>
      <c r="D4" s="201"/>
      <c r="E4" s="35" t="s">
        <v>9</v>
      </c>
      <c r="F4" s="149">
        <f>Sumcolor(E4,D10:D40)</f>
        <v>0</v>
      </c>
      <c r="G4" s="147">
        <f>SUM(Først:Sist!F4)</f>
        <v>2.7604166666666665</v>
      </c>
      <c r="H4" s="22"/>
      <c r="I4" s="7"/>
      <c r="J4" s="190"/>
    </row>
    <row r="5" spans="1:10" ht="15.75" x14ac:dyDescent="0.2">
      <c r="A5" s="201"/>
      <c r="B5" s="201"/>
      <c r="C5" s="201"/>
      <c r="D5" s="201"/>
      <c r="E5" s="36" t="s">
        <v>10</v>
      </c>
      <c r="F5" s="149">
        <f>Sumcolor(E5,D10:D40)</f>
        <v>2.430555555555558E-2</v>
      </c>
      <c r="G5" s="147">
        <f>SUM(Først:Sist!F5)</f>
        <v>1.1701388888888882</v>
      </c>
      <c r="H5" s="22"/>
      <c r="I5" s="7"/>
      <c r="J5" s="190"/>
    </row>
    <row r="6" spans="1:10" ht="18.75" customHeight="1" thickBot="1" x14ac:dyDescent="0.25">
      <c r="A6" s="150">
        <f>SUM(D10:D40)</f>
        <v>0.25000000000000011</v>
      </c>
      <c r="B6" s="43"/>
      <c r="C6" s="151">
        <f>SUM(Først:Sist!A6)</f>
        <v>6.8680555555555571</v>
      </c>
      <c r="D6" s="44"/>
      <c r="E6" s="37" t="s">
        <v>11</v>
      </c>
      <c r="F6" s="148">
        <f>Sumcolor(E6,D10:D40)</f>
        <v>0.22569444444444453</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04">
        <v>43913</v>
      </c>
      <c r="B10" s="87">
        <v>0.59027777777777779</v>
      </c>
      <c r="C10" s="87">
        <v>0.60416666666666663</v>
      </c>
      <c r="D10" s="88">
        <f t="shared" ref="D10" si="0">(C10-B10)</f>
        <v>1.388888888888884E-2</v>
      </c>
      <c r="E10" s="225" t="s">
        <v>36</v>
      </c>
      <c r="F10" s="225"/>
      <c r="G10" s="263"/>
      <c r="H10" s="25"/>
    </row>
    <row r="11" spans="1:10" ht="16.5" thickBot="1" x14ac:dyDescent="0.3">
      <c r="A11" s="105"/>
      <c r="B11" s="92"/>
      <c r="C11" s="92"/>
      <c r="D11" s="93"/>
      <c r="E11" s="226"/>
      <c r="F11" s="226"/>
      <c r="G11" s="264"/>
      <c r="H11" s="25"/>
    </row>
    <row r="12" spans="1:10" ht="15.75" customHeight="1" x14ac:dyDescent="0.25">
      <c r="A12" s="109">
        <v>43917</v>
      </c>
      <c r="B12" s="100">
        <v>0.51041666666666663</v>
      </c>
      <c r="C12" s="100">
        <v>0.52083333333333337</v>
      </c>
      <c r="D12" s="88">
        <f>(C12-B12)</f>
        <v>1.0416666666666741E-2</v>
      </c>
      <c r="E12" s="283" t="s">
        <v>63</v>
      </c>
      <c r="F12" s="283"/>
      <c r="G12" s="263"/>
    </row>
    <row r="13" spans="1:10" ht="16.5" thickBot="1" x14ac:dyDescent="0.3">
      <c r="A13" s="152"/>
      <c r="B13" s="153"/>
      <c r="C13" s="153"/>
      <c r="D13" s="139"/>
      <c r="E13" s="284"/>
      <c r="F13" s="284"/>
      <c r="G13" s="264"/>
    </row>
    <row r="14" spans="1:10" ht="15.75" customHeight="1" x14ac:dyDescent="0.25">
      <c r="A14" s="106">
        <v>43918</v>
      </c>
      <c r="B14" s="94">
        <v>0.59722222222222221</v>
      </c>
      <c r="C14" s="94">
        <v>0.625</v>
      </c>
      <c r="D14" s="95">
        <f>(C14-B14)</f>
        <v>2.777777777777779E-2</v>
      </c>
      <c r="E14" s="229" t="s">
        <v>124</v>
      </c>
      <c r="F14" s="229"/>
      <c r="G14" s="263"/>
    </row>
    <row r="15" spans="1:10" ht="16.5" thickBot="1" x14ac:dyDescent="0.3">
      <c r="A15" s="108"/>
      <c r="B15" s="98"/>
      <c r="C15" s="98"/>
      <c r="D15" s="97"/>
      <c r="E15" s="230"/>
      <c r="F15" s="230"/>
      <c r="G15" s="264"/>
    </row>
    <row r="16" spans="1:10" ht="15.75" customHeight="1" x14ac:dyDescent="0.25">
      <c r="A16" s="106">
        <v>43919</v>
      </c>
      <c r="B16" s="94">
        <v>0.75</v>
      </c>
      <c r="C16" s="94">
        <v>0.83333333333333337</v>
      </c>
      <c r="D16" s="99">
        <f>(C16-B16)</f>
        <v>8.333333333333337E-2</v>
      </c>
      <c r="E16" s="229" t="s">
        <v>125</v>
      </c>
      <c r="F16" s="229"/>
      <c r="G16" s="263"/>
    </row>
    <row r="17" spans="1:11" ht="16.5" thickBot="1" x14ac:dyDescent="0.3">
      <c r="A17" s="107"/>
      <c r="B17" s="96"/>
      <c r="C17" s="96"/>
      <c r="D17" s="76"/>
      <c r="E17" s="230"/>
      <c r="F17" s="230"/>
      <c r="G17" s="264"/>
    </row>
    <row r="18" spans="1:11" ht="15.75" x14ac:dyDescent="0.25">
      <c r="A18" s="106">
        <v>43919</v>
      </c>
      <c r="B18" s="94">
        <v>0.875</v>
      </c>
      <c r="C18" s="94">
        <v>0.98958333333333337</v>
      </c>
      <c r="D18" s="99">
        <f>(C18-B18)</f>
        <v>0.11458333333333337</v>
      </c>
      <c r="E18" s="229" t="s">
        <v>125</v>
      </c>
      <c r="F18" s="229"/>
      <c r="G18" s="263"/>
    </row>
    <row r="19" spans="1:11" ht="16.5" thickBot="1" x14ac:dyDescent="0.3">
      <c r="A19" s="111"/>
      <c r="B19" s="75"/>
      <c r="C19" s="75"/>
      <c r="D19" s="76"/>
      <c r="E19" s="230"/>
      <c r="F19" s="230"/>
      <c r="G19" s="264"/>
      <c r="I19" s="8"/>
      <c r="K19" s="8"/>
    </row>
    <row r="20" spans="1:11" ht="15.75" customHeight="1" x14ac:dyDescent="0.2">
      <c r="A20" s="9"/>
      <c r="B20" s="9"/>
      <c r="D20" s="8"/>
      <c r="H20" s="8"/>
      <c r="I20" s="8"/>
      <c r="K20" s="8"/>
    </row>
    <row r="21" spans="1:11" ht="24" thickBot="1" x14ac:dyDescent="0.4">
      <c r="A21" s="222" t="s">
        <v>21</v>
      </c>
      <c r="B21" s="222"/>
      <c r="C21" s="27"/>
      <c r="D21" s="27"/>
      <c r="E21" s="27"/>
      <c r="F21" s="114"/>
      <c r="G21" s="114"/>
      <c r="H21" s="8"/>
      <c r="I21" s="8"/>
      <c r="K21" s="8"/>
    </row>
    <row r="22" spans="1:11" ht="15.75" customHeight="1" thickBot="1" x14ac:dyDescent="0.25">
      <c r="A22" s="5"/>
      <c r="B22" s="15"/>
      <c r="C22" s="16"/>
      <c r="D22" s="17"/>
      <c r="E22" s="18"/>
      <c r="F22" s="30"/>
      <c r="G22" s="30"/>
    </row>
    <row r="23" spans="1:11" ht="18.75" customHeight="1" x14ac:dyDescent="0.2">
      <c r="A23" s="285" t="s">
        <v>126</v>
      </c>
      <c r="B23" s="272"/>
      <c r="C23" s="272"/>
      <c r="D23" s="272"/>
      <c r="E23" s="272"/>
      <c r="F23" s="272"/>
      <c r="G23" s="273"/>
    </row>
    <row r="24" spans="1:11" ht="12.75" customHeight="1" x14ac:dyDescent="0.2">
      <c r="A24" s="274"/>
      <c r="B24" s="275"/>
      <c r="C24" s="275"/>
      <c r="D24" s="275"/>
      <c r="E24" s="275"/>
      <c r="F24" s="275"/>
      <c r="G24" s="276"/>
    </row>
    <row r="25" spans="1:11" ht="21.75" customHeight="1" x14ac:dyDescent="0.2">
      <c r="A25" s="274"/>
      <c r="B25" s="275"/>
      <c r="C25" s="275"/>
      <c r="D25" s="275"/>
      <c r="E25" s="275"/>
      <c r="F25" s="275"/>
      <c r="G25" s="276"/>
    </row>
    <row r="26" spans="1:11" ht="12.75" customHeight="1" x14ac:dyDescent="0.2">
      <c r="A26" s="274"/>
      <c r="B26" s="275"/>
      <c r="C26" s="275"/>
      <c r="D26" s="275"/>
      <c r="E26" s="275"/>
      <c r="F26" s="275"/>
      <c r="G26" s="276"/>
    </row>
    <row r="27" spans="1:11" ht="19.5" customHeight="1" x14ac:dyDescent="0.2">
      <c r="A27" s="274"/>
      <c r="B27" s="275"/>
      <c r="C27" s="275"/>
      <c r="D27" s="275"/>
      <c r="E27" s="275"/>
      <c r="F27" s="275"/>
      <c r="G27" s="276"/>
    </row>
    <row r="28" spans="1:11" ht="12.75" customHeight="1" x14ac:dyDescent="0.2">
      <c r="A28" s="274"/>
      <c r="B28" s="275"/>
      <c r="C28" s="275"/>
      <c r="D28" s="275"/>
      <c r="E28" s="275"/>
      <c r="F28" s="275"/>
      <c r="G28" s="276"/>
    </row>
    <row r="29" spans="1:11" ht="20.25" customHeight="1" x14ac:dyDescent="0.2">
      <c r="A29" s="274"/>
      <c r="B29" s="275"/>
      <c r="C29" s="275"/>
      <c r="D29" s="275"/>
      <c r="E29" s="275"/>
      <c r="F29" s="275"/>
      <c r="G29" s="276"/>
    </row>
    <row r="30" spans="1:11" ht="12.75" customHeight="1" x14ac:dyDescent="0.2">
      <c r="A30" s="274"/>
      <c r="B30" s="275"/>
      <c r="C30" s="275"/>
      <c r="D30" s="275"/>
      <c r="E30" s="275"/>
      <c r="F30" s="275"/>
      <c r="G30" s="276"/>
    </row>
    <row r="31" spans="1:11" ht="23.25" customHeight="1" x14ac:dyDescent="0.2">
      <c r="A31" s="274"/>
      <c r="B31" s="275"/>
      <c r="C31" s="275"/>
      <c r="D31" s="275"/>
      <c r="E31" s="275"/>
      <c r="F31" s="275"/>
      <c r="G31" s="276"/>
    </row>
    <row r="32" spans="1:11" ht="17.25" customHeight="1" x14ac:dyDescent="0.2">
      <c r="A32" s="274"/>
      <c r="B32" s="275"/>
      <c r="C32" s="275"/>
      <c r="D32" s="275"/>
      <c r="E32" s="275"/>
      <c r="F32" s="275"/>
      <c r="G32" s="276"/>
    </row>
    <row r="33" spans="1:8" ht="17.25" customHeight="1" x14ac:dyDescent="0.2">
      <c r="A33" s="274"/>
      <c r="B33" s="275"/>
      <c r="C33" s="275"/>
      <c r="D33" s="275"/>
      <c r="E33" s="275"/>
      <c r="F33" s="275"/>
      <c r="G33" s="276"/>
    </row>
    <row r="34" spans="1:8" ht="17.25" customHeight="1" x14ac:dyDescent="0.2">
      <c r="A34" s="274"/>
      <c r="B34" s="275"/>
      <c r="C34" s="275"/>
      <c r="D34" s="275"/>
      <c r="E34" s="275"/>
      <c r="F34" s="275"/>
      <c r="G34" s="276"/>
    </row>
    <row r="35" spans="1:8" ht="17.25" customHeight="1" x14ac:dyDescent="0.2">
      <c r="A35" s="274"/>
      <c r="B35" s="275"/>
      <c r="C35" s="275"/>
      <c r="D35" s="275"/>
      <c r="E35" s="275"/>
      <c r="F35" s="275"/>
      <c r="G35" s="276"/>
    </row>
    <row r="36" spans="1:8" ht="186" customHeight="1" thickBot="1" x14ac:dyDescent="0.25">
      <c r="A36" s="277"/>
      <c r="B36" s="278"/>
      <c r="C36" s="278"/>
      <c r="D36" s="278"/>
      <c r="E36" s="278"/>
      <c r="F36" s="278"/>
      <c r="G36" s="279"/>
    </row>
    <row r="37" spans="1:8" ht="17.25" customHeight="1" x14ac:dyDescent="0.2">
      <c r="A37" s="29"/>
    </row>
    <row r="38" spans="1:8" ht="21" customHeight="1" x14ac:dyDescent="0.2">
      <c r="A38" s="29"/>
    </row>
    <row r="39" spans="1:8" ht="17.25" customHeight="1" x14ac:dyDescent="0.2">
      <c r="A39" s="29"/>
    </row>
    <row r="40" spans="1:8" ht="17.25" customHeight="1" x14ac:dyDescent="0.25">
      <c r="A40" s="144"/>
      <c r="B40" s="85"/>
      <c r="C40" s="85"/>
      <c r="D40" s="63"/>
      <c r="E40" s="163"/>
      <c r="F40" s="163"/>
      <c r="G40" s="164"/>
    </row>
    <row r="41" spans="1:8" ht="17.25" customHeight="1" x14ac:dyDescent="0.2"/>
    <row r="42" spans="1:8" ht="17.25" customHeight="1" x14ac:dyDescent="0.2">
      <c r="H42" s="29"/>
    </row>
    <row r="43" spans="1:8" ht="17.25" customHeight="1" x14ac:dyDescent="0.2">
      <c r="H43" s="29"/>
    </row>
    <row r="44" spans="1:8" ht="17.25" customHeight="1" x14ac:dyDescent="0.2">
      <c r="H44" s="29"/>
    </row>
    <row r="45" spans="1:8" ht="17.25" customHeight="1" x14ac:dyDescent="0.2">
      <c r="H45" s="29"/>
    </row>
    <row r="46" spans="1:8" ht="17.25" customHeight="1" x14ac:dyDescent="0.2">
      <c r="H46" s="29"/>
    </row>
    <row r="47" spans="1:8" x14ac:dyDescent="0.2">
      <c r="H47" s="29"/>
    </row>
    <row r="48" spans="1:8" ht="24.75" customHeight="1" x14ac:dyDescent="0.2">
      <c r="H48" s="29"/>
    </row>
    <row r="49" ht="13.5" customHeight="1" x14ac:dyDescent="0.2"/>
    <row r="50" ht="12.75" customHeight="1" x14ac:dyDescent="0.2"/>
    <row r="51" ht="12.75" customHeight="1" x14ac:dyDescent="0.2"/>
    <row r="52" ht="12.75" customHeight="1" x14ac:dyDescent="0.2"/>
    <row r="53" ht="10.5" customHeight="1" x14ac:dyDescent="0.2"/>
    <row r="54" ht="21" customHeight="1" x14ac:dyDescent="0.2"/>
    <row r="55" ht="21" customHeight="1" x14ac:dyDescent="0.2"/>
    <row r="56" ht="12.75" customHeight="1" x14ac:dyDescent="0.2"/>
    <row r="57" ht="12.75" customHeight="1" x14ac:dyDescent="0.2"/>
    <row r="58" ht="20.25" customHeight="1" x14ac:dyDescent="0.2"/>
    <row r="59" ht="12.75" customHeight="1" x14ac:dyDescent="0.2"/>
    <row r="60" ht="12.75" customHeight="1" x14ac:dyDescent="0.2"/>
    <row r="61" ht="12.75" customHeight="1" x14ac:dyDescent="0.2"/>
    <row r="62" ht="12.75" customHeight="1" x14ac:dyDescent="0.2"/>
    <row r="63" ht="16.5" customHeight="1" x14ac:dyDescent="0.2"/>
    <row r="64"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16">
    <mergeCell ref="A1:D1"/>
    <mergeCell ref="A4:B5"/>
    <mergeCell ref="C4:D5"/>
    <mergeCell ref="J4:J5"/>
    <mergeCell ref="E10:F11"/>
    <mergeCell ref="G10:G11"/>
    <mergeCell ref="E18:F19"/>
    <mergeCell ref="G18:G19"/>
    <mergeCell ref="A21:B21"/>
    <mergeCell ref="A23:G36"/>
    <mergeCell ref="E12:F13"/>
    <mergeCell ref="G12:G13"/>
    <mergeCell ref="E14:F15"/>
    <mergeCell ref="G14:G15"/>
    <mergeCell ref="E16:F17"/>
    <mergeCell ref="G16:G17"/>
  </mergeCells>
  <conditionalFormatting sqref="H20:I21 I19">
    <cfRule type="expression" dxfId="85" priority="6">
      <formula>ISNUMBER(SEARCH(TEXT(#REF!,"ddd"),#REF!))</formula>
    </cfRule>
  </conditionalFormatting>
  <conditionalFormatting sqref="A10:D12 A16:D17 A18:C18">
    <cfRule type="expression" dxfId="84" priority="7">
      <formula>ISNUMBER(SEARCH(TEXT(#REF!,"ddd"),#REF!))</formula>
    </cfRule>
  </conditionalFormatting>
  <conditionalFormatting sqref="K19:K21 D20">
    <cfRule type="expression" dxfId="83" priority="8">
      <formula>ISNUMBER(SEARCH(TEXT(#REF!,"ddd"),#REF!))</formula>
    </cfRule>
  </conditionalFormatting>
  <conditionalFormatting sqref="D14">
    <cfRule type="expression" dxfId="82" priority="5">
      <formula>ISNUMBER(SEARCH(TEXT(#REF!,"ddd"),#REF!))</formula>
    </cfRule>
  </conditionalFormatting>
  <conditionalFormatting sqref="A14:C14">
    <cfRule type="expression" dxfId="81" priority="2">
      <formula>ISNUMBER(SEARCH(TEXT(#REF!,"ddd"),#REF!))</formula>
    </cfRule>
  </conditionalFormatting>
  <conditionalFormatting sqref="A13:D13">
    <cfRule type="expression" dxfId="80" priority="4">
      <formula>ISNUMBER(SEARCH(TEXT(#REF!,"ddd"),#REF!))</formula>
    </cfRule>
  </conditionalFormatting>
  <conditionalFormatting sqref="A15:D15">
    <cfRule type="expression" dxfId="79" priority="3">
      <formula>ISNUMBER(SEARCH(TEXT(#REF!,"ddd"),#REF!))</formula>
    </cfRule>
  </conditionalFormatting>
  <conditionalFormatting sqref="A40:C40">
    <cfRule type="expression" dxfId="78" priority="1">
      <formula>ISNUMBER(SEARCH(TEXT(#REF!,"ddd"),#REF!))</formula>
    </cfRule>
  </conditionalFormatting>
  <dataValidations count="2">
    <dataValidation type="custom" allowBlank="1" showInputMessage="1" showErrorMessage="1" sqref="C10 C17" xr:uid="{AA08FD81-67E4-4C18-9F01-496747610811}">
      <formula1>AND($C10&lt;=1,ISNUMBER($C10),($C10&gt;=$B10))</formula1>
    </dataValidation>
    <dataValidation type="custom" allowBlank="1" showInputMessage="1" showErrorMessage="1" sqref="C18 B10:B18 C11:C16 B40:C40" xr:uid="{ED89D210-CBBD-49B6-BC04-24F7FFBEFED2}">
      <formula1>AND($B10&lt;=1,ISNUMBER($B10))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8B249-5C3A-4025-AA9C-15EB5A705EC8}">
  <sheetPr codeName="Sheet20">
    <pageSetUpPr fitToPage="1"/>
  </sheetPr>
  <dimension ref="A1:K79"/>
  <sheetViews>
    <sheetView showGridLines="0" topLeftCell="A28" zoomScaleNormal="100" workbookViewId="0">
      <selection activeCell="H39" sqref="H39"/>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14</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43920</v>
      </c>
      <c r="B3" s="154"/>
      <c r="C3" s="103">
        <f>A30</f>
        <v>43925</v>
      </c>
      <c r="D3" s="154"/>
      <c r="E3" s="34" t="s">
        <v>6</v>
      </c>
      <c r="F3" s="149">
        <f>Sumcolor(E3,D10:D32)</f>
        <v>1.7361111111111049E-2</v>
      </c>
      <c r="G3" s="147">
        <f>SUM(Først:Sist!F3)</f>
        <v>0.62499999999999989</v>
      </c>
      <c r="H3" s="22"/>
      <c r="I3" s="7"/>
      <c r="J3" s="7"/>
    </row>
    <row r="4" spans="1:10" ht="15" customHeight="1" x14ac:dyDescent="0.2">
      <c r="A4" s="192" t="s">
        <v>7</v>
      </c>
      <c r="B4" s="192"/>
      <c r="C4" s="201" t="s">
        <v>8</v>
      </c>
      <c r="D4" s="201"/>
      <c r="E4" s="35" t="s">
        <v>9</v>
      </c>
      <c r="F4" s="149">
        <f>Sumcolor(E4,D10:D32)</f>
        <v>0.11111111111111116</v>
      </c>
      <c r="G4" s="147">
        <f>SUM(Først:Sist!F4)</f>
        <v>2.7604166666666665</v>
      </c>
      <c r="H4" s="22"/>
      <c r="I4" s="7"/>
      <c r="J4" s="190"/>
    </row>
    <row r="5" spans="1:10" ht="15.75" x14ac:dyDescent="0.2">
      <c r="A5" s="201"/>
      <c r="B5" s="201"/>
      <c r="C5" s="201"/>
      <c r="D5" s="201"/>
      <c r="E5" s="36" t="s">
        <v>10</v>
      </c>
      <c r="F5" s="149">
        <f>Sumcolor(E5,D10:D32)</f>
        <v>7.9861111111110938E-2</v>
      </c>
      <c r="G5" s="147">
        <f>SUM(Først:Sist!F5)</f>
        <v>1.1701388888888882</v>
      </c>
      <c r="H5" s="22"/>
      <c r="I5" s="7"/>
      <c r="J5" s="190"/>
    </row>
    <row r="6" spans="1:10" ht="18.75" customHeight="1" thickBot="1" x14ac:dyDescent="0.25">
      <c r="A6" s="150">
        <f>SUM(D10:D32)</f>
        <v>0.34027777777777757</v>
      </c>
      <c r="B6" s="43"/>
      <c r="C6" s="151">
        <f>SUM(Først:Sist!A6)</f>
        <v>6.8680555555555571</v>
      </c>
      <c r="D6" s="44"/>
      <c r="E6" s="37" t="s">
        <v>11</v>
      </c>
      <c r="F6" s="148">
        <f>Sumcolor(E6,D10:D32)</f>
        <v>0.13194444444444442</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6.5" thickBot="1" x14ac:dyDescent="0.3">
      <c r="A10" s="104">
        <v>43920</v>
      </c>
      <c r="B10" s="87">
        <v>0.58680555555555558</v>
      </c>
      <c r="C10" s="87">
        <v>0.59722222222222221</v>
      </c>
      <c r="D10" s="88">
        <f t="shared" ref="D10" si="0">(C10-B10)</f>
        <v>1.041666666666663E-2</v>
      </c>
      <c r="E10" s="225" t="s">
        <v>127</v>
      </c>
      <c r="F10" s="225"/>
      <c r="G10" s="263"/>
      <c r="H10" s="25"/>
    </row>
    <row r="11" spans="1:10" ht="16.5" thickBot="1" x14ac:dyDescent="0.3">
      <c r="A11" s="105"/>
      <c r="B11" s="92"/>
      <c r="C11" s="92"/>
      <c r="D11" s="93"/>
      <c r="E11" s="226"/>
      <c r="F11" s="226"/>
      <c r="G11" s="264"/>
      <c r="H11" s="25"/>
      <c r="J11" s="168">
        <v>4.5138888888888888E-2</v>
      </c>
    </row>
    <row r="12" spans="1:10" ht="15.75" customHeight="1" thickBot="1" x14ac:dyDescent="0.3">
      <c r="A12" s="109">
        <v>43920</v>
      </c>
      <c r="B12" s="100">
        <v>0.625</v>
      </c>
      <c r="C12" s="100">
        <v>0.64583333333333337</v>
      </c>
      <c r="D12" s="88">
        <f>(C12-B12)</f>
        <v>2.083333333333337E-2</v>
      </c>
      <c r="E12" s="283" t="s">
        <v>128</v>
      </c>
      <c r="F12" s="283"/>
      <c r="G12" s="263"/>
      <c r="J12" s="170">
        <v>4.8611111111111112E-2</v>
      </c>
    </row>
    <row r="13" spans="1:10" ht="16.5" thickBot="1" x14ac:dyDescent="0.3">
      <c r="A13" s="152"/>
      <c r="B13" s="153"/>
      <c r="C13" s="153"/>
      <c r="D13" s="139"/>
      <c r="E13" s="284"/>
      <c r="F13" s="284"/>
      <c r="G13" s="264"/>
      <c r="J13" s="123">
        <v>0.10069444444444443</v>
      </c>
    </row>
    <row r="14" spans="1:10" ht="15.75" customHeight="1" thickBot="1" x14ac:dyDescent="0.3">
      <c r="A14" s="109">
        <v>43921</v>
      </c>
      <c r="B14" s="100">
        <v>0.54513888888888895</v>
      </c>
      <c r="C14" s="100">
        <v>0.55902777777777779</v>
      </c>
      <c r="D14" s="88">
        <f>(C14-B14)</f>
        <v>1.388888888888884E-2</v>
      </c>
      <c r="E14" s="239" t="s">
        <v>133</v>
      </c>
      <c r="F14" s="239"/>
      <c r="G14" s="263"/>
      <c r="J14" s="166">
        <v>3.125E-2</v>
      </c>
    </row>
    <row r="15" spans="1:10" ht="16.5" thickBot="1" x14ac:dyDescent="0.3">
      <c r="A15" s="137"/>
      <c r="B15" s="138"/>
      <c r="C15" s="138"/>
      <c r="D15" s="139"/>
      <c r="E15" s="240"/>
      <c r="F15" s="240"/>
      <c r="G15" s="264"/>
      <c r="J15" s="123">
        <v>3.8194444444444441E-2</v>
      </c>
    </row>
    <row r="16" spans="1:10" ht="15.75" customHeight="1" thickBot="1" x14ac:dyDescent="0.3">
      <c r="A16" s="106">
        <v>43921</v>
      </c>
      <c r="B16" s="94">
        <v>0.55902777777777779</v>
      </c>
      <c r="C16" s="94">
        <v>0.59375</v>
      </c>
      <c r="D16" s="99">
        <f>(C16-B16)</f>
        <v>3.472222222222221E-2</v>
      </c>
      <c r="E16" s="229" t="s">
        <v>129</v>
      </c>
      <c r="F16" s="229"/>
      <c r="G16" s="263"/>
      <c r="J16" s="173">
        <v>3.8194444444444441E-2</v>
      </c>
    </row>
    <row r="17" spans="1:11" ht="16.5" thickBot="1" x14ac:dyDescent="0.3">
      <c r="A17" s="107"/>
      <c r="B17" s="96"/>
      <c r="C17" s="96"/>
      <c r="D17" s="76"/>
      <c r="E17" s="230"/>
      <c r="F17" s="230"/>
      <c r="G17" s="264"/>
      <c r="J17" s="123">
        <v>3.8194444444444441E-2</v>
      </c>
    </row>
    <row r="18" spans="1:11" ht="16.5" thickBot="1" x14ac:dyDescent="0.3">
      <c r="A18" s="131">
        <v>43921</v>
      </c>
      <c r="B18" s="132">
        <v>0.59375</v>
      </c>
      <c r="C18" s="132">
        <v>0.60416666666666663</v>
      </c>
      <c r="D18" s="140">
        <f>(C18-B18)</f>
        <v>1.041666666666663E-2</v>
      </c>
      <c r="E18" s="231" t="s">
        <v>130</v>
      </c>
      <c r="F18" s="231"/>
      <c r="G18" s="263" t="s">
        <v>131</v>
      </c>
      <c r="J18" s="166">
        <v>3.125E-2</v>
      </c>
    </row>
    <row r="19" spans="1:11" ht="16.5" thickBot="1" x14ac:dyDescent="0.3">
      <c r="A19" s="142"/>
      <c r="B19" s="143"/>
      <c r="C19" s="143"/>
      <c r="D19" s="141"/>
      <c r="E19" s="232"/>
      <c r="F19" s="232"/>
      <c r="G19" s="264"/>
      <c r="I19" s="8"/>
      <c r="J19" s="123">
        <v>3.125E-2</v>
      </c>
      <c r="K19" s="8"/>
    </row>
    <row r="20" spans="1:11" ht="15.75" customHeight="1" thickBot="1" x14ac:dyDescent="0.3">
      <c r="A20" s="106">
        <v>43921</v>
      </c>
      <c r="B20" s="94">
        <v>0.75</v>
      </c>
      <c r="C20" s="94">
        <v>0.84722222222222221</v>
      </c>
      <c r="D20" s="99">
        <f t="shared" ref="D20" si="1">(C20-B20)</f>
        <v>9.722222222222221E-2</v>
      </c>
      <c r="E20" s="229" t="s">
        <v>132</v>
      </c>
      <c r="F20" s="229"/>
      <c r="G20" s="263"/>
      <c r="H20" s="8"/>
      <c r="I20" s="8"/>
      <c r="J20" s="86">
        <v>2.0833333333333332E-2</v>
      </c>
      <c r="K20" s="8"/>
    </row>
    <row r="21" spans="1:11" ht="16.5" thickBot="1" x14ac:dyDescent="0.3">
      <c r="A21" s="111"/>
      <c r="B21" s="75"/>
      <c r="C21" s="75"/>
      <c r="D21" s="76"/>
      <c r="E21" s="230"/>
      <c r="F21" s="230"/>
      <c r="G21" s="264"/>
      <c r="H21" s="8"/>
      <c r="I21" s="8"/>
      <c r="J21" s="123">
        <v>3.125E-2</v>
      </c>
      <c r="K21" s="8"/>
    </row>
    <row r="22" spans="1:11" ht="15.75" customHeight="1" thickBot="1" x14ac:dyDescent="0.3">
      <c r="A22" s="109">
        <v>43923</v>
      </c>
      <c r="B22" s="100">
        <v>0.58680555555555558</v>
      </c>
      <c r="C22" s="100">
        <v>0.60416666666666663</v>
      </c>
      <c r="D22" s="101">
        <f t="shared" ref="D22" si="2">(C22-B22)</f>
        <v>1.7361111111111049E-2</v>
      </c>
      <c r="E22" s="239" t="s">
        <v>133</v>
      </c>
      <c r="F22" s="239"/>
      <c r="G22" s="263"/>
      <c r="H22" s="9"/>
      <c r="I22" s="9"/>
      <c r="J22" s="86">
        <v>6.9444444444444434E-2</v>
      </c>
      <c r="K22" s="8"/>
    </row>
    <row r="23" spans="1:11" ht="18.75" customHeight="1" thickBot="1" x14ac:dyDescent="0.3">
      <c r="A23" s="110"/>
      <c r="B23" s="90"/>
      <c r="C23" s="90"/>
      <c r="D23" s="91"/>
      <c r="E23" s="240"/>
      <c r="F23" s="240"/>
      <c r="G23" s="264"/>
      <c r="H23" s="10"/>
      <c r="I23" s="10"/>
      <c r="J23" s="123">
        <v>0.13194444444444445</v>
      </c>
      <c r="K23" s="8"/>
    </row>
    <row r="24" spans="1:11" ht="12.75" customHeight="1" thickBot="1" x14ac:dyDescent="0.3">
      <c r="A24" s="174">
        <v>43923</v>
      </c>
      <c r="B24" s="175">
        <v>0.60763888888888895</v>
      </c>
      <c r="C24" s="175">
        <v>0.625</v>
      </c>
      <c r="D24" s="176">
        <f t="shared" ref="D24" si="3">(C24-B24)</f>
        <v>1.7361111111111049E-2</v>
      </c>
      <c r="E24" s="287" t="s">
        <v>134</v>
      </c>
      <c r="F24" s="287"/>
      <c r="G24" s="263"/>
      <c r="H24" s="29"/>
      <c r="J24" s="86">
        <v>2.0833333333333332E-2</v>
      </c>
      <c r="K24" s="8"/>
    </row>
    <row r="25" spans="1:11" ht="21.75" customHeight="1" thickBot="1" x14ac:dyDescent="0.3">
      <c r="A25" s="177"/>
      <c r="B25" s="178"/>
      <c r="C25" s="178"/>
      <c r="D25" s="179"/>
      <c r="E25" s="288"/>
      <c r="F25" s="288"/>
      <c r="G25" s="264"/>
      <c r="H25" s="29"/>
      <c r="J25" s="123">
        <v>1.3888888888888888E-2</v>
      </c>
      <c r="K25" s="9"/>
    </row>
    <row r="26" spans="1:11" ht="12.75" customHeight="1" thickBot="1" x14ac:dyDescent="0.3">
      <c r="A26" s="131">
        <v>43923</v>
      </c>
      <c r="B26" s="132">
        <v>0.625</v>
      </c>
      <c r="C26" s="132">
        <v>0.67708333333333337</v>
      </c>
      <c r="D26" s="140">
        <f t="shared" ref="D26" si="4">(C26-B26)</f>
        <v>5.208333333333337E-2</v>
      </c>
      <c r="E26" s="235" t="s">
        <v>135</v>
      </c>
      <c r="F26" s="235"/>
      <c r="G26" s="263" t="s">
        <v>136</v>
      </c>
      <c r="H26" s="29"/>
      <c r="J26" s="86">
        <v>4.5138888888888888E-2</v>
      </c>
      <c r="K26" s="11"/>
    </row>
    <row r="27" spans="1:11" ht="19.5" customHeight="1" thickBot="1" x14ac:dyDescent="0.3">
      <c r="A27" s="142"/>
      <c r="B27" s="143"/>
      <c r="C27" s="143"/>
      <c r="D27" s="141"/>
      <c r="E27" s="236"/>
      <c r="F27" s="236"/>
      <c r="G27" s="264"/>
      <c r="H27" s="29"/>
      <c r="J27" s="123">
        <v>4.1666666666666664E-2</v>
      </c>
      <c r="K27" s="7"/>
    </row>
    <row r="28" spans="1:11" ht="12.75" customHeight="1" thickBot="1" x14ac:dyDescent="0.3">
      <c r="A28" s="131">
        <v>43923</v>
      </c>
      <c r="B28" s="132">
        <v>0.79166666666666663</v>
      </c>
      <c r="C28" s="132">
        <v>0.84027777777777779</v>
      </c>
      <c r="D28" s="140">
        <f t="shared" ref="D28" si="5">(C28-B28)</f>
        <v>4.861111111111116E-2</v>
      </c>
      <c r="E28" s="235" t="s">
        <v>135</v>
      </c>
      <c r="F28" s="235"/>
      <c r="G28" s="263" t="s">
        <v>136</v>
      </c>
      <c r="H28" s="29"/>
      <c r="J28" s="86">
        <v>8.3333333333333329E-2</v>
      </c>
    </row>
    <row r="29" spans="1:11" ht="20.25" customHeight="1" thickBot="1" x14ac:dyDescent="0.3">
      <c r="A29" s="142"/>
      <c r="B29" s="143"/>
      <c r="C29" s="143"/>
      <c r="D29" s="141"/>
      <c r="E29" s="236"/>
      <c r="F29" s="236"/>
      <c r="G29" s="264"/>
      <c r="H29" s="29"/>
      <c r="J29" s="123">
        <v>0.10416666666666667</v>
      </c>
    </row>
    <row r="30" spans="1:11" ht="12.75" customHeight="1" thickBot="1" x14ac:dyDescent="0.3">
      <c r="A30" s="112">
        <v>43925</v>
      </c>
      <c r="B30" s="78">
        <v>0.58680555555555558</v>
      </c>
      <c r="C30" s="78">
        <v>0.60416666666666663</v>
      </c>
      <c r="D30" s="102">
        <f t="shared" ref="D30" si="6">(C30-B30)</f>
        <v>1.7361111111111049E-2</v>
      </c>
      <c r="E30" s="239" t="s">
        <v>133</v>
      </c>
      <c r="F30" s="239"/>
      <c r="G30" s="263"/>
      <c r="H30" s="29"/>
      <c r="J30" s="86">
        <v>2.0833333333333332E-2</v>
      </c>
    </row>
    <row r="31" spans="1:11" ht="23.25" customHeight="1" thickBot="1" x14ac:dyDescent="0.3">
      <c r="A31" s="110"/>
      <c r="B31" s="90"/>
      <c r="C31" s="90"/>
      <c r="D31" s="91"/>
      <c r="E31" s="240"/>
      <c r="F31" s="240"/>
      <c r="G31" s="264"/>
      <c r="H31" s="29"/>
      <c r="J31" s="85">
        <v>6.25E-2</v>
      </c>
    </row>
    <row r="32" spans="1:11" ht="17.25" customHeight="1" thickBot="1" x14ac:dyDescent="0.3">
      <c r="A32" s="144"/>
      <c r="B32" s="85"/>
      <c r="C32" s="85"/>
      <c r="D32" s="63"/>
      <c r="E32" s="163"/>
      <c r="F32" s="163"/>
      <c r="G32" s="164"/>
      <c r="H32" s="29"/>
      <c r="J32" s="86">
        <v>6.25E-2</v>
      </c>
    </row>
    <row r="33" spans="1:10" ht="17.25" customHeight="1" thickBot="1" x14ac:dyDescent="0.4">
      <c r="A33" s="222" t="s">
        <v>21</v>
      </c>
      <c r="B33" s="222"/>
      <c r="C33" s="27"/>
      <c r="D33" s="27"/>
      <c r="E33" s="27"/>
      <c r="F33" s="114"/>
      <c r="G33" s="114"/>
      <c r="H33" s="29"/>
      <c r="J33" s="168">
        <v>8.3333333333333329E-2</v>
      </c>
    </row>
    <row r="34" spans="1:10" ht="17.25" customHeight="1" thickBot="1" x14ac:dyDescent="0.3">
      <c r="A34" s="5"/>
      <c r="B34" s="15"/>
      <c r="C34" s="16"/>
      <c r="D34" s="17"/>
      <c r="E34" s="18"/>
      <c r="F34" s="30"/>
      <c r="G34" s="30"/>
      <c r="H34" s="29"/>
      <c r="J34" s="170">
        <v>0.15625</v>
      </c>
    </row>
    <row r="35" spans="1:10" ht="17.25" customHeight="1" x14ac:dyDescent="0.25">
      <c r="A35" s="286" t="s">
        <v>137</v>
      </c>
      <c r="B35" s="272"/>
      <c r="C35" s="272"/>
      <c r="D35" s="272"/>
      <c r="E35" s="272"/>
      <c r="F35" s="272"/>
      <c r="G35" s="273"/>
      <c r="H35" s="29"/>
      <c r="J35" s="123">
        <v>7.6388888888888895E-2</v>
      </c>
    </row>
    <row r="36" spans="1:10" ht="17.25" customHeight="1" thickBot="1" x14ac:dyDescent="0.3">
      <c r="A36" s="274"/>
      <c r="B36" s="275"/>
      <c r="C36" s="275"/>
      <c r="D36" s="275"/>
      <c r="E36" s="275"/>
      <c r="F36" s="275"/>
      <c r="G36" s="276"/>
      <c r="H36" s="29"/>
      <c r="J36" s="166">
        <v>7.6388888888888895E-2</v>
      </c>
    </row>
    <row r="37" spans="1:10" ht="17.25" customHeight="1" x14ac:dyDescent="0.25">
      <c r="A37" s="274"/>
      <c r="B37" s="275"/>
      <c r="C37" s="275"/>
      <c r="D37" s="275"/>
      <c r="E37" s="275"/>
      <c r="F37" s="275"/>
      <c r="G37" s="276"/>
      <c r="H37" s="29"/>
      <c r="J37" s="123">
        <v>1.0416666666666666E-2</v>
      </c>
    </row>
    <row r="38" spans="1:10" ht="17.25" customHeight="1" thickBot="1" x14ac:dyDescent="0.3">
      <c r="A38" s="274"/>
      <c r="B38" s="275"/>
      <c r="C38" s="275"/>
      <c r="D38" s="275"/>
      <c r="E38" s="275"/>
      <c r="F38" s="275"/>
      <c r="G38" s="276"/>
      <c r="H38" s="29"/>
      <c r="J38" s="173">
        <v>1.3888888888888888E-2</v>
      </c>
    </row>
    <row r="39" spans="1:10" ht="17.25" customHeight="1" x14ac:dyDescent="0.25">
      <c r="A39" s="274"/>
      <c r="B39" s="275"/>
      <c r="C39" s="275"/>
      <c r="D39" s="275"/>
      <c r="E39" s="275"/>
      <c r="F39" s="275"/>
      <c r="G39" s="276"/>
      <c r="H39" s="29"/>
      <c r="J39" s="123">
        <v>6.9444444444444441E-3</v>
      </c>
    </row>
    <row r="40" spans="1:10" ht="17.25" customHeight="1" thickBot="1" x14ac:dyDescent="0.3">
      <c r="A40" s="274"/>
      <c r="B40" s="275"/>
      <c r="C40" s="275"/>
      <c r="D40" s="275"/>
      <c r="E40" s="275"/>
      <c r="F40" s="275"/>
      <c r="G40" s="276"/>
      <c r="H40" s="29"/>
      <c r="J40" s="166">
        <v>2.4305555555555556E-2</v>
      </c>
    </row>
    <row r="41" spans="1:10" ht="17.25" customHeight="1" x14ac:dyDescent="0.25">
      <c r="A41" s="274"/>
      <c r="B41" s="275"/>
      <c r="C41" s="275"/>
      <c r="D41" s="275"/>
      <c r="E41" s="275"/>
      <c r="F41" s="275"/>
      <c r="G41" s="276"/>
      <c r="H41" s="29"/>
      <c r="J41" s="123">
        <v>9.0277777777777776E-2</v>
      </c>
    </row>
    <row r="42" spans="1:10" ht="17.25" customHeight="1" thickBot="1" x14ac:dyDescent="0.3">
      <c r="A42" s="274"/>
      <c r="B42" s="275"/>
      <c r="C42" s="275"/>
      <c r="D42" s="275"/>
      <c r="E42" s="275"/>
      <c r="F42" s="275"/>
      <c r="G42" s="276"/>
      <c r="H42" s="29"/>
      <c r="J42" s="86">
        <v>2.0833333333333332E-2</v>
      </c>
    </row>
    <row r="43" spans="1:10" ht="17.25" customHeight="1" x14ac:dyDescent="0.25">
      <c r="A43" s="274"/>
      <c r="B43" s="275"/>
      <c r="C43" s="275"/>
      <c r="D43" s="275"/>
      <c r="E43" s="275"/>
      <c r="F43" s="275"/>
      <c r="G43" s="276"/>
      <c r="H43" s="29"/>
      <c r="J43" s="123">
        <v>2.4305555555555556E-2</v>
      </c>
    </row>
    <row r="44" spans="1:10" ht="17.25" customHeight="1" thickBot="1" x14ac:dyDescent="0.3">
      <c r="A44" s="274"/>
      <c r="B44" s="275"/>
      <c r="C44" s="275"/>
      <c r="D44" s="275"/>
      <c r="E44" s="275"/>
      <c r="F44" s="275"/>
      <c r="G44" s="276"/>
      <c r="H44" s="29"/>
      <c r="J44" s="86">
        <v>5.9027777777777783E-2</v>
      </c>
    </row>
    <row r="45" spans="1:10" ht="17.25" customHeight="1" x14ac:dyDescent="0.25">
      <c r="A45" s="274"/>
      <c r="B45" s="275"/>
      <c r="C45" s="275"/>
      <c r="D45" s="275"/>
      <c r="E45" s="275"/>
      <c r="F45" s="275"/>
      <c r="G45" s="276"/>
      <c r="H45" s="29"/>
      <c r="J45" s="123">
        <v>7.2916666666666671E-2</v>
      </c>
    </row>
    <row r="46" spans="1:10" ht="17.25" customHeight="1" thickBot="1" x14ac:dyDescent="0.3">
      <c r="A46" s="274"/>
      <c r="B46" s="275"/>
      <c r="C46" s="275"/>
      <c r="D46" s="275"/>
      <c r="E46" s="275"/>
      <c r="F46" s="275"/>
      <c r="G46" s="276"/>
      <c r="H46" s="29"/>
      <c r="J46" s="86">
        <v>1.7361111111111112E-2</v>
      </c>
    </row>
    <row r="47" spans="1:10" ht="15.75" x14ac:dyDescent="0.25">
      <c r="A47" s="274"/>
      <c r="B47" s="275"/>
      <c r="C47" s="275"/>
      <c r="D47" s="275"/>
      <c r="E47" s="275"/>
      <c r="F47" s="275"/>
      <c r="G47" s="276"/>
      <c r="H47" s="29"/>
      <c r="J47" s="123">
        <v>6.9444444444444441E-3</v>
      </c>
    </row>
    <row r="48" spans="1:10" ht="129.75" customHeight="1" thickBot="1" x14ac:dyDescent="0.3">
      <c r="A48" s="277"/>
      <c r="B48" s="278"/>
      <c r="C48" s="278"/>
      <c r="D48" s="278"/>
      <c r="E48" s="278"/>
      <c r="F48" s="278"/>
      <c r="G48" s="279"/>
      <c r="H48" s="29"/>
      <c r="J48" s="86">
        <v>0.12430555555555556</v>
      </c>
    </row>
    <row r="49" spans="10:11" ht="13.5" customHeight="1" thickBot="1" x14ac:dyDescent="0.3">
      <c r="J49" s="123">
        <v>1.8055555555555557E-2</v>
      </c>
    </row>
    <row r="50" spans="10:11" ht="12.75" customHeight="1" x14ac:dyDescent="0.25">
      <c r="J50" s="168">
        <v>8.3333333333333329E-2</v>
      </c>
    </row>
    <row r="51" spans="10:11" ht="12.75" customHeight="1" thickBot="1" x14ac:dyDescent="0.3">
      <c r="J51" s="170">
        <v>8.3333333333333329E-2</v>
      </c>
    </row>
    <row r="52" spans="10:11" ht="12.75" customHeight="1" x14ac:dyDescent="0.25">
      <c r="J52" s="123">
        <v>1.0416666666666666E-2</v>
      </c>
    </row>
    <row r="53" spans="10:11" ht="10.5" customHeight="1" thickBot="1" x14ac:dyDescent="0.3">
      <c r="J53" s="166">
        <v>5.2083333333333336E-2</v>
      </c>
    </row>
    <row r="54" spans="10:11" ht="21" customHeight="1" x14ac:dyDescent="0.25">
      <c r="J54" s="123">
        <v>4.8611111111111112E-2</v>
      </c>
    </row>
    <row r="55" spans="10:11" ht="21" customHeight="1" thickBot="1" x14ac:dyDescent="0.3">
      <c r="J55" s="173">
        <v>3.125E-2</v>
      </c>
    </row>
    <row r="56" spans="10:11" ht="12.75" customHeight="1" x14ac:dyDescent="0.25">
      <c r="J56" s="123">
        <v>7.6388888888888895E-2</v>
      </c>
    </row>
    <row r="57" spans="10:11" ht="12.75" customHeight="1" thickBot="1" x14ac:dyDescent="0.3">
      <c r="J57" s="166">
        <v>8.3333333333333329E-2</v>
      </c>
    </row>
    <row r="58" spans="10:11" ht="18.75" customHeight="1" x14ac:dyDescent="0.25">
      <c r="J58" s="123">
        <v>0.1076388888888889</v>
      </c>
    </row>
    <row r="59" spans="10:11" ht="12.75" customHeight="1" thickBot="1" x14ac:dyDescent="0.3">
      <c r="J59" s="86"/>
    </row>
    <row r="60" spans="10:11" ht="12.75" customHeight="1" x14ac:dyDescent="0.25">
      <c r="J60" s="123">
        <f>SUM(J11:J58)</f>
        <v>2.5694444444444442</v>
      </c>
      <c r="K60" s="21">
        <f>J60/7</f>
        <v>0.36706349206349204</v>
      </c>
    </row>
    <row r="61" spans="10:11" ht="12.75" customHeight="1" thickBot="1" x14ac:dyDescent="0.3">
      <c r="J61" s="86"/>
    </row>
    <row r="62" spans="10:11" ht="12.75" customHeight="1" x14ac:dyDescent="0.25">
      <c r="J62" s="123"/>
    </row>
    <row r="63" spans="10:11" ht="16.5" customHeight="1" thickBot="1" x14ac:dyDescent="0.3">
      <c r="J63" s="86"/>
    </row>
    <row r="64" spans="10:11" ht="12.75" customHeight="1" x14ac:dyDescent="0.25">
      <c r="J64" s="123"/>
    </row>
    <row r="65" spans="10:10" ht="12.75" customHeight="1" thickBot="1" x14ac:dyDescent="0.3">
      <c r="J65" s="86"/>
    </row>
    <row r="66" spans="10:10" ht="12.75" customHeight="1" x14ac:dyDescent="0.25">
      <c r="J66" s="123"/>
    </row>
    <row r="67" spans="10:10" ht="12.75" customHeight="1" thickBot="1" x14ac:dyDescent="0.3">
      <c r="J67" s="86"/>
    </row>
    <row r="68" spans="10:10" ht="12.75" customHeight="1" x14ac:dyDescent="0.25">
      <c r="J68" s="123"/>
    </row>
    <row r="69" spans="10:10" ht="16.5" customHeight="1" thickBot="1" x14ac:dyDescent="0.3">
      <c r="J69" s="86"/>
    </row>
    <row r="70" spans="10:10" ht="12.75" customHeight="1" x14ac:dyDescent="0.25">
      <c r="J70" s="85"/>
    </row>
    <row r="71" spans="10:10" ht="13.5" customHeight="1" x14ac:dyDescent="0.2"/>
    <row r="72" spans="10:10" ht="12.75" customHeight="1" x14ac:dyDescent="0.2"/>
    <row r="73" spans="10:10" ht="12.75" customHeight="1" x14ac:dyDescent="0.2"/>
    <row r="74" spans="10:10" ht="12.75" customHeight="1" x14ac:dyDescent="0.2"/>
    <row r="75" spans="10:10" ht="12.75" customHeight="1" x14ac:dyDescent="0.2"/>
    <row r="76" spans="10:10" ht="12.75" customHeight="1" x14ac:dyDescent="0.2"/>
    <row r="77" spans="10:10" ht="12.75" customHeight="1" x14ac:dyDescent="0.2"/>
    <row r="78" spans="10:10" ht="12.75" customHeight="1" x14ac:dyDescent="0.2"/>
    <row r="79" spans="10:10" ht="13.5" customHeight="1" x14ac:dyDescent="0.2"/>
  </sheetData>
  <mergeCells count="28">
    <mergeCell ref="E30:F31"/>
    <mergeCell ref="G30:G31"/>
    <mergeCell ref="A33:B33"/>
    <mergeCell ref="A35:G48"/>
    <mergeCell ref="E24:F25"/>
    <mergeCell ref="G24:G25"/>
    <mergeCell ref="E26:F27"/>
    <mergeCell ref="G26:G27"/>
    <mergeCell ref="E28:F29"/>
    <mergeCell ref="G28:G29"/>
    <mergeCell ref="E18:F19"/>
    <mergeCell ref="G18:G19"/>
    <mergeCell ref="E20:F21"/>
    <mergeCell ref="G20:G21"/>
    <mergeCell ref="E22:F23"/>
    <mergeCell ref="G22:G23"/>
    <mergeCell ref="E12:F13"/>
    <mergeCell ref="G12:G13"/>
    <mergeCell ref="E14:F15"/>
    <mergeCell ref="G14:G15"/>
    <mergeCell ref="E16:F17"/>
    <mergeCell ref="G16:G17"/>
    <mergeCell ref="A1:D1"/>
    <mergeCell ref="A4:B5"/>
    <mergeCell ref="C4:D5"/>
    <mergeCell ref="J4:J5"/>
    <mergeCell ref="E10:F11"/>
    <mergeCell ref="G10:G11"/>
  </mergeCells>
  <conditionalFormatting sqref="H20:I21 I19">
    <cfRule type="expression" dxfId="77" priority="18">
      <formula>ISNUMBER(SEARCH(TEXT(#REF!,"ddd"),#REF!))</formula>
    </cfRule>
  </conditionalFormatting>
  <conditionalFormatting sqref="A10:D12 A16:D17 A18:C18 A20:C20 A22:C22 A24:C24 A26:C26 A28:C28 A30:C30">
    <cfRule type="expression" dxfId="76" priority="19">
      <formula>ISNUMBER(SEARCH(TEXT(#REF!,"ddd"),#REF!))</formula>
    </cfRule>
  </conditionalFormatting>
  <conditionalFormatting sqref="K19:K24">
    <cfRule type="expression" dxfId="75" priority="20">
      <formula>ISNUMBER(SEARCH(TEXT(#REF!,"ddd"),#REF!))</formula>
    </cfRule>
  </conditionalFormatting>
  <conditionalFormatting sqref="D14">
    <cfRule type="expression" dxfId="74" priority="17">
      <formula>ISNUMBER(SEARCH(TEXT(#REF!,"ddd"),#REF!))</formula>
    </cfRule>
  </conditionalFormatting>
  <conditionalFormatting sqref="A14:C14">
    <cfRule type="expression" dxfId="73" priority="14">
      <formula>ISNUMBER(SEARCH(TEXT(#REF!,"ddd"),#REF!))</formula>
    </cfRule>
  </conditionalFormatting>
  <conditionalFormatting sqref="A13:D13">
    <cfRule type="expression" dxfId="72" priority="16">
      <formula>ISNUMBER(SEARCH(TEXT(#REF!,"ddd"),#REF!))</formula>
    </cfRule>
  </conditionalFormatting>
  <conditionalFormatting sqref="A15:D15 A32:C32">
    <cfRule type="expression" dxfId="71" priority="15">
      <formula>ISNUMBER(SEARCH(TEXT(#REF!,"ddd"),#REF!))</formula>
    </cfRule>
  </conditionalFormatting>
  <conditionalFormatting sqref="J11:J13 J17:J19 J21 J23 J25 J27 J29 J31">
    <cfRule type="expression" dxfId="70" priority="12">
      <formula>ISNUMBER(SEARCH(TEXT(#REF!,"ddd"),#REF!))</formula>
    </cfRule>
  </conditionalFormatting>
  <conditionalFormatting sqref="J15">
    <cfRule type="expression" dxfId="69" priority="9">
      <formula>ISNUMBER(SEARCH(TEXT(#REF!,"ddd"),#REF!))</formula>
    </cfRule>
  </conditionalFormatting>
  <conditionalFormatting sqref="J14">
    <cfRule type="expression" dxfId="68" priority="11">
      <formula>ISNUMBER(SEARCH(TEXT(#REF!,"ddd"),#REF!))</formula>
    </cfRule>
  </conditionalFormatting>
  <conditionalFormatting sqref="J16">
    <cfRule type="expression" dxfId="67" priority="10">
      <formula>ISNUMBER(SEARCH(TEXT(#REF!,"ddd"),#REF!))</formula>
    </cfRule>
  </conditionalFormatting>
  <conditionalFormatting sqref="J33:J35 J39:J41 J43 J45 J47 J49">
    <cfRule type="expression" dxfId="66" priority="8">
      <formula>ISNUMBER(SEARCH(TEXT(#REF!,"ddd"),#REF!))</formula>
    </cfRule>
  </conditionalFormatting>
  <conditionalFormatting sqref="J37">
    <cfRule type="expression" dxfId="65" priority="5">
      <formula>ISNUMBER(SEARCH(TEXT(#REF!,"ddd"),#REF!))</formula>
    </cfRule>
  </conditionalFormatting>
  <conditionalFormatting sqref="J36">
    <cfRule type="expression" dxfId="64" priority="7">
      <formula>ISNUMBER(SEARCH(TEXT(#REF!,"ddd"),#REF!))</formula>
    </cfRule>
  </conditionalFormatting>
  <conditionalFormatting sqref="J38">
    <cfRule type="expression" dxfId="63" priority="6">
      <formula>ISNUMBER(SEARCH(TEXT(#REF!,"ddd"),#REF!))</formula>
    </cfRule>
  </conditionalFormatting>
  <conditionalFormatting sqref="J50:J52 J56:J58 J60 J62 J64 J66 J68 J70">
    <cfRule type="expression" dxfId="62" priority="4">
      <formula>ISNUMBER(SEARCH(TEXT(#REF!,"ddd"),#REF!))</formula>
    </cfRule>
  </conditionalFormatting>
  <conditionalFormatting sqref="J54">
    <cfRule type="expression" dxfId="61" priority="1">
      <formula>ISNUMBER(SEARCH(TEXT(#REF!,"ddd"),#REF!))</formula>
    </cfRule>
  </conditionalFormatting>
  <conditionalFormatting sqref="J53">
    <cfRule type="expression" dxfId="60" priority="3">
      <formula>ISNUMBER(SEARCH(TEXT(#REF!,"ddd"),#REF!))</formula>
    </cfRule>
  </conditionalFormatting>
  <conditionalFormatting sqref="J55">
    <cfRule type="expression" dxfId="59" priority="2">
      <formula>ISNUMBER(SEARCH(TEXT(#REF!,"ddd"),#REF!))</formula>
    </cfRule>
  </conditionalFormatting>
  <dataValidations count="2">
    <dataValidation type="custom" allowBlank="1" showInputMessage="1" showErrorMessage="1" sqref="C18 B10:B18 C11:C16 B20:C20 B22:C22 B24:C24 B26:C26 B28:C28 B30:C30 B32:C32 J11:J19 J21 J23 J25 J27 J29 J31 J33:J41 J43 J45 J47 J49:J58 J60 J62 J64 J66 J68 J70" xr:uid="{102C1DA9-9CAB-4372-A291-49B2D5AF5C78}">
      <formula1>AND($B10&lt;=1,ISNUMBER($B10))</formula1>
    </dataValidation>
    <dataValidation type="custom" allowBlank="1" showInputMessage="1" showErrorMessage="1" sqref="C10 C17" xr:uid="{82DF9D03-6ADC-42C2-8AED-D520212BAC6D}">
      <formula1>AND($C10&lt;=1,ISNUMBER($C10),($C10&gt;=$B10))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22377-73ED-492F-A781-1A4FE53DBB05}">
  <sheetPr codeName="Sheet21">
    <pageSetUpPr fitToPage="1"/>
  </sheetPr>
  <dimension ref="A1:K79"/>
  <sheetViews>
    <sheetView showGridLines="0" zoomScaleNormal="100" workbookViewId="0">
      <selection activeCell="I13" sqref="I13"/>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1" ht="27" thickTop="1" x14ac:dyDescent="0.4">
      <c r="A1" s="200" t="s">
        <v>31</v>
      </c>
      <c r="B1" s="200"/>
      <c r="C1" s="200"/>
      <c r="D1" s="200"/>
      <c r="E1" s="47">
        <f>WEEKNUM(A10)</f>
        <v>15</v>
      </c>
      <c r="F1" s="48"/>
      <c r="G1" s="49"/>
      <c r="H1" s="26"/>
      <c r="J1" s="1"/>
    </row>
    <row r="2" spans="1:11" s="1" customFormat="1" ht="14.25" customHeight="1" x14ac:dyDescent="0.25">
      <c r="A2" s="41" t="s">
        <v>1</v>
      </c>
      <c r="B2" s="41"/>
      <c r="C2" s="41" t="s">
        <v>2</v>
      </c>
      <c r="D2" s="41"/>
      <c r="E2" s="46" t="s">
        <v>3</v>
      </c>
      <c r="F2" s="46" t="s">
        <v>4</v>
      </c>
      <c r="G2" s="46" t="s">
        <v>5</v>
      </c>
      <c r="H2" s="20"/>
      <c r="I2" s="13"/>
      <c r="J2" s="6"/>
    </row>
    <row r="3" spans="1:11" ht="16.5" thickBot="1" x14ac:dyDescent="0.25">
      <c r="A3" s="103">
        <f>A10</f>
        <v>43927</v>
      </c>
      <c r="B3" s="154"/>
      <c r="C3" s="103">
        <f>A16</f>
        <v>43932</v>
      </c>
      <c r="D3" s="154"/>
      <c r="E3" s="34" t="s">
        <v>6</v>
      </c>
      <c r="F3" s="149">
        <f>Sumcolor(E3,D10:D18)</f>
        <v>0</v>
      </c>
      <c r="G3" s="147">
        <f>SUM(Først:Sist!F3)</f>
        <v>0.62499999999999989</v>
      </c>
      <c r="H3" s="22"/>
      <c r="I3" s="7"/>
      <c r="J3" s="7"/>
    </row>
    <row r="4" spans="1:11" ht="15" customHeight="1" x14ac:dyDescent="0.2">
      <c r="A4" s="192" t="s">
        <v>7</v>
      </c>
      <c r="B4" s="192"/>
      <c r="C4" s="201" t="s">
        <v>8</v>
      </c>
      <c r="D4" s="201"/>
      <c r="E4" s="35" t="s">
        <v>9</v>
      </c>
      <c r="F4" s="149">
        <f>Sumcolor(E4,D10:D18)</f>
        <v>3.819444444444442E-2</v>
      </c>
      <c r="G4" s="147">
        <f>SUM(Først:Sist!F4)</f>
        <v>2.7604166666666665</v>
      </c>
      <c r="H4" s="22"/>
      <c r="I4" s="7"/>
      <c r="J4" s="190"/>
    </row>
    <row r="5" spans="1:11" ht="15.75" x14ac:dyDescent="0.2">
      <c r="A5" s="201"/>
      <c r="B5" s="201"/>
      <c r="C5" s="201"/>
      <c r="D5" s="201"/>
      <c r="E5" s="36" t="s">
        <v>10</v>
      </c>
      <c r="F5" s="149">
        <f>Sumcolor(E5,D10:D18)</f>
        <v>4.5138888888888729E-2</v>
      </c>
      <c r="G5" s="147">
        <f>SUM(Først:Sist!F5)</f>
        <v>1.1701388888888882</v>
      </c>
      <c r="H5" s="22"/>
      <c r="I5" s="7"/>
      <c r="J5" s="190"/>
    </row>
    <row r="6" spans="1:11" ht="18.75" customHeight="1" thickBot="1" x14ac:dyDescent="0.25">
      <c r="A6" s="150">
        <f>SUM(D10:D18)</f>
        <v>8.3333333333333148E-2</v>
      </c>
      <c r="B6" s="43"/>
      <c r="C6" s="151">
        <f>SUM(Først:Sist!A6)</f>
        <v>6.8680555555555571</v>
      </c>
      <c r="D6" s="44"/>
      <c r="E6" s="37" t="s">
        <v>11</v>
      </c>
      <c r="F6" s="148">
        <f>Sumcolor(E6,D10:D18)</f>
        <v>0</v>
      </c>
      <c r="G6" s="148">
        <f>SUM(Først:Sist!F6)</f>
        <v>2.3125000000000009</v>
      </c>
      <c r="H6" s="22"/>
      <c r="I6" s="7"/>
      <c r="J6" s="7"/>
    </row>
    <row r="7" spans="1:11" ht="12.75" customHeight="1" x14ac:dyDescent="0.2">
      <c r="A7" s="19"/>
      <c r="B7" s="23"/>
      <c r="C7" s="24"/>
      <c r="D7" s="14"/>
      <c r="E7" s="23"/>
      <c r="F7" s="23"/>
      <c r="G7" s="25"/>
      <c r="H7" s="25"/>
    </row>
    <row r="8" spans="1:11" x14ac:dyDescent="0.2">
      <c r="A8" s="23"/>
      <c r="B8" s="25"/>
      <c r="C8" s="14"/>
      <c r="D8" s="25"/>
      <c r="E8" s="23"/>
      <c r="F8" s="23"/>
      <c r="G8" s="25"/>
      <c r="H8" s="25"/>
    </row>
    <row r="9" spans="1:11" ht="16.5" thickBot="1" x14ac:dyDescent="0.3">
      <c r="A9" s="33" t="s">
        <v>12</v>
      </c>
      <c r="B9" s="33" t="s">
        <v>13</v>
      </c>
      <c r="C9" s="33" t="s">
        <v>14</v>
      </c>
      <c r="D9" s="33" t="s">
        <v>15</v>
      </c>
      <c r="E9" s="115" t="s">
        <v>16</v>
      </c>
      <c r="F9" s="113"/>
      <c r="G9" s="54" t="s">
        <v>17</v>
      </c>
      <c r="H9" s="25"/>
    </row>
    <row r="10" spans="1:11" ht="15.75" x14ac:dyDescent="0.25">
      <c r="A10" s="104">
        <v>43927</v>
      </c>
      <c r="B10" s="87">
        <v>0.59027777777777779</v>
      </c>
      <c r="C10" s="87">
        <v>0.60416666666666663</v>
      </c>
      <c r="D10" s="88">
        <f t="shared" ref="D10" si="0">(C10-B10)</f>
        <v>1.388888888888884E-2</v>
      </c>
      <c r="E10" s="225" t="s">
        <v>36</v>
      </c>
      <c r="F10" s="225"/>
      <c r="G10" s="263"/>
      <c r="H10" s="25"/>
      <c r="K10" s="87">
        <v>3.8194444444444441E-2</v>
      </c>
    </row>
    <row r="11" spans="1:11" ht="16.5" thickBot="1" x14ac:dyDescent="0.3">
      <c r="A11" s="105"/>
      <c r="B11" s="92"/>
      <c r="C11" s="92"/>
      <c r="D11" s="93"/>
      <c r="E11" s="226"/>
      <c r="F11" s="226"/>
      <c r="G11" s="264"/>
      <c r="H11" s="25"/>
      <c r="K11" s="92">
        <v>8.3333333333333329E-2</v>
      </c>
    </row>
    <row r="12" spans="1:11" ht="15.75" customHeight="1" x14ac:dyDescent="0.25">
      <c r="A12" s="131">
        <v>43929</v>
      </c>
      <c r="B12" s="132">
        <v>0.33680555555555558</v>
      </c>
      <c r="C12" s="132">
        <v>0.375</v>
      </c>
      <c r="D12" s="133">
        <f>(C12-B12)</f>
        <v>3.819444444444442E-2</v>
      </c>
      <c r="E12" s="245" t="s">
        <v>138</v>
      </c>
      <c r="F12" s="245"/>
      <c r="G12" s="263" t="s">
        <v>136</v>
      </c>
      <c r="K12" s="132">
        <v>6.25E-2</v>
      </c>
    </row>
    <row r="13" spans="1:11" ht="16.5" thickBot="1" x14ac:dyDescent="0.3">
      <c r="A13" s="134"/>
      <c r="B13" s="135"/>
      <c r="C13" s="135"/>
      <c r="D13" s="136"/>
      <c r="E13" s="246"/>
      <c r="F13" s="246"/>
      <c r="G13" s="264"/>
      <c r="K13" s="135">
        <v>2.7777777777777776E-2</v>
      </c>
    </row>
    <row r="14" spans="1:11" ht="15.75" customHeight="1" x14ac:dyDescent="0.25">
      <c r="A14" s="109">
        <v>43929</v>
      </c>
      <c r="B14" s="100">
        <v>0.58333333333333337</v>
      </c>
      <c r="C14" s="100">
        <v>0.59722222222222221</v>
      </c>
      <c r="D14" s="88">
        <f>(C14-B14)</f>
        <v>1.388888888888884E-2</v>
      </c>
      <c r="E14" s="225" t="s">
        <v>36</v>
      </c>
      <c r="F14" s="225"/>
      <c r="G14" s="263"/>
      <c r="K14" s="100">
        <v>9.7222222222222224E-2</v>
      </c>
    </row>
    <row r="15" spans="1:11" ht="16.5" thickBot="1" x14ac:dyDescent="0.3">
      <c r="A15" s="137"/>
      <c r="B15" s="138"/>
      <c r="C15" s="138"/>
      <c r="D15" s="139"/>
      <c r="E15" s="226"/>
      <c r="F15" s="226"/>
      <c r="G15" s="264"/>
      <c r="K15" s="138">
        <v>6.5972222222222224E-2</v>
      </c>
    </row>
    <row r="16" spans="1:11" ht="15.75" customHeight="1" x14ac:dyDescent="0.25">
      <c r="A16" s="109">
        <v>43932</v>
      </c>
      <c r="B16" s="100">
        <v>0.58333333333333337</v>
      </c>
      <c r="C16" s="100">
        <v>0.60069444444444442</v>
      </c>
      <c r="D16" s="101">
        <f>(C16-B16)</f>
        <v>1.7361111111111049E-2</v>
      </c>
      <c r="E16" s="239" t="s">
        <v>63</v>
      </c>
      <c r="F16" s="239"/>
      <c r="G16" s="263"/>
      <c r="K16" s="100">
        <v>3.8194444444444441E-2</v>
      </c>
    </row>
    <row r="17" spans="1:11" ht="16.5" thickBot="1" x14ac:dyDescent="0.3">
      <c r="A17" s="152"/>
      <c r="B17" s="153"/>
      <c r="C17" s="153"/>
      <c r="D17" s="91"/>
      <c r="E17" s="240"/>
      <c r="F17" s="240"/>
      <c r="G17" s="264"/>
      <c r="K17" s="153">
        <v>2.0833333333333332E-2</v>
      </c>
    </row>
    <row r="18" spans="1:11" ht="15.75" x14ac:dyDescent="0.25">
      <c r="A18" s="144"/>
      <c r="B18" s="85"/>
      <c r="C18" s="85"/>
      <c r="D18" s="63"/>
      <c r="E18" s="163"/>
      <c r="F18" s="163"/>
      <c r="G18" s="164"/>
      <c r="K18" s="87">
        <v>4.1666666666666664E-2</v>
      </c>
    </row>
    <row r="19" spans="1:11" ht="24" thickBot="1" x14ac:dyDescent="0.4">
      <c r="A19" s="222" t="s">
        <v>21</v>
      </c>
      <c r="B19" s="222"/>
      <c r="C19" s="27"/>
      <c r="D19" s="27"/>
      <c r="E19" s="27"/>
      <c r="F19" s="114"/>
      <c r="G19" s="114"/>
      <c r="I19" s="8"/>
      <c r="K19" s="92">
        <v>6.5972222222222224E-2</v>
      </c>
    </row>
    <row r="20" spans="1:11" ht="15.75" customHeight="1" thickBot="1" x14ac:dyDescent="0.3">
      <c r="A20" s="5"/>
      <c r="B20" s="15"/>
      <c r="C20" s="16"/>
      <c r="D20" s="17"/>
      <c r="E20" s="18"/>
      <c r="F20" s="30"/>
      <c r="G20" s="30"/>
      <c r="H20" s="8"/>
      <c r="I20" s="8"/>
      <c r="K20" s="132">
        <v>7.9861111111111105E-2</v>
      </c>
    </row>
    <row r="21" spans="1:11" ht="16.5" thickBot="1" x14ac:dyDescent="0.3">
      <c r="A21" s="286" t="s">
        <v>139</v>
      </c>
      <c r="B21" s="272"/>
      <c r="C21" s="272"/>
      <c r="D21" s="272"/>
      <c r="E21" s="272"/>
      <c r="F21" s="272"/>
      <c r="G21" s="273"/>
      <c r="H21" s="8"/>
      <c r="I21" s="8"/>
      <c r="K21" s="135">
        <v>0.1076388888888889</v>
      </c>
    </row>
    <row r="22" spans="1:11" ht="15.75" customHeight="1" x14ac:dyDescent="0.25">
      <c r="A22" s="274"/>
      <c r="B22" s="275"/>
      <c r="C22" s="275"/>
      <c r="D22" s="275"/>
      <c r="E22" s="275"/>
      <c r="F22" s="275"/>
      <c r="G22" s="276"/>
      <c r="H22" s="9"/>
      <c r="I22" s="9"/>
      <c r="K22" s="100">
        <v>0.11805555555555557</v>
      </c>
    </row>
    <row r="23" spans="1:11" ht="18.75" customHeight="1" thickBot="1" x14ac:dyDescent="0.3">
      <c r="A23" s="274"/>
      <c r="B23" s="275"/>
      <c r="C23" s="275"/>
      <c r="D23" s="275"/>
      <c r="E23" s="275"/>
      <c r="F23" s="275"/>
      <c r="G23" s="276"/>
      <c r="H23" s="10"/>
      <c r="I23" s="10"/>
      <c r="K23" s="138">
        <v>1.3888888888888888E-2</v>
      </c>
    </row>
    <row r="24" spans="1:11" ht="12.75" customHeight="1" x14ac:dyDescent="0.25">
      <c r="A24" s="274"/>
      <c r="B24" s="275"/>
      <c r="C24" s="275"/>
      <c r="D24" s="275"/>
      <c r="E24" s="275"/>
      <c r="F24" s="275"/>
      <c r="G24" s="276"/>
      <c r="H24" s="29"/>
      <c r="K24" s="100">
        <f>SUM(K10:K23)</f>
        <v>0.86111111111111094</v>
      </c>
    </row>
    <row r="25" spans="1:11" ht="21.75" customHeight="1" thickBot="1" x14ac:dyDescent="0.3">
      <c r="A25" s="274"/>
      <c r="B25" s="275"/>
      <c r="C25" s="275"/>
      <c r="D25" s="275"/>
      <c r="E25" s="275"/>
      <c r="F25" s="275"/>
      <c r="G25" s="276"/>
      <c r="H25" s="29"/>
      <c r="K25" s="153">
        <f>K24/7</f>
        <v>0.123015873015873</v>
      </c>
    </row>
    <row r="26" spans="1:11" ht="12.75" customHeight="1" x14ac:dyDescent="0.25">
      <c r="A26" s="274"/>
      <c r="B26" s="275"/>
      <c r="C26" s="275"/>
      <c r="D26" s="275"/>
      <c r="E26" s="275"/>
      <c r="F26" s="275"/>
      <c r="G26" s="276"/>
      <c r="H26" s="29"/>
      <c r="K26" s="87"/>
    </row>
    <row r="27" spans="1:11" ht="19.5" customHeight="1" thickBot="1" x14ac:dyDescent="0.3">
      <c r="A27" s="274"/>
      <c r="B27" s="275"/>
      <c r="C27" s="275"/>
      <c r="D27" s="275"/>
      <c r="E27" s="275"/>
      <c r="F27" s="275"/>
      <c r="G27" s="276"/>
      <c r="H27" s="29"/>
      <c r="K27" s="92"/>
    </row>
    <row r="28" spans="1:11" ht="12.75" customHeight="1" x14ac:dyDescent="0.25">
      <c r="A28" s="274"/>
      <c r="B28" s="275"/>
      <c r="C28" s="275"/>
      <c r="D28" s="275"/>
      <c r="E28" s="275"/>
      <c r="F28" s="275"/>
      <c r="G28" s="276"/>
      <c r="H28" s="29"/>
      <c r="K28" s="132"/>
    </row>
    <row r="29" spans="1:11" ht="20.25" customHeight="1" thickBot="1" x14ac:dyDescent="0.3">
      <c r="A29" s="274"/>
      <c r="B29" s="275"/>
      <c r="C29" s="275"/>
      <c r="D29" s="275"/>
      <c r="E29" s="275"/>
      <c r="F29" s="275"/>
      <c r="G29" s="276"/>
      <c r="H29" s="29"/>
      <c r="K29" s="135"/>
    </row>
    <row r="30" spans="1:11" ht="12.75" customHeight="1" x14ac:dyDescent="0.25">
      <c r="A30" s="274"/>
      <c r="B30" s="275"/>
      <c r="C30" s="275"/>
      <c r="D30" s="275"/>
      <c r="E30" s="275"/>
      <c r="F30" s="275"/>
      <c r="G30" s="276"/>
      <c r="H30" s="29"/>
      <c r="K30" s="100"/>
    </row>
    <row r="31" spans="1:11" ht="23.25" customHeight="1" thickBot="1" x14ac:dyDescent="0.3">
      <c r="A31" s="274"/>
      <c r="B31" s="275"/>
      <c r="C31" s="275"/>
      <c r="D31" s="275"/>
      <c r="E31" s="275"/>
      <c r="F31" s="275"/>
      <c r="G31" s="276"/>
      <c r="H31" s="29"/>
      <c r="K31" s="138"/>
    </row>
    <row r="32" spans="1:11" ht="17.25" customHeight="1" x14ac:dyDescent="0.25">
      <c r="A32" s="274"/>
      <c r="B32" s="275"/>
      <c r="C32" s="275"/>
      <c r="D32" s="275"/>
      <c r="E32" s="275"/>
      <c r="F32" s="275"/>
      <c r="G32" s="276"/>
      <c r="H32" s="29"/>
      <c r="K32" s="100"/>
    </row>
    <row r="33" spans="1:11" ht="17.25" customHeight="1" thickBot="1" x14ac:dyDescent="0.3">
      <c r="A33" s="274"/>
      <c r="B33" s="275"/>
      <c r="C33" s="275"/>
      <c r="D33" s="275"/>
      <c r="E33" s="275"/>
      <c r="F33" s="275"/>
      <c r="G33" s="276"/>
      <c r="H33" s="29"/>
      <c r="K33" s="153"/>
    </row>
    <row r="34" spans="1:11" ht="69.75" customHeight="1" thickBot="1" x14ac:dyDescent="0.25">
      <c r="A34" s="277"/>
      <c r="B34" s="278"/>
      <c r="C34" s="278"/>
      <c r="D34" s="278"/>
      <c r="E34" s="278"/>
      <c r="F34" s="278"/>
      <c r="G34" s="279"/>
      <c r="H34" s="29"/>
    </row>
    <row r="35" spans="1:11" ht="17.25" customHeight="1" x14ac:dyDescent="0.2">
      <c r="H35" s="29"/>
    </row>
    <row r="36" spans="1:11" ht="17.25" customHeight="1" x14ac:dyDescent="0.2">
      <c r="H36" s="29"/>
    </row>
    <row r="37" spans="1:11" ht="17.25" customHeight="1" x14ac:dyDescent="0.2">
      <c r="H37" s="29"/>
    </row>
    <row r="38" spans="1:11" ht="17.25" customHeight="1" x14ac:dyDescent="0.2">
      <c r="H38" s="29"/>
    </row>
    <row r="39" spans="1:11" ht="17.25" customHeight="1" x14ac:dyDescent="0.2">
      <c r="H39" s="29"/>
    </row>
    <row r="40" spans="1:11" ht="17.25" customHeight="1" x14ac:dyDescent="0.2">
      <c r="H40" s="29"/>
    </row>
    <row r="41" spans="1:11" ht="17.25" customHeight="1" x14ac:dyDescent="0.2">
      <c r="H41" s="29"/>
    </row>
    <row r="42" spans="1:11" ht="17.25" customHeight="1" x14ac:dyDescent="0.2">
      <c r="H42" s="29"/>
    </row>
    <row r="43" spans="1:11" ht="17.25" customHeight="1" x14ac:dyDescent="0.2">
      <c r="H43" s="29"/>
    </row>
    <row r="44" spans="1:11" ht="17.25" customHeight="1" x14ac:dyDescent="0.2">
      <c r="H44" s="29"/>
    </row>
    <row r="45" spans="1:11" ht="17.25" customHeight="1" x14ac:dyDescent="0.2">
      <c r="H45" s="29"/>
    </row>
    <row r="46" spans="1:11" ht="17.25" customHeight="1" x14ac:dyDescent="0.2">
      <c r="H46" s="29"/>
    </row>
    <row r="47" spans="1:11" x14ac:dyDescent="0.2">
      <c r="H47" s="29"/>
    </row>
    <row r="48" spans="1:11" ht="24.75" customHeight="1" x14ac:dyDescent="0.2">
      <c r="H48" s="29"/>
    </row>
    <row r="49" ht="13.5" customHeight="1" x14ac:dyDescent="0.2"/>
    <row r="50" ht="12.75" customHeight="1" x14ac:dyDescent="0.2"/>
    <row r="51" ht="12.75" customHeight="1" x14ac:dyDescent="0.2"/>
    <row r="52" ht="12.75" customHeight="1" x14ac:dyDescent="0.2"/>
    <row r="53" ht="10.5" customHeight="1" x14ac:dyDescent="0.2"/>
    <row r="54" ht="21" customHeight="1" x14ac:dyDescent="0.2"/>
    <row r="55" ht="21" customHeight="1" x14ac:dyDescent="0.2"/>
    <row r="56" ht="12.75" customHeight="1" x14ac:dyDescent="0.2"/>
    <row r="57" ht="12.75" customHeight="1" x14ac:dyDescent="0.2"/>
    <row r="58" ht="19.5" customHeight="1" x14ac:dyDescent="0.2"/>
    <row r="59" ht="12.75" customHeight="1" x14ac:dyDescent="0.2"/>
    <row r="60" ht="12.75" customHeight="1" x14ac:dyDescent="0.2"/>
    <row r="61" ht="12.75" customHeight="1" x14ac:dyDescent="0.2"/>
    <row r="62" ht="12.75" customHeight="1" x14ac:dyDescent="0.2"/>
    <row r="63" ht="16.5" customHeight="1" x14ac:dyDescent="0.2"/>
    <row r="64"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14">
    <mergeCell ref="A1:D1"/>
    <mergeCell ref="A4:B5"/>
    <mergeCell ref="C4:D5"/>
    <mergeCell ref="J4:J5"/>
    <mergeCell ref="E10:F11"/>
    <mergeCell ref="G10:G11"/>
    <mergeCell ref="A19:B19"/>
    <mergeCell ref="A21:G34"/>
    <mergeCell ref="E12:F13"/>
    <mergeCell ref="G12:G13"/>
    <mergeCell ref="E14:F15"/>
    <mergeCell ref="G14:G15"/>
    <mergeCell ref="E16:F17"/>
    <mergeCell ref="G16:G17"/>
  </mergeCells>
  <conditionalFormatting sqref="H20:I21 I19">
    <cfRule type="expression" dxfId="58" priority="18">
      <formula>ISNUMBER(SEARCH(TEXT(#REF!,"ddd"),#REF!))</formula>
    </cfRule>
  </conditionalFormatting>
  <conditionalFormatting sqref="A10:D12 A16:D17">
    <cfRule type="expression" dxfId="57" priority="19">
      <formula>ISNUMBER(SEARCH(TEXT(#REF!,"ddd"),#REF!))</formula>
    </cfRule>
  </conditionalFormatting>
  <conditionalFormatting sqref="D14">
    <cfRule type="expression" dxfId="56" priority="17">
      <formula>ISNUMBER(SEARCH(TEXT(#REF!,"ddd"),#REF!))</formula>
    </cfRule>
  </conditionalFormatting>
  <conditionalFormatting sqref="A14:C14">
    <cfRule type="expression" dxfId="55" priority="14">
      <formula>ISNUMBER(SEARCH(TEXT(#REF!,"ddd"),#REF!))</formula>
    </cfRule>
  </conditionalFormatting>
  <conditionalFormatting sqref="A13:D13">
    <cfRule type="expression" dxfId="54" priority="16">
      <formula>ISNUMBER(SEARCH(TEXT(#REF!,"ddd"),#REF!))</formula>
    </cfRule>
  </conditionalFormatting>
  <conditionalFormatting sqref="A15:D15 A18:C18">
    <cfRule type="expression" dxfId="53" priority="15">
      <formula>ISNUMBER(SEARCH(TEXT(#REF!,"ddd"),#REF!))</formula>
    </cfRule>
  </conditionalFormatting>
  <conditionalFormatting sqref="K10:K12 K16:K17">
    <cfRule type="expression" dxfId="52" priority="12">
      <formula>ISNUMBER(SEARCH(TEXT(#REF!,"ddd"),#REF!))</formula>
    </cfRule>
  </conditionalFormatting>
  <conditionalFormatting sqref="K14">
    <cfRule type="expression" dxfId="51" priority="9">
      <formula>ISNUMBER(SEARCH(TEXT(#REF!,"ddd"),#REF!))</formula>
    </cfRule>
  </conditionalFormatting>
  <conditionalFormatting sqref="K13">
    <cfRule type="expression" dxfId="50" priority="11">
      <formula>ISNUMBER(SEARCH(TEXT(#REF!,"ddd"),#REF!))</formula>
    </cfRule>
  </conditionalFormatting>
  <conditionalFormatting sqref="K15">
    <cfRule type="expression" dxfId="49" priority="10">
      <formula>ISNUMBER(SEARCH(TEXT(#REF!,"ddd"),#REF!))</formula>
    </cfRule>
  </conditionalFormatting>
  <conditionalFormatting sqref="K18:K20 K24:K25">
    <cfRule type="expression" dxfId="48" priority="8">
      <formula>ISNUMBER(SEARCH(TEXT(#REF!,"ddd"),#REF!))</formula>
    </cfRule>
  </conditionalFormatting>
  <conditionalFormatting sqref="K22">
    <cfRule type="expression" dxfId="47" priority="5">
      <formula>ISNUMBER(SEARCH(TEXT(#REF!,"ddd"),#REF!))</formula>
    </cfRule>
  </conditionalFormatting>
  <conditionalFormatting sqref="K21">
    <cfRule type="expression" dxfId="46" priority="7">
      <formula>ISNUMBER(SEARCH(TEXT(#REF!,"ddd"),#REF!))</formula>
    </cfRule>
  </conditionalFormatting>
  <conditionalFormatting sqref="K23">
    <cfRule type="expression" dxfId="45" priority="6">
      <formula>ISNUMBER(SEARCH(TEXT(#REF!,"ddd"),#REF!))</formula>
    </cfRule>
  </conditionalFormatting>
  <conditionalFormatting sqref="K26:K28 K32:K33">
    <cfRule type="expression" dxfId="44" priority="4">
      <formula>ISNUMBER(SEARCH(TEXT(#REF!,"ddd"),#REF!))</formula>
    </cfRule>
  </conditionalFormatting>
  <conditionalFormatting sqref="K30">
    <cfRule type="expression" dxfId="43" priority="1">
      <formula>ISNUMBER(SEARCH(TEXT(#REF!,"ddd"),#REF!))</formula>
    </cfRule>
  </conditionalFormatting>
  <conditionalFormatting sqref="K29">
    <cfRule type="expression" dxfId="42" priority="3">
      <formula>ISNUMBER(SEARCH(TEXT(#REF!,"ddd"),#REF!))</formula>
    </cfRule>
  </conditionalFormatting>
  <conditionalFormatting sqref="K31">
    <cfRule type="expression" dxfId="41" priority="2">
      <formula>ISNUMBER(SEARCH(TEXT(#REF!,"ddd"),#REF!))</formula>
    </cfRule>
  </conditionalFormatting>
  <dataValidations count="2">
    <dataValidation type="custom" allowBlank="1" showInputMessage="1" showErrorMessage="1" sqref="C10 C17" xr:uid="{0C723CA1-E778-4E5E-9A26-F39A05119BC1}">
      <formula1>AND($C10&lt;=1,ISNUMBER($C10),($C10&gt;=$B10))</formula1>
    </dataValidation>
    <dataValidation type="custom" allowBlank="1" showInputMessage="1" showErrorMessage="1" sqref="C11:C16 B18:C18 B10:B17 K10:K33" xr:uid="{64BBB02C-15CF-4285-A946-4C36B3F18224}">
      <formula1>AND($B10&lt;=1,ISNUMBER($B10))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0211-16B4-4AAA-BFCD-8078E5D355B5}">
  <sheetPr codeName="Sheet22">
    <pageSetUpPr fitToPage="1"/>
  </sheetPr>
  <dimension ref="A1:K79"/>
  <sheetViews>
    <sheetView showGridLines="0" zoomScaleNormal="100" workbookViewId="0">
      <selection activeCell="J9" sqref="J9"/>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16</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43939</v>
      </c>
      <c r="B3" s="154"/>
      <c r="C3" s="103" t="e">
        <f>#REF!</f>
        <v>#REF!</v>
      </c>
      <c r="D3" s="154"/>
      <c r="E3" s="34" t="s">
        <v>6</v>
      </c>
      <c r="F3" s="149">
        <f>Sumcolor(E3,D10:D18)</f>
        <v>0</v>
      </c>
      <c r="G3" s="147">
        <f>SUM(Først:Sist!F3)</f>
        <v>0.62499999999999989</v>
      </c>
      <c r="H3" s="22"/>
      <c r="I3" s="7"/>
      <c r="J3" s="7"/>
    </row>
    <row r="4" spans="1:10" ht="15" customHeight="1" x14ac:dyDescent="0.2">
      <c r="A4" s="192" t="s">
        <v>7</v>
      </c>
      <c r="B4" s="192"/>
      <c r="C4" s="201" t="s">
        <v>8</v>
      </c>
      <c r="D4" s="201"/>
      <c r="E4" s="35" t="s">
        <v>9</v>
      </c>
      <c r="F4" s="149">
        <f>Sumcolor(E4,D10:D18)</f>
        <v>8.333333333333337E-2</v>
      </c>
      <c r="G4" s="147">
        <f>SUM(Først:Sist!F4)</f>
        <v>2.7604166666666665</v>
      </c>
      <c r="H4" s="22"/>
      <c r="I4" s="7"/>
      <c r="J4" s="190"/>
    </row>
    <row r="5" spans="1:10" ht="15.75" x14ac:dyDescent="0.2">
      <c r="A5" s="201"/>
      <c r="B5" s="201"/>
      <c r="C5" s="201"/>
      <c r="D5" s="201"/>
      <c r="E5" s="36" t="s">
        <v>10</v>
      </c>
      <c r="F5" s="149">
        <f>Sumcolor(E5,D10:D18)</f>
        <v>0</v>
      </c>
      <c r="G5" s="147">
        <f>SUM(Først:Sist!F5)</f>
        <v>1.1701388888888882</v>
      </c>
      <c r="H5" s="22"/>
      <c r="I5" s="7"/>
      <c r="J5" s="190"/>
    </row>
    <row r="6" spans="1:10" ht="18.75" customHeight="1" thickBot="1" x14ac:dyDescent="0.25">
      <c r="A6" s="150">
        <f>SUM(D10:D18)</f>
        <v>0.24305555555555547</v>
      </c>
      <c r="B6" s="43"/>
      <c r="C6" s="151">
        <f>SUM(Først:Sist!A6)</f>
        <v>6.8680555555555571</v>
      </c>
      <c r="D6" s="44"/>
      <c r="E6" s="37" t="s">
        <v>11</v>
      </c>
      <c r="F6" s="148">
        <f>Sumcolor(E6,D10:D18)</f>
        <v>0.1597222222222221</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80">
        <v>43939</v>
      </c>
      <c r="B10" s="181">
        <v>0.75</v>
      </c>
      <c r="C10" s="181">
        <v>0.85416666666666663</v>
      </c>
      <c r="D10" s="95">
        <f t="shared" ref="D10" si="0">(C10-B10)</f>
        <v>0.10416666666666663</v>
      </c>
      <c r="E10" s="290" t="s">
        <v>140</v>
      </c>
      <c r="F10" s="291"/>
      <c r="G10" s="263"/>
      <c r="H10" s="25"/>
    </row>
    <row r="11" spans="1:10" ht="16.5" thickBot="1" x14ac:dyDescent="0.3">
      <c r="A11" s="182"/>
      <c r="B11" s="183"/>
      <c r="C11" s="183"/>
      <c r="D11" s="184"/>
      <c r="E11" s="292"/>
      <c r="F11" s="292"/>
      <c r="G11" s="264"/>
      <c r="H11" s="25"/>
    </row>
    <row r="12" spans="1:10" ht="15.75" customHeight="1" x14ac:dyDescent="0.25">
      <c r="A12" s="131">
        <v>43940</v>
      </c>
      <c r="B12" s="132">
        <v>0.8125</v>
      </c>
      <c r="C12" s="132">
        <v>0.89583333333333337</v>
      </c>
      <c r="D12" s="133">
        <f>(C12-B12)</f>
        <v>8.333333333333337E-2</v>
      </c>
      <c r="E12" s="245" t="s">
        <v>141</v>
      </c>
      <c r="F12" s="245"/>
      <c r="G12" s="263" t="s">
        <v>136</v>
      </c>
    </row>
    <row r="13" spans="1:10" ht="16.5" thickBot="1" x14ac:dyDescent="0.3">
      <c r="A13" s="134"/>
      <c r="B13" s="135"/>
      <c r="C13" s="135"/>
      <c r="D13" s="136"/>
      <c r="E13" s="246"/>
      <c r="F13" s="246"/>
      <c r="G13" s="264"/>
    </row>
    <row r="14" spans="1:10" ht="15.75" customHeight="1" x14ac:dyDescent="0.25">
      <c r="A14" s="106">
        <v>43940</v>
      </c>
      <c r="B14" s="94">
        <v>0.89583333333333337</v>
      </c>
      <c r="C14" s="94">
        <v>0.92708333333333337</v>
      </c>
      <c r="D14" s="95">
        <f>(C14-B14)</f>
        <v>3.125E-2</v>
      </c>
      <c r="E14" s="229" t="s">
        <v>142</v>
      </c>
      <c r="F14" s="229"/>
      <c r="G14" s="263"/>
    </row>
    <row r="15" spans="1:10" ht="16.5" thickBot="1" x14ac:dyDescent="0.3">
      <c r="A15" s="108"/>
      <c r="B15" s="98"/>
      <c r="C15" s="98"/>
      <c r="D15" s="97"/>
      <c r="E15" s="230"/>
      <c r="F15" s="230"/>
      <c r="G15" s="264"/>
    </row>
    <row r="16" spans="1:10" ht="15.75" customHeight="1" x14ac:dyDescent="0.25">
      <c r="A16" s="106">
        <v>43940</v>
      </c>
      <c r="B16" s="94">
        <v>0.92708333333333337</v>
      </c>
      <c r="C16" s="94">
        <v>0.95138888888888884</v>
      </c>
      <c r="D16" s="99">
        <f>(C16-B16)</f>
        <v>2.4305555555555469E-2</v>
      </c>
      <c r="E16" s="229" t="s">
        <v>143</v>
      </c>
      <c r="F16" s="229"/>
      <c r="G16" s="263"/>
    </row>
    <row r="17" spans="1:11" ht="16.5" thickBot="1" x14ac:dyDescent="0.3">
      <c r="A17" s="107"/>
      <c r="B17" s="96"/>
      <c r="C17" s="96"/>
      <c r="D17" s="76"/>
      <c r="E17" s="230"/>
      <c r="F17" s="230"/>
      <c r="G17" s="264"/>
    </row>
    <row r="18" spans="1:11" ht="15.75" x14ac:dyDescent="0.25">
      <c r="A18" s="144"/>
      <c r="B18" s="85"/>
      <c r="C18" s="85"/>
      <c r="D18" s="63"/>
      <c r="E18" s="163"/>
      <c r="F18" s="163"/>
      <c r="G18" s="164"/>
    </row>
    <row r="19" spans="1:11" ht="24" thickBot="1" x14ac:dyDescent="0.4">
      <c r="A19" s="222" t="s">
        <v>21</v>
      </c>
      <c r="B19" s="222"/>
      <c r="C19" s="27"/>
      <c r="D19" s="27"/>
      <c r="E19" s="27"/>
      <c r="F19" s="114"/>
      <c r="G19" s="114"/>
      <c r="I19" s="8"/>
      <c r="K19" s="8"/>
    </row>
    <row r="20" spans="1:11" ht="15.75" customHeight="1" thickBot="1" x14ac:dyDescent="0.25">
      <c r="A20" s="5"/>
      <c r="B20" s="15"/>
      <c r="C20" s="16"/>
      <c r="D20" s="17"/>
      <c r="E20" s="18"/>
      <c r="F20" s="30"/>
      <c r="G20" s="30"/>
      <c r="H20" s="8"/>
      <c r="I20" s="8"/>
      <c r="K20" s="8"/>
    </row>
    <row r="21" spans="1:11" x14ac:dyDescent="0.2">
      <c r="A21" s="289" t="s">
        <v>144</v>
      </c>
      <c r="B21" s="272"/>
      <c r="C21" s="272"/>
      <c r="D21" s="272"/>
      <c r="E21" s="272"/>
      <c r="F21" s="272"/>
      <c r="G21" s="273"/>
      <c r="H21" s="8"/>
      <c r="I21" s="8"/>
      <c r="K21" s="8"/>
    </row>
    <row r="22" spans="1:11" ht="15.75" customHeight="1" x14ac:dyDescent="0.2">
      <c r="A22" s="274"/>
      <c r="B22" s="275"/>
      <c r="C22" s="275"/>
      <c r="D22" s="275"/>
      <c r="E22" s="275"/>
      <c r="F22" s="275"/>
      <c r="G22" s="276"/>
      <c r="H22" s="9"/>
      <c r="I22" s="9"/>
      <c r="K22" s="8"/>
    </row>
    <row r="23" spans="1:11" ht="18.75" customHeight="1" x14ac:dyDescent="0.2">
      <c r="A23" s="274"/>
      <c r="B23" s="275"/>
      <c r="C23" s="275"/>
      <c r="D23" s="275"/>
      <c r="E23" s="275"/>
      <c r="F23" s="275"/>
      <c r="G23" s="276"/>
      <c r="H23" s="10"/>
      <c r="I23" s="10"/>
      <c r="K23" s="8"/>
    </row>
    <row r="24" spans="1:11" ht="12.75" customHeight="1" x14ac:dyDescent="0.2">
      <c r="A24" s="274"/>
      <c r="B24" s="275"/>
      <c r="C24" s="275"/>
      <c r="D24" s="275"/>
      <c r="E24" s="275"/>
      <c r="F24" s="275"/>
      <c r="G24" s="276"/>
      <c r="H24" s="29"/>
      <c r="K24" s="8"/>
    </row>
    <row r="25" spans="1:11" ht="21.75" customHeight="1" x14ac:dyDescent="0.2">
      <c r="A25" s="274"/>
      <c r="B25" s="275"/>
      <c r="C25" s="275"/>
      <c r="D25" s="275"/>
      <c r="E25" s="275"/>
      <c r="F25" s="275"/>
      <c r="G25" s="276"/>
      <c r="H25" s="29"/>
      <c r="K25" s="9"/>
    </row>
    <row r="26" spans="1:11" ht="12.75" customHeight="1" x14ac:dyDescent="0.2">
      <c r="A26" s="274"/>
      <c r="B26" s="275"/>
      <c r="C26" s="275"/>
      <c r="D26" s="275"/>
      <c r="E26" s="275"/>
      <c r="F26" s="275"/>
      <c r="G26" s="276"/>
      <c r="H26" s="29"/>
      <c r="K26" s="11"/>
    </row>
    <row r="27" spans="1:11" ht="19.5" customHeight="1" x14ac:dyDescent="0.2">
      <c r="A27" s="274"/>
      <c r="B27" s="275"/>
      <c r="C27" s="275"/>
      <c r="D27" s="275"/>
      <c r="E27" s="275"/>
      <c r="F27" s="275"/>
      <c r="G27" s="276"/>
      <c r="H27" s="29"/>
      <c r="K27" s="7"/>
    </row>
    <row r="28" spans="1:11" ht="12.75" customHeight="1" x14ac:dyDescent="0.2">
      <c r="A28" s="274"/>
      <c r="B28" s="275"/>
      <c r="C28" s="275"/>
      <c r="D28" s="275"/>
      <c r="E28" s="275"/>
      <c r="F28" s="275"/>
      <c r="G28" s="276"/>
      <c r="H28" s="29"/>
    </row>
    <row r="29" spans="1:11" ht="20.25" customHeight="1" x14ac:dyDescent="0.2">
      <c r="A29" s="274"/>
      <c r="B29" s="275"/>
      <c r="C29" s="275"/>
      <c r="D29" s="275"/>
      <c r="E29" s="275"/>
      <c r="F29" s="275"/>
      <c r="G29" s="276"/>
      <c r="H29" s="29"/>
    </row>
    <row r="30" spans="1:11" ht="12.75" customHeight="1" x14ac:dyDescent="0.2">
      <c r="A30" s="274"/>
      <c r="B30" s="275"/>
      <c r="C30" s="275"/>
      <c r="D30" s="275"/>
      <c r="E30" s="275"/>
      <c r="F30" s="275"/>
      <c r="G30" s="276"/>
      <c r="H30" s="29"/>
    </row>
    <row r="31" spans="1:11" ht="23.25" customHeight="1" x14ac:dyDescent="0.2">
      <c r="A31" s="274"/>
      <c r="B31" s="275"/>
      <c r="C31" s="275"/>
      <c r="D31" s="275"/>
      <c r="E31" s="275"/>
      <c r="F31" s="275"/>
      <c r="G31" s="276"/>
      <c r="H31" s="29"/>
    </row>
    <row r="32" spans="1:11" ht="17.25" customHeight="1" x14ac:dyDescent="0.2">
      <c r="A32" s="274"/>
      <c r="B32" s="275"/>
      <c r="C32" s="275"/>
      <c r="D32" s="275"/>
      <c r="E32" s="275"/>
      <c r="F32" s="275"/>
      <c r="G32" s="276"/>
      <c r="H32" s="29"/>
    </row>
    <row r="33" spans="1:8" ht="17.25" customHeight="1" x14ac:dyDescent="0.2">
      <c r="A33" s="274"/>
      <c r="B33" s="275"/>
      <c r="C33" s="275"/>
      <c r="D33" s="275"/>
      <c r="E33" s="275"/>
      <c r="F33" s="275"/>
      <c r="G33" s="276"/>
      <c r="H33" s="29"/>
    </row>
    <row r="34" spans="1:8" ht="17.25" customHeight="1" thickBot="1" x14ac:dyDescent="0.25">
      <c r="A34" s="277"/>
      <c r="B34" s="278"/>
      <c r="C34" s="278"/>
      <c r="D34" s="278"/>
      <c r="E34" s="278"/>
      <c r="F34" s="278"/>
      <c r="G34" s="279"/>
      <c r="H34" s="29"/>
    </row>
    <row r="35" spans="1:8" ht="17.25" customHeight="1" x14ac:dyDescent="0.2">
      <c r="H35" s="29"/>
    </row>
    <row r="36" spans="1:8" ht="17.25" customHeight="1" x14ac:dyDescent="0.2">
      <c r="H36" s="29"/>
    </row>
    <row r="37" spans="1:8" ht="17.25" customHeight="1" x14ac:dyDescent="0.2">
      <c r="H37" s="29"/>
    </row>
    <row r="38" spans="1:8" ht="17.25" customHeight="1" x14ac:dyDescent="0.2">
      <c r="H38" s="29"/>
    </row>
    <row r="39" spans="1:8" ht="17.25" customHeight="1" x14ac:dyDescent="0.2">
      <c r="H39" s="29"/>
    </row>
    <row r="40" spans="1:8" ht="17.25" customHeight="1" x14ac:dyDescent="0.2">
      <c r="H40" s="29"/>
    </row>
    <row r="41" spans="1:8" ht="17.25" customHeight="1" x14ac:dyDescent="0.2">
      <c r="H41" s="29"/>
    </row>
    <row r="42" spans="1:8" ht="17.25" customHeight="1" x14ac:dyDescent="0.2">
      <c r="H42" s="29"/>
    </row>
    <row r="43" spans="1:8" ht="17.25" customHeight="1" x14ac:dyDescent="0.2">
      <c r="H43" s="29"/>
    </row>
    <row r="44" spans="1:8" ht="17.25" customHeight="1" x14ac:dyDescent="0.2">
      <c r="H44" s="29"/>
    </row>
    <row r="45" spans="1:8" ht="17.25" customHeight="1" x14ac:dyDescent="0.2">
      <c r="H45" s="29"/>
    </row>
    <row r="46" spans="1:8" ht="17.25" customHeight="1" x14ac:dyDescent="0.2">
      <c r="H46" s="29"/>
    </row>
    <row r="47" spans="1:8" x14ac:dyDescent="0.2">
      <c r="H47" s="29"/>
    </row>
    <row r="48" spans="1:8" ht="24.75" customHeight="1" x14ac:dyDescent="0.2">
      <c r="H48" s="29"/>
    </row>
    <row r="49" ht="13.5" customHeight="1" x14ac:dyDescent="0.2"/>
    <row r="50" ht="12.75" customHeight="1" x14ac:dyDescent="0.2"/>
    <row r="51" ht="12.75" customHeight="1" x14ac:dyDescent="0.2"/>
    <row r="52" ht="12.75" customHeight="1" x14ac:dyDescent="0.2"/>
    <row r="53" ht="10.5" customHeight="1" x14ac:dyDescent="0.2"/>
    <row r="54" ht="21" customHeight="1" x14ac:dyDescent="0.2"/>
    <row r="55" ht="21" customHeight="1" x14ac:dyDescent="0.2"/>
    <row r="56" ht="12.75" customHeight="1" x14ac:dyDescent="0.2"/>
    <row r="57" ht="12.75" customHeight="1" x14ac:dyDescent="0.2"/>
    <row r="58" ht="17.25" customHeight="1" x14ac:dyDescent="0.2"/>
    <row r="59" ht="12.75" customHeight="1" x14ac:dyDescent="0.2"/>
    <row r="60" ht="12.75" customHeight="1" x14ac:dyDescent="0.2"/>
    <row r="61" ht="12.75" customHeight="1" x14ac:dyDescent="0.2"/>
    <row r="62" ht="12.75" customHeight="1" x14ac:dyDescent="0.2"/>
    <row r="63" ht="16.5" customHeight="1" x14ac:dyDescent="0.2"/>
    <row r="64"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14">
    <mergeCell ref="A1:D1"/>
    <mergeCell ref="A4:B5"/>
    <mergeCell ref="C4:D5"/>
    <mergeCell ref="J4:J5"/>
    <mergeCell ref="E10:F11"/>
    <mergeCell ref="G10:G11"/>
    <mergeCell ref="A19:B19"/>
    <mergeCell ref="A21:G34"/>
    <mergeCell ref="E12:F13"/>
    <mergeCell ref="G12:G13"/>
    <mergeCell ref="E14:F15"/>
    <mergeCell ref="G14:G15"/>
    <mergeCell ref="E16:F17"/>
    <mergeCell ref="G16:G17"/>
  </mergeCells>
  <conditionalFormatting sqref="H20:I21 I19">
    <cfRule type="expression" dxfId="40" priority="6">
      <formula>ISNUMBER(SEARCH(TEXT(#REF!,"ddd"),#REF!))</formula>
    </cfRule>
  </conditionalFormatting>
  <conditionalFormatting sqref="A10:D12 A16:D17">
    <cfRule type="expression" dxfId="39" priority="7">
      <formula>ISNUMBER(SEARCH(TEXT(#REF!,"ddd"),#REF!))</formula>
    </cfRule>
  </conditionalFormatting>
  <conditionalFormatting sqref="K19:K24">
    <cfRule type="expression" dxfId="38" priority="8">
      <formula>ISNUMBER(SEARCH(TEXT(#REF!,"ddd"),#REF!))</formula>
    </cfRule>
  </conditionalFormatting>
  <conditionalFormatting sqref="D14">
    <cfRule type="expression" dxfId="37" priority="5">
      <formula>ISNUMBER(SEARCH(TEXT(#REF!,"ddd"),#REF!))</formula>
    </cfRule>
  </conditionalFormatting>
  <conditionalFormatting sqref="A14:C14">
    <cfRule type="expression" dxfId="36" priority="2">
      <formula>ISNUMBER(SEARCH(TEXT(#REF!,"ddd"),#REF!))</formula>
    </cfRule>
  </conditionalFormatting>
  <conditionalFormatting sqref="A13:D13">
    <cfRule type="expression" dxfId="35" priority="4">
      <formula>ISNUMBER(SEARCH(TEXT(#REF!,"ddd"),#REF!))</formula>
    </cfRule>
  </conditionalFormatting>
  <conditionalFormatting sqref="A15:D15 A18:C18">
    <cfRule type="expression" dxfId="34" priority="3">
      <formula>ISNUMBER(SEARCH(TEXT(#REF!,"ddd"),#REF!))</formula>
    </cfRule>
  </conditionalFormatting>
  <dataValidations count="2">
    <dataValidation type="custom" allowBlank="1" showInputMessage="1" showErrorMessage="1" sqref="C11:C16 B18:C18 B10:B17" xr:uid="{36C26753-FB2B-4239-BA9F-1CAA97239709}">
      <formula1>AND($B10&lt;=1,ISNUMBER($B10))</formula1>
    </dataValidation>
    <dataValidation type="custom" allowBlank="1" showInputMessage="1" showErrorMessage="1" sqref="C10 C17" xr:uid="{C27A25CA-621F-4EBE-AFDA-63B25F3EF3E0}">
      <formula1>AND($C10&lt;=1,ISNUMBER($C10),($C10&gt;=$B10))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8A340-1D9B-437D-9DC7-BA05E66F70E6}">
  <sheetPr codeName="Sheet23">
    <pageSetUpPr fitToPage="1"/>
  </sheetPr>
  <dimension ref="A1:K79"/>
  <sheetViews>
    <sheetView showGridLines="0" zoomScaleNormal="100" workbookViewId="0">
      <selection activeCell="F3" sqref="F3"/>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17</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43941</v>
      </c>
      <c r="B3" s="154"/>
      <c r="C3" s="103" t="e">
        <f>#REF!</f>
        <v>#REF!</v>
      </c>
      <c r="D3" s="154"/>
      <c r="E3" s="34" t="s">
        <v>6</v>
      </c>
      <c r="F3" s="149">
        <f>Sumcolor(E3,D10:D30)</f>
        <v>0</v>
      </c>
      <c r="G3" s="147">
        <f>SUM(Først:Sist!F3)</f>
        <v>0.62499999999999989</v>
      </c>
      <c r="H3" s="22"/>
      <c r="I3" s="7"/>
      <c r="J3" s="7"/>
    </row>
    <row r="4" spans="1:10" ht="15" customHeight="1" x14ac:dyDescent="0.2">
      <c r="A4" s="192" t="s">
        <v>7</v>
      </c>
      <c r="B4" s="192"/>
      <c r="C4" s="201" t="s">
        <v>8</v>
      </c>
      <c r="D4" s="201"/>
      <c r="E4" s="35" t="s">
        <v>9</v>
      </c>
      <c r="F4" s="149">
        <f>Sumcolor(E4,D10:D30)</f>
        <v>0.18402777777777779</v>
      </c>
      <c r="G4" s="147">
        <f>SUM(Først:Sist!F4)</f>
        <v>2.7604166666666665</v>
      </c>
      <c r="H4" s="22"/>
      <c r="I4" s="7"/>
      <c r="J4" s="190"/>
    </row>
    <row r="5" spans="1:10" ht="15.75" x14ac:dyDescent="0.2">
      <c r="A5" s="201"/>
      <c r="B5" s="201"/>
      <c r="C5" s="201"/>
      <c r="D5" s="201"/>
      <c r="E5" s="36" t="s">
        <v>10</v>
      </c>
      <c r="F5" s="149">
        <f>Sumcolor(E5,D10:D30)</f>
        <v>7.2916666666666519E-2</v>
      </c>
      <c r="G5" s="147">
        <f>SUM(Først:Sist!F5)</f>
        <v>1.1701388888888882</v>
      </c>
      <c r="H5" s="22"/>
      <c r="I5" s="7"/>
      <c r="J5" s="190"/>
    </row>
    <row r="6" spans="1:10" ht="18.75" customHeight="1" thickBot="1" x14ac:dyDescent="0.25">
      <c r="A6" s="150">
        <f>SUM(D10:D30)</f>
        <v>0.32291666666666652</v>
      </c>
      <c r="B6" s="43"/>
      <c r="C6" s="151">
        <f>SUM(Først:Sist!A6)</f>
        <v>6.8680555555555571</v>
      </c>
      <c r="D6" s="44"/>
      <c r="E6" s="37" t="s">
        <v>11</v>
      </c>
      <c r="F6" s="148">
        <f>Sumcolor(E6,D10:D30)</f>
        <v>6.597222222222221E-2</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80">
        <v>43941</v>
      </c>
      <c r="B10" s="181">
        <v>0.58333333333333337</v>
      </c>
      <c r="C10" s="181">
        <v>0.61805555555555558</v>
      </c>
      <c r="D10" s="95">
        <f t="shared" ref="D10" si="0">(C10-B10)</f>
        <v>3.472222222222221E-2</v>
      </c>
      <c r="E10" s="290" t="s">
        <v>145</v>
      </c>
      <c r="F10" s="291"/>
      <c r="G10" s="263"/>
      <c r="H10" s="25"/>
    </row>
    <row r="11" spans="1:10" ht="16.5" thickBot="1" x14ac:dyDescent="0.3">
      <c r="A11" s="182"/>
      <c r="B11" s="183"/>
      <c r="C11" s="183"/>
      <c r="D11" s="184"/>
      <c r="E11" s="292"/>
      <c r="F11" s="292"/>
      <c r="G11" s="264"/>
      <c r="H11" s="25"/>
    </row>
    <row r="12" spans="1:10" ht="15.75" customHeight="1" x14ac:dyDescent="0.25">
      <c r="A12" s="109">
        <v>43941</v>
      </c>
      <c r="B12" s="100">
        <v>0.625</v>
      </c>
      <c r="C12" s="100">
        <v>0.65625</v>
      </c>
      <c r="D12" s="88">
        <f>(C12-B12)</f>
        <v>3.125E-2</v>
      </c>
      <c r="E12" s="283" t="s">
        <v>146</v>
      </c>
      <c r="F12" s="283"/>
      <c r="G12" s="263"/>
    </row>
    <row r="13" spans="1:10" ht="16.5" thickBot="1" x14ac:dyDescent="0.3">
      <c r="A13" s="152"/>
      <c r="B13" s="153"/>
      <c r="C13" s="153"/>
      <c r="D13" s="139"/>
      <c r="E13" s="284"/>
      <c r="F13" s="284"/>
      <c r="G13" s="264"/>
    </row>
    <row r="14" spans="1:10" ht="15.75" customHeight="1" x14ac:dyDescent="0.25">
      <c r="A14" s="106">
        <v>43941</v>
      </c>
      <c r="B14" s="94">
        <v>0.65625</v>
      </c>
      <c r="C14" s="94">
        <v>0.66666666666666663</v>
      </c>
      <c r="D14" s="95">
        <f>(C14-B14)</f>
        <v>1.041666666666663E-2</v>
      </c>
      <c r="E14" s="229" t="s">
        <v>147</v>
      </c>
      <c r="F14" s="229"/>
      <c r="G14" s="263"/>
    </row>
    <row r="15" spans="1:10" ht="16.5" thickBot="1" x14ac:dyDescent="0.3">
      <c r="A15" s="108"/>
      <c r="B15" s="98"/>
      <c r="C15" s="98"/>
      <c r="D15" s="97"/>
      <c r="E15" s="230"/>
      <c r="F15" s="230"/>
      <c r="G15" s="264"/>
    </row>
    <row r="16" spans="1:10" ht="15.75" customHeight="1" x14ac:dyDescent="0.25">
      <c r="A16" s="106">
        <v>43941</v>
      </c>
      <c r="B16" s="94">
        <v>0.66666666666666663</v>
      </c>
      <c r="C16" s="94">
        <v>0.6875</v>
      </c>
      <c r="D16" s="99">
        <f>(C16-B16)</f>
        <v>2.083333333333337E-2</v>
      </c>
      <c r="E16" s="229" t="s">
        <v>148</v>
      </c>
      <c r="F16" s="229"/>
      <c r="G16" s="263"/>
    </row>
    <row r="17" spans="1:11" ht="16.5" thickBot="1" x14ac:dyDescent="0.3">
      <c r="A17" s="107"/>
      <c r="B17" s="96"/>
      <c r="C17" s="96"/>
      <c r="D17" s="76"/>
      <c r="E17" s="230"/>
      <c r="F17" s="230"/>
      <c r="G17" s="264"/>
    </row>
    <row r="18" spans="1:11" ht="15.75" x14ac:dyDescent="0.25">
      <c r="A18" s="131">
        <v>43944</v>
      </c>
      <c r="B18" s="132">
        <v>0.54166666666666663</v>
      </c>
      <c r="C18" s="132">
        <v>0.58333333333333337</v>
      </c>
      <c r="D18" s="140">
        <f>(C18-B18)</f>
        <v>4.1666666666666741E-2</v>
      </c>
      <c r="E18" s="243" t="s">
        <v>149</v>
      </c>
      <c r="F18" s="243"/>
      <c r="G18" s="263" t="s">
        <v>136</v>
      </c>
    </row>
    <row r="19" spans="1:11" ht="16.5" thickBot="1" x14ac:dyDescent="0.3">
      <c r="A19" s="142"/>
      <c r="B19" s="143"/>
      <c r="C19" s="143"/>
      <c r="D19" s="141"/>
      <c r="E19" s="244"/>
      <c r="F19" s="244"/>
      <c r="G19" s="264"/>
      <c r="I19" s="8"/>
      <c r="K19" s="8"/>
    </row>
    <row r="20" spans="1:11" ht="15.75" customHeight="1" x14ac:dyDescent="0.25">
      <c r="A20" s="109">
        <v>43944</v>
      </c>
      <c r="B20" s="100">
        <v>0.58333333333333337</v>
      </c>
      <c r="C20" s="100">
        <v>0.60416666666666663</v>
      </c>
      <c r="D20" s="101">
        <f t="shared" ref="D20" si="1">(C20-B20)</f>
        <v>2.0833333333333259E-2</v>
      </c>
      <c r="E20" s="218" t="s">
        <v>36</v>
      </c>
      <c r="F20" s="218"/>
      <c r="G20" s="263"/>
      <c r="H20" s="8"/>
      <c r="I20" s="8"/>
      <c r="K20" s="8"/>
    </row>
    <row r="21" spans="1:11" ht="16.5" thickBot="1" x14ac:dyDescent="0.3">
      <c r="A21" s="110"/>
      <c r="B21" s="90"/>
      <c r="C21" s="90"/>
      <c r="D21" s="91"/>
      <c r="E21" s="219"/>
      <c r="F21" s="219"/>
      <c r="G21" s="264"/>
      <c r="H21" s="8"/>
      <c r="I21" s="8"/>
      <c r="K21" s="8"/>
    </row>
    <row r="22" spans="1:11" ht="15.75" customHeight="1" x14ac:dyDescent="0.25">
      <c r="A22" s="131">
        <v>43946</v>
      </c>
      <c r="B22" s="132">
        <v>0.53472222222222221</v>
      </c>
      <c r="C22" s="132">
        <v>0.58333333333333337</v>
      </c>
      <c r="D22" s="140">
        <f t="shared" ref="D22" si="2">(C22-B22)</f>
        <v>4.861111111111116E-2</v>
      </c>
      <c r="E22" s="231" t="s">
        <v>150</v>
      </c>
      <c r="F22" s="231"/>
      <c r="G22" s="263" t="s">
        <v>164</v>
      </c>
      <c r="H22" s="9"/>
      <c r="I22" s="9"/>
      <c r="K22" s="8"/>
    </row>
    <row r="23" spans="1:11" ht="18.75" customHeight="1" thickBot="1" x14ac:dyDescent="0.3">
      <c r="A23" s="142"/>
      <c r="B23" s="143"/>
      <c r="C23" s="143"/>
      <c r="D23" s="141"/>
      <c r="E23" s="232"/>
      <c r="F23" s="232"/>
      <c r="G23" s="264"/>
      <c r="H23" s="10"/>
      <c r="I23" s="10"/>
      <c r="K23" s="8"/>
    </row>
    <row r="24" spans="1:11" ht="12.75" customHeight="1" x14ac:dyDescent="0.25">
      <c r="A24" s="109">
        <v>43946</v>
      </c>
      <c r="B24" s="100">
        <v>0.58333333333333337</v>
      </c>
      <c r="C24" s="100">
        <v>0.60416666666666663</v>
      </c>
      <c r="D24" s="101">
        <f t="shared" ref="D24" si="3">(C24-B24)</f>
        <v>2.0833333333333259E-2</v>
      </c>
      <c r="E24" s="218" t="s">
        <v>36</v>
      </c>
      <c r="F24" s="218"/>
      <c r="G24" s="263"/>
      <c r="H24" s="29"/>
      <c r="K24" s="8"/>
    </row>
    <row r="25" spans="1:11" ht="21.75" customHeight="1" thickBot="1" x14ac:dyDescent="0.3">
      <c r="A25" s="110"/>
      <c r="B25" s="90"/>
      <c r="C25" s="90"/>
      <c r="D25" s="91"/>
      <c r="E25" s="219"/>
      <c r="F25" s="219"/>
      <c r="G25" s="264"/>
      <c r="H25" s="29"/>
      <c r="K25" s="9"/>
    </row>
    <row r="26" spans="1:11" ht="12.75" customHeight="1" x14ac:dyDescent="0.25">
      <c r="A26" s="131">
        <v>43946</v>
      </c>
      <c r="B26" s="132">
        <v>0.73611111111111116</v>
      </c>
      <c r="C26" s="132">
        <v>0.80555555555555547</v>
      </c>
      <c r="D26" s="140">
        <f t="shared" ref="D26" si="4">(C26-B26)</f>
        <v>6.9444444444444309E-2</v>
      </c>
      <c r="E26" s="231" t="s">
        <v>150</v>
      </c>
      <c r="F26" s="231"/>
      <c r="G26" s="263" t="s">
        <v>164</v>
      </c>
      <c r="H26" s="29"/>
      <c r="K26" s="11"/>
    </row>
    <row r="27" spans="1:11" ht="19.5" customHeight="1" thickBot="1" x14ac:dyDescent="0.3">
      <c r="A27" s="142"/>
      <c r="B27" s="143"/>
      <c r="C27" s="143"/>
      <c r="D27" s="141"/>
      <c r="E27" s="232"/>
      <c r="F27" s="232"/>
      <c r="G27" s="264"/>
      <c r="H27" s="29"/>
      <c r="K27" s="7"/>
    </row>
    <row r="28" spans="1:11" ht="12.75" customHeight="1" x14ac:dyDescent="0.25">
      <c r="A28" s="131">
        <v>43947</v>
      </c>
      <c r="B28" s="132">
        <v>0.79166666666666663</v>
      </c>
      <c r="C28" s="132">
        <v>0.81597222222222221</v>
      </c>
      <c r="D28" s="140">
        <f t="shared" ref="D28" si="5">(C28-B28)</f>
        <v>2.430555555555558E-2</v>
      </c>
      <c r="E28" s="231" t="s">
        <v>150</v>
      </c>
      <c r="F28" s="231"/>
      <c r="G28" s="263" t="s">
        <v>164</v>
      </c>
      <c r="H28" s="29"/>
    </row>
    <row r="29" spans="1:11" ht="20.25" customHeight="1" thickBot="1" x14ac:dyDescent="0.3">
      <c r="A29" s="142"/>
      <c r="B29" s="143"/>
      <c r="C29" s="143"/>
      <c r="D29" s="141"/>
      <c r="E29" s="232"/>
      <c r="F29" s="232"/>
      <c r="G29" s="264"/>
      <c r="H29" s="29"/>
    </row>
    <row r="30" spans="1:11" ht="12.75" customHeight="1" x14ac:dyDescent="0.25">
      <c r="A30" s="144"/>
      <c r="B30" s="85"/>
      <c r="C30" s="85"/>
      <c r="D30" s="63"/>
      <c r="E30" s="163"/>
      <c r="F30" s="163"/>
      <c r="G30" s="164"/>
      <c r="H30" s="29"/>
    </row>
    <row r="31" spans="1:11" ht="23.25" customHeight="1" thickBot="1" x14ac:dyDescent="0.4">
      <c r="A31" s="222" t="s">
        <v>21</v>
      </c>
      <c r="B31" s="222"/>
      <c r="C31" s="27"/>
      <c r="D31" s="27"/>
      <c r="E31" s="27"/>
      <c r="F31" s="114"/>
      <c r="G31" s="114"/>
      <c r="H31" s="29"/>
    </row>
    <row r="32" spans="1:11" ht="17.25" customHeight="1" thickBot="1" x14ac:dyDescent="0.25">
      <c r="A32" s="5"/>
      <c r="B32" s="15"/>
      <c r="C32" s="16"/>
      <c r="D32" s="17"/>
      <c r="E32" s="18"/>
      <c r="F32" s="30"/>
      <c r="G32" s="30"/>
      <c r="H32" s="29"/>
    </row>
    <row r="33" spans="1:8" ht="17.25" customHeight="1" x14ac:dyDescent="0.2">
      <c r="A33" s="293" t="s">
        <v>151</v>
      </c>
      <c r="B33" s="272"/>
      <c r="C33" s="272"/>
      <c r="D33" s="272"/>
      <c r="E33" s="272"/>
      <c r="F33" s="272"/>
      <c r="G33" s="273"/>
      <c r="H33" s="29"/>
    </row>
    <row r="34" spans="1:8" ht="17.25" customHeight="1" x14ac:dyDescent="0.2">
      <c r="A34" s="274"/>
      <c r="B34" s="275"/>
      <c r="C34" s="275"/>
      <c r="D34" s="275"/>
      <c r="E34" s="275"/>
      <c r="F34" s="275"/>
      <c r="G34" s="276"/>
      <c r="H34" s="29"/>
    </row>
    <row r="35" spans="1:8" ht="17.25" customHeight="1" x14ac:dyDescent="0.2">
      <c r="A35" s="274"/>
      <c r="B35" s="275"/>
      <c r="C35" s="275"/>
      <c r="D35" s="275"/>
      <c r="E35" s="275"/>
      <c r="F35" s="275"/>
      <c r="G35" s="276"/>
      <c r="H35" s="29"/>
    </row>
    <row r="36" spans="1:8" ht="17.25" customHeight="1" x14ac:dyDescent="0.2">
      <c r="A36" s="274"/>
      <c r="B36" s="275"/>
      <c r="C36" s="275"/>
      <c r="D36" s="275"/>
      <c r="E36" s="275"/>
      <c r="F36" s="275"/>
      <c r="G36" s="276"/>
      <c r="H36" s="29"/>
    </row>
    <row r="37" spans="1:8" ht="17.25" customHeight="1" x14ac:dyDescent="0.2">
      <c r="A37" s="274"/>
      <c r="B37" s="275"/>
      <c r="C37" s="275"/>
      <c r="D37" s="275"/>
      <c r="E37" s="275"/>
      <c r="F37" s="275"/>
      <c r="G37" s="276"/>
      <c r="H37" s="29"/>
    </row>
    <row r="38" spans="1:8" ht="17.25" customHeight="1" x14ac:dyDescent="0.2">
      <c r="A38" s="274"/>
      <c r="B38" s="275"/>
      <c r="C38" s="275"/>
      <c r="D38" s="275"/>
      <c r="E38" s="275"/>
      <c r="F38" s="275"/>
      <c r="G38" s="276"/>
      <c r="H38" s="29"/>
    </row>
    <row r="39" spans="1:8" ht="17.25" customHeight="1" x14ac:dyDescent="0.2">
      <c r="A39" s="274"/>
      <c r="B39" s="275"/>
      <c r="C39" s="275"/>
      <c r="D39" s="275"/>
      <c r="E39" s="275"/>
      <c r="F39" s="275"/>
      <c r="G39" s="276"/>
      <c r="H39" s="29"/>
    </row>
    <row r="40" spans="1:8" ht="17.25" customHeight="1" x14ac:dyDescent="0.2">
      <c r="A40" s="274"/>
      <c r="B40" s="275"/>
      <c r="C40" s="275"/>
      <c r="D40" s="275"/>
      <c r="E40" s="275"/>
      <c r="F40" s="275"/>
      <c r="G40" s="276"/>
      <c r="H40" s="29"/>
    </row>
    <row r="41" spans="1:8" ht="17.25" customHeight="1" x14ac:dyDescent="0.2">
      <c r="A41" s="274"/>
      <c r="B41" s="275"/>
      <c r="C41" s="275"/>
      <c r="D41" s="275"/>
      <c r="E41" s="275"/>
      <c r="F41" s="275"/>
      <c r="G41" s="276"/>
      <c r="H41" s="29"/>
    </row>
    <row r="42" spans="1:8" ht="17.25" customHeight="1" x14ac:dyDescent="0.2">
      <c r="A42" s="274"/>
      <c r="B42" s="275"/>
      <c r="C42" s="275"/>
      <c r="D42" s="275"/>
      <c r="E42" s="275"/>
      <c r="F42" s="275"/>
      <c r="G42" s="276"/>
      <c r="H42" s="29"/>
    </row>
    <row r="43" spans="1:8" ht="17.25" customHeight="1" x14ac:dyDescent="0.2">
      <c r="A43" s="274"/>
      <c r="B43" s="275"/>
      <c r="C43" s="275"/>
      <c r="D43" s="275"/>
      <c r="E43" s="275"/>
      <c r="F43" s="275"/>
      <c r="G43" s="276"/>
      <c r="H43" s="29"/>
    </row>
    <row r="44" spans="1:8" ht="17.25" customHeight="1" x14ac:dyDescent="0.2">
      <c r="A44" s="274"/>
      <c r="B44" s="275"/>
      <c r="C44" s="275"/>
      <c r="D44" s="275"/>
      <c r="E44" s="275"/>
      <c r="F44" s="275"/>
      <c r="G44" s="276"/>
      <c r="H44" s="29"/>
    </row>
    <row r="45" spans="1:8" ht="17.25" customHeight="1" x14ac:dyDescent="0.2">
      <c r="A45" s="274"/>
      <c r="B45" s="275"/>
      <c r="C45" s="275"/>
      <c r="D45" s="275"/>
      <c r="E45" s="275"/>
      <c r="F45" s="275"/>
      <c r="G45" s="276"/>
      <c r="H45" s="29"/>
    </row>
    <row r="46" spans="1:8" ht="68.25" customHeight="1" thickBot="1" x14ac:dyDescent="0.25">
      <c r="A46" s="277"/>
      <c r="B46" s="278"/>
      <c r="C46" s="278"/>
      <c r="D46" s="278"/>
      <c r="E46" s="278"/>
      <c r="F46" s="278"/>
      <c r="G46" s="279"/>
      <c r="H46" s="29"/>
    </row>
    <row r="47" spans="1:8" x14ac:dyDescent="0.2">
      <c r="H47" s="29"/>
    </row>
    <row r="48" spans="1:8" ht="24.75" customHeight="1" x14ac:dyDescent="0.2">
      <c r="H48" s="29"/>
    </row>
    <row r="49" ht="13.5" customHeight="1" x14ac:dyDescent="0.2"/>
    <row r="50" ht="12.75" customHeight="1" x14ac:dyDescent="0.2"/>
    <row r="51" ht="12.75" customHeight="1" x14ac:dyDescent="0.2"/>
    <row r="52" ht="12.75" customHeight="1" x14ac:dyDescent="0.2"/>
    <row r="53" ht="10.5" customHeight="1" x14ac:dyDescent="0.2"/>
    <row r="54" ht="21" customHeight="1" x14ac:dyDescent="0.2"/>
    <row r="55" ht="21" customHeight="1" x14ac:dyDescent="0.2"/>
    <row r="56" ht="12.75" customHeight="1" x14ac:dyDescent="0.2"/>
    <row r="57" ht="12.75" customHeight="1" x14ac:dyDescent="0.2"/>
    <row r="58" ht="300" customHeight="1" x14ac:dyDescent="0.2"/>
    <row r="59" ht="12.75" customHeight="1" x14ac:dyDescent="0.2"/>
    <row r="60" ht="12.75" customHeight="1" x14ac:dyDescent="0.2"/>
    <row r="61" ht="12.75" customHeight="1" x14ac:dyDescent="0.2"/>
    <row r="62" ht="12.75" customHeight="1" x14ac:dyDescent="0.2"/>
    <row r="63" ht="16.5" customHeight="1" x14ac:dyDescent="0.2"/>
    <row r="64"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26">
    <mergeCell ref="A1:D1"/>
    <mergeCell ref="A4:B5"/>
    <mergeCell ref="C4:D5"/>
    <mergeCell ref="J4:J5"/>
    <mergeCell ref="E10:F11"/>
    <mergeCell ref="G10:G11"/>
    <mergeCell ref="E12:F13"/>
    <mergeCell ref="G12:G13"/>
    <mergeCell ref="E14:F15"/>
    <mergeCell ref="G14:G15"/>
    <mergeCell ref="E16:F17"/>
    <mergeCell ref="G16:G17"/>
    <mergeCell ref="E18:F19"/>
    <mergeCell ref="G18:G19"/>
    <mergeCell ref="E20:F21"/>
    <mergeCell ref="G20:G21"/>
    <mergeCell ref="E22:F23"/>
    <mergeCell ref="G22:G23"/>
    <mergeCell ref="A31:B31"/>
    <mergeCell ref="A33:G46"/>
    <mergeCell ref="E24:F25"/>
    <mergeCell ref="G24:G25"/>
    <mergeCell ref="E26:F27"/>
    <mergeCell ref="G26:G27"/>
    <mergeCell ref="E28:F29"/>
    <mergeCell ref="G28:G29"/>
  </mergeCells>
  <conditionalFormatting sqref="H20:I21 I19">
    <cfRule type="expression" dxfId="33" priority="6">
      <formula>ISNUMBER(SEARCH(TEXT(#REF!,"ddd"),#REF!))</formula>
    </cfRule>
  </conditionalFormatting>
  <conditionalFormatting sqref="A10:D12 A16:D17 A18:C18 A20:C20 A22:C22 A24:C24 A26:C26 A28:C28">
    <cfRule type="expression" dxfId="32" priority="7">
      <formula>ISNUMBER(SEARCH(TEXT(#REF!,"ddd"),#REF!))</formula>
    </cfRule>
  </conditionalFormatting>
  <conditionalFormatting sqref="K19:K24">
    <cfRule type="expression" dxfId="31" priority="8">
      <formula>ISNUMBER(SEARCH(TEXT(#REF!,"ddd"),#REF!))</formula>
    </cfRule>
  </conditionalFormatting>
  <conditionalFormatting sqref="D14">
    <cfRule type="expression" dxfId="30" priority="5">
      <formula>ISNUMBER(SEARCH(TEXT(#REF!,"ddd"),#REF!))</formula>
    </cfRule>
  </conditionalFormatting>
  <conditionalFormatting sqref="A14:C14">
    <cfRule type="expression" dxfId="29" priority="2">
      <formula>ISNUMBER(SEARCH(TEXT(#REF!,"ddd"),#REF!))</formula>
    </cfRule>
  </conditionalFormatting>
  <conditionalFormatting sqref="A13:D13">
    <cfRule type="expression" dxfId="28" priority="4">
      <formula>ISNUMBER(SEARCH(TEXT(#REF!,"ddd"),#REF!))</formula>
    </cfRule>
  </conditionalFormatting>
  <conditionalFormatting sqref="A15:D15 A30:C30">
    <cfRule type="expression" dxfId="27" priority="3">
      <formula>ISNUMBER(SEARCH(TEXT(#REF!,"ddd"),#REF!))</formula>
    </cfRule>
  </conditionalFormatting>
  <dataValidations count="2">
    <dataValidation type="custom" allowBlank="1" showInputMessage="1" showErrorMessage="1" sqref="C10 C17" xr:uid="{703676D8-A6C5-4D3A-813F-4F79FC548530}">
      <formula1>AND($C10&lt;=1,ISNUMBER($C10),($C10&gt;=$B10))</formula1>
    </dataValidation>
    <dataValidation type="custom" allowBlank="1" showInputMessage="1" showErrorMessage="1" sqref="C18 B10:B18 C11:C16 B20:C20 B22:C22 B24:C24 B26:C26 B28:C28 B30:C30" xr:uid="{880A7109-B733-4FCF-96E7-83322A72B8E2}">
      <formula1>AND($B10&lt;=1,ISNUMBER($B10))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96776-8571-42B5-BEB2-68013175416C}">
  <sheetPr codeName="Sheet24">
    <pageSetUpPr fitToPage="1"/>
  </sheetPr>
  <dimension ref="A1:K79"/>
  <sheetViews>
    <sheetView showGridLines="0" zoomScaleNormal="100" workbookViewId="0">
      <selection activeCell="I17" sqref="I17"/>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18</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43948</v>
      </c>
      <c r="B3" s="154"/>
      <c r="C3" s="103">
        <f>A16</f>
        <v>43954</v>
      </c>
      <c r="D3" s="154"/>
      <c r="E3" s="34" t="s">
        <v>6</v>
      </c>
      <c r="F3" s="149">
        <f>Sumcolor(E3,D10:D22)</f>
        <v>0</v>
      </c>
      <c r="G3" s="147">
        <f>SUM(Først:Sist!F3)</f>
        <v>0.62499999999999989</v>
      </c>
      <c r="H3" s="22"/>
      <c r="I3" s="7"/>
      <c r="J3" s="7"/>
    </row>
    <row r="4" spans="1:10" ht="15" customHeight="1" x14ac:dyDescent="0.2">
      <c r="A4" s="192" t="s">
        <v>7</v>
      </c>
      <c r="B4" s="192"/>
      <c r="C4" s="201" t="s">
        <v>8</v>
      </c>
      <c r="D4" s="201"/>
      <c r="E4" s="35" t="s">
        <v>9</v>
      </c>
      <c r="F4" s="149">
        <f>Sumcolor(E4,D10:D22)</f>
        <v>0.20486111111111116</v>
      </c>
      <c r="G4" s="147">
        <f>SUM(Først:Sist!F4)</f>
        <v>2.7604166666666665</v>
      </c>
      <c r="H4" s="22"/>
      <c r="I4" s="7"/>
      <c r="J4" s="190"/>
    </row>
    <row r="5" spans="1:10" ht="15.75" x14ac:dyDescent="0.2">
      <c r="A5" s="201"/>
      <c r="B5" s="201"/>
      <c r="C5" s="201"/>
      <c r="D5" s="201"/>
      <c r="E5" s="36" t="s">
        <v>10</v>
      </c>
      <c r="F5" s="149">
        <f>Sumcolor(E5,D10:D22)</f>
        <v>2.430555555555558E-2</v>
      </c>
      <c r="G5" s="147">
        <f>SUM(Først:Sist!F5)</f>
        <v>1.1701388888888882</v>
      </c>
      <c r="H5" s="22"/>
      <c r="I5" s="7"/>
      <c r="J5" s="190"/>
    </row>
    <row r="6" spans="1:10" ht="18.75" customHeight="1" thickBot="1" x14ac:dyDescent="0.25">
      <c r="A6" s="150">
        <f>SUM(D10:D22)</f>
        <v>0.22916666666666674</v>
      </c>
      <c r="B6" s="43"/>
      <c r="C6" s="151">
        <f>SUM(Først:Sist!A6)</f>
        <v>6.8680555555555571</v>
      </c>
      <c r="D6" s="44"/>
      <c r="E6" s="37" t="s">
        <v>11</v>
      </c>
      <c r="F6" s="148">
        <f>Sumcolor(E6,D10:D22)</f>
        <v>0</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04">
        <v>43948</v>
      </c>
      <c r="B10" s="87">
        <v>0.58333333333333337</v>
      </c>
      <c r="C10" s="87">
        <v>0.60763888888888895</v>
      </c>
      <c r="D10" s="88">
        <f t="shared" ref="D10" si="0">(C10-B10)</f>
        <v>2.430555555555558E-2</v>
      </c>
      <c r="E10" s="294" t="s">
        <v>63</v>
      </c>
      <c r="F10" s="225"/>
      <c r="G10" s="263"/>
      <c r="H10" s="25"/>
    </row>
    <row r="11" spans="1:10" ht="16.5" thickBot="1" x14ac:dyDescent="0.3">
      <c r="A11" s="105"/>
      <c r="B11" s="92"/>
      <c r="C11" s="92"/>
      <c r="D11" s="93"/>
      <c r="E11" s="226"/>
      <c r="F11" s="226"/>
      <c r="G11" s="264"/>
      <c r="H11" s="25"/>
    </row>
    <row r="12" spans="1:10" ht="15.75" customHeight="1" x14ac:dyDescent="0.25">
      <c r="A12" s="131">
        <v>43953</v>
      </c>
      <c r="B12" s="132">
        <v>0.70833333333333337</v>
      </c>
      <c r="C12" s="132">
        <v>0.80208333333333337</v>
      </c>
      <c r="D12" s="133">
        <f>(C12-B12)</f>
        <v>9.375E-2</v>
      </c>
      <c r="E12" s="245" t="s">
        <v>152</v>
      </c>
      <c r="F12" s="245"/>
      <c r="G12" s="263"/>
    </row>
    <row r="13" spans="1:10" ht="16.5" thickBot="1" x14ac:dyDescent="0.3">
      <c r="A13" s="134"/>
      <c r="B13" s="135"/>
      <c r="C13" s="135"/>
      <c r="D13" s="136"/>
      <c r="E13" s="246"/>
      <c r="F13" s="246"/>
      <c r="G13" s="264"/>
    </row>
    <row r="14" spans="1:10" ht="15.75" customHeight="1" x14ac:dyDescent="0.25">
      <c r="A14" s="131">
        <v>43953</v>
      </c>
      <c r="B14" s="132">
        <v>0.80208333333333337</v>
      </c>
      <c r="C14" s="132">
        <v>0.83333333333333337</v>
      </c>
      <c r="D14" s="133">
        <f>(C14-B14)</f>
        <v>3.125E-2</v>
      </c>
      <c r="E14" s="269" t="s">
        <v>153</v>
      </c>
      <c r="F14" s="269"/>
      <c r="G14" s="263" t="s">
        <v>165</v>
      </c>
    </row>
    <row r="15" spans="1:10" ht="16.5" thickBot="1" x14ac:dyDescent="0.3">
      <c r="A15" s="158"/>
      <c r="B15" s="159"/>
      <c r="C15" s="159"/>
      <c r="D15" s="136"/>
      <c r="E15" s="270"/>
      <c r="F15" s="270"/>
      <c r="G15" s="264"/>
    </row>
    <row r="16" spans="1:10" ht="15.75" customHeight="1" x14ac:dyDescent="0.25">
      <c r="A16" s="131">
        <v>43954</v>
      </c>
      <c r="B16" s="132">
        <v>0.65972222222222221</v>
      </c>
      <c r="C16" s="132">
        <v>0.73958333333333337</v>
      </c>
      <c r="D16" s="140">
        <f>(C16-B16)</f>
        <v>7.986111111111116E-2</v>
      </c>
      <c r="E16" s="269" t="s">
        <v>154</v>
      </c>
      <c r="F16" s="269"/>
      <c r="G16" s="263" t="s">
        <v>165</v>
      </c>
    </row>
    <row r="17" spans="1:11" ht="16.5" thickBot="1" x14ac:dyDescent="0.3">
      <c r="A17" s="134"/>
      <c r="B17" s="135"/>
      <c r="C17" s="135"/>
      <c r="D17" s="141"/>
      <c r="E17" s="270"/>
      <c r="F17" s="270"/>
      <c r="G17" s="264"/>
    </row>
    <row r="18" spans="1:11" ht="15.75" x14ac:dyDescent="0.25">
      <c r="A18" s="122"/>
      <c r="B18" s="123"/>
      <c r="C18" s="123"/>
      <c r="D18" s="124">
        <f>(C18-B18)</f>
        <v>0</v>
      </c>
      <c r="E18" s="296"/>
      <c r="F18" s="296"/>
      <c r="G18" s="263"/>
    </row>
    <row r="19" spans="1:11" ht="16.5" thickBot="1" x14ac:dyDescent="0.3">
      <c r="A19" s="125"/>
      <c r="B19" s="86"/>
      <c r="C19" s="86"/>
      <c r="D19" s="50"/>
      <c r="E19" s="297"/>
      <c r="F19" s="297"/>
      <c r="G19" s="264"/>
      <c r="I19" s="8"/>
      <c r="K19" s="8"/>
    </row>
    <row r="20" spans="1:11" ht="15.75" customHeight="1" x14ac:dyDescent="0.25">
      <c r="A20" s="122"/>
      <c r="B20" s="123"/>
      <c r="C20" s="123"/>
      <c r="D20" s="124">
        <f t="shared" ref="D20" si="1">(C20-B20)</f>
        <v>0</v>
      </c>
      <c r="E20" s="250"/>
      <c r="F20" s="250"/>
      <c r="G20" s="263"/>
      <c r="H20" s="8"/>
      <c r="I20" s="8"/>
      <c r="K20" s="8"/>
    </row>
    <row r="21" spans="1:11" ht="16.5" thickBot="1" x14ac:dyDescent="0.3">
      <c r="A21" s="125"/>
      <c r="B21" s="86"/>
      <c r="C21" s="86"/>
      <c r="D21" s="50"/>
      <c r="E21" s="251"/>
      <c r="F21" s="251"/>
      <c r="G21" s="264"/>
      <c r="H21" s="8"/>
      <c r="I21" s="8"/>
      <c r="K21" s="8"/>
    </row>
    <row r="22" spans="1:11" ht="15.75" customHeight="1" x14ac:dyDescent="0.25">
      <c r="A22" s="144"/>
      <c r="B22" s="85"/>
      <c r="C22" s="85"/>
      <c r="D22" s="63"/>
      <c r="E22" s="163"/>
      <c r="F22" s="163"/>
      <c r="G22" s="164"/>
      <c r="H22" s="9"/>
      <c r="I22" s="9"/>
      <c r="K22" s="8"/>
    </row>
    <row r="23" spans="1:11" ht="18.75" customHeight="1" thickBot="1" x14ac:dyDescent="0.4">
      <c r="A23" s="222" t="s">
        <v>21</v>
      </c>
      <c r="B23" s="222"/>
      <c r="C23" s="27"/>
      <c r="D23" s="27"/>
      <c r="E23" s="27"/>
      <c r="F23" s="114"/>
      <c r="G23" s="114"/>
      <c r="H23" s="10"/>
      <c r="I23" s="10"/>
      <c r="K23" s="8"/>
    </row>
    <row r="24" spans="1:11" ht="12.75" customHeight="1" thickBot="1" x14ac:dyDescent="0.25">
      <c r="A24" s="5"/>
      <c r="B24" s="15"/>
      <c r="C24" s="16"/>
      <c r="D24" s="17"/>
      <c r="E24" s="18"/>
      <c r="F24" s="30"/>
      <c r="G24" s="30"/>
      <c r="H24" s="29"/>
      <c r="K24" s="8"/>
    </row>
    <row r="25" spans="1:11" ht="21.75" customHeight="1" x14ac:dyDescent="0.2">
      <c r="A25" s="295" t="s">
        <v>155</v>
      </c>
      <c r="B25" s="272"/>
      <c r="C25" s="272"/>
      <c r="D25" s="272"/>
      <c r="E25" s="272"/>
      <c r="F25" s="272"/>
      <c r="G25" s="273"/>
      <c r="H25" s="29"/>
      <c r="K25" s="9"/>
    </row>
    <row r="26" spans="1:11" ht="12.75" customHeight="1" x14ac:dyDescent="0.2">
      <c r="A26" s="274"/>
      <c r="B26" s="275"/>
      <c r="C26" s="275"/>
      <c r="D26" s="275"/>
      <c r="E26" s="275"/>
      <c r="F26" s="275"/>
      <c r="G26" s="276"/>
      <c r="H26" s="29"/>
      <c r="K26" s="11"/>
    </row>
    <row r="27" spans="1:11" ht="19.5" customHeight="1" x14ac:dyDescent="0.2">
      <c r="A27" s="274"/>
      <c r="B27" s="275"/>
      <c r="C27" s="275"/>
      <c r="D27" s="275"/>
      <c r="E27" s="275"/>
      <c r="F27" s="275"/>
      <c r="G27" s="276"/>
      <c r="H27" s="29"/>
      <c r="K27" s="7"/>
    </row>
    <row r="28" spans="1:11" ht="12.75" customHeight="1" x14ac:dyDescent="0.2">
      <c r="A28" s="274"/>
      <c r="B28" s="275"/>
      <c r="C28" s="275"/>
      <c r="D28" s="275"/>
      <c r="E28" s="275"/>
      <c r="F28" s="275"/>
      <c r="G28" s="276"/>
      <c r="H28" s="29"/>
    </row>
    <row r="29" spans="1:11" ht="20.25" customHeight="1" x14ac:dyDescent="0.2">
      <c r="A29" s="274"/>
      <c r="B29" s="275"/>
      <c r="C29" s="275"/>
      <c r="D29" s="275"/>
      <c r="E29" s="275"/>
      <c r="F29" s="275"/>
      <c r="G29" s="276"/>
      <c r="H29" s="29"/>
    </row>
    <row r="30" spans="1:11" ht="12.75" customHeight="1" x14ac:dyDescent="0.2">
      <c r="A30" s="274"/>
      <c r="B30" s="275"/>
      <c r="C30" s="275"/>
      <c r="D30" s="275"/>
      <c r="E30" s="275"/>
      <c r="F30" s="275"/>
      <c r="G30" s="276"/>
      <c r="H30" s="29"/>
    </row>
    <row r="31" spans="1:11" ht="23.25" customHeight="1" x14ac:dyDescent="0.2">
      <c r="A31" s="274"/>
      <c r="B31" s="275"/>
      <c r="C31" s="275"/>
      <c r="D31" s="275"/>
      <c r="E31" s="275"/>
      <c r="F31" s="275"/>
      <c r="G31" s="276"/>
      <c r="H31" s="29"/>
    </row>
    <row r="32" spans="1:11" ht="17.25" customHeight="1" x14ac:dyDescent="0.2">
      <c r="A32" s="274"/>
      <c r="B32" s="275"/>
      <c r="C32" s="275"/>
      <c r="D32" s="275"/>
      <c r="E32" s="275"/>
      <c r="F32" s="275"/>
      <c r="G32" s="276"/>
      <c r="H32" s="29"/>
    </row>
    <row r="33" spans="1:8" ht="17.25" customHeight="1" x14ac:dyDescent="0.2">
      <c r="A33" s="274"/>
      <c r="B33" s="275"/>
      <c r="C33" s="275"/>
      <c r="D33" s="275"/>
      <c r="E33" s="275"/>
      <c r="F33" s="275"/>
      <c r="G33" s="276"/>
      <c r="H33" s="29"/>
    </row>
    <row r="34" spans="1:8" ht="17.25" customHeight="1" x14ac:dyDescent="0.2">
      <c r="A34" s="274"/>
      <c r="B34" s="275"/>
      <c r="C34" s="275"/>
      <c r="D34" s="275"/>
      <c r="E34" s="275"/>
      <c r="F34" s="275"/>
      <c r="G34" s="276"/>
      <c r="H34" s="29"/>
    </row>
    <row r="35" spans="1:8" ht="17.25" customHeight="1" x14ac:dyDescent="0.2">
      <c r="A35" s="274"/>
      <c r="B35" s="275"/>
      <c r="C35" s="275"/>
      <c r="D35" s="275"/>
      <c r="E35" s="275"/>
      <c r="F35" s="275"/>
      <c r="G35" s="276"/>
      <c r="H35" s="29"/>
    </row>
    <row r="36" spans="1:8" ht="17.25" customHeight="1" x14ac:dyDescent="0.2">
      <c r="A36" s="274"/>
      <c r="B36" s="275"/>
      <c r="C36" s="275"/>
      <c r="D36" s="275"/>
      <c r="E36" s="275"/>
      <c r="F36" s="275"/>
      <c r="G36" s="276"/>
      <c r="H36" s="29"/>
    </row>
    <row r="37" spans="1:8" ht="17.25" customHeight="1" x14ac:dyDescent="0.2">
      <c r="A37" s="274"/>
      <c r="B37" s="275"/>
      <c r="C37" s="275"/>
      <c r="D37" s="275"/>
      <c r="E37" s="275"/>
      <c r="F37" s="275"/>
      <c r="G37" s="276"/>
      <c r="H37" s="29"/>
    </row>
    <row r="38" spans="1:8" ht="5.25" customHeight="1" thickBot="1" x14ac:dyDescent="0.25">
      <c r="A38" s="277"/>
      <c r="B38" s="278"/>
      <c r="C38" s="278"/>
      <c r="D38" s="278"/>
      <c r="E38" s="278"/>
      <c r="F38" s="278"/>
      <c r="G38" s="279"/>
      <c r="H38" s="29"/>
    </row>
    <row r="39" spans="1:8" ht="17.25" customHeight="1" x14ac:dyDescent="0.2">
      <c r="H39" s="29"/>
    </row>
    <row r="40" spans="1:8" ht="17.25" customHeight="1" x14ac:dyDescent="0.2">
      <c r="H40" s="29"/>
    </row>
    <row r="41" spans="1:8" ht="17.25" customHeight="1" x14ac:dyDescent="0.2">
      <c r="H41" s="29"/>
    </row>
    <row r="42" spans="1:8" ht="17.25" customHeight="1" x14ac:dyDescent="0.2">
      <c r="H42" s="29"/>
    </row>
    <row r="43" spans="1:8" ht="17.25" customHeight="1" x14ac:dyDescent="0.2">
      <c r="H43" s="29"/>
    </row>
    <row r="44" spans="1:8" ht="17.25" customHeight="1" x14ac:dyDescent="0.2">
      <c r="H44" s="29"/>
    </row>
    <row r="45" spans="1:8" ht="17.25" customHeight="1" x14ac:dyDescent="0.2">
      <c r="H45" s="29"/>
    </row>
    <row r="46" spans="1:8" ht="17.25" customHeight="1" x14ac:dyDescent="0.2">
      <c r="H46" s="29"/>
    </row>
    <row r="47" spans="1:8" x14ac:dyDescent="0.2">
      <c r="H47" s="29"/>
    </row>
    <row r="48" spans="1:8" ht="24.75" customHeight="1" x14ac:dyDescent="0.2">
      <c r="H48" s="29"/>
    </row>
    <row r="49" ht="13.5" customHeight="1" x14ac:dyDescent="0.2"/>
    <row r="50" ht="12.75" customHeight="1" x14ac:dyDescent="0.2"/>
    <row r="51" ht="12.75" customHeight="1" x14ac:dyDescent="0.2"/>
    <row r="52" ht="12.75" customHeight="1" x14ac:dyDescent="0.2"/>
    <row r="53" ht="10.5" customHeight="1" x14ac:dyDescent="0.2"/>
    <row r="54" ht="21" customHeight="1" x14ac:dyDescent="0.2"/>
    <row r="55" ht="21" customHeight="1" x14ac:dyDescent="0.2"/>
    <row r="56" ht="12.75" customHeight="1" x14ac:dyDescent="0.2"/>
    <row r="57" ht="12.75" customHeight="1" x14ac:dyDescent="0.2"/>
    <row r="58" ht="20.25" customHeight="1" x14ac:dyDescent="0.2"/>
    <row r="59" ht="12.75" customHeight="1" x14ac:dyDescent="0.2"/>
    <row r="60" ht="12.75" customHeight="1" x14ac:dyDescent="0.2"/>
    <row r="61" ht="12.75" customHeight="1" x14ac:dyDescent="0.2"/>
    <row r="62" ht="12.75" customHeight="1" x14ac:dyDescent="0.2"/>
    <row r="63" ht="16.5" customHeight="1" x14ac:dyDescent="0.2"/>
    <row r="64"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18">
    <mergeCell ref="A25:G38"/>
    <mergeCell ref="E18:F19"/>
    <mergeCell ref="G18:G19"/>
    <mergeCell ref="E20:F21"/>
    <mergeCell ref="G20:G21"/>
    <mergeCell ref="A23:B23"/>
    <mergeCell ref="E12:F13"/>
    <mergeCell ref="G12:G13"/>
    <mergeCell ref="E14:F15"/>
    <mergeCell ref="G14:G15"/>
    <mergeCell ref="E16:F17"/>
    <mergeCell ref="G16:G17"/>
    <mergeCell ref="A1:D1"/>
    <mergeCell ref="A4:B5"/>
    <mergeCell ref="C4:D5"/>
    <mergeCell ref="J4:J5"/>
    <mergeCell ref="E10:F11"/>
    <mergeCell ref="G10:G11"/>
  </mergeCells>
  <conditionalFormatting sqref="H20:I21 I19">
    <cfRule type="expression" dxfId="26" priority="6">
      <formula>ISNUMBER(SEARCH(TEXT(#REF!,"ddd"),#REF!))</formula>
    </cfRule>
  </conditionalFormatting>
  <conditionalFormatting sqref="A10:D12 A16:D17 A18:C18 A20:C20">
    <cfRule type="expression" dxfId="25" priority="7">
      <formula>ISNUMBER(SEARCH(TEXT(#REF!,"ddd"),#REF!))</formula>
    </cfRule>
  </conditionalFormatting>
  <conditionalFormatting sqref="K19:K24">
    <cfRule type="expression" dxfId="24" priority="8">
      <formula>ISNUMBER(SEARCH(TEXT(#REF!,"ddd"),#REF!))</formula>
    </cfRule>
  </conditionalFormatting>
  <conditionalFormatting sqref="D14">
    <cfRule type="expression" dxfId="23" priority="5">
      <formula>ISNUMBER(SEARCH(TEXT(#REF!,"ddd"),#REF!))</formula>
    </cfRule>
  </conditionalFormatting>
  <conditionalFormatting sqref="A14:C14">
    <cfRule type="expression" dxfId="22" priority="2">
      <formula>ISNUMBER(SEARCH(TEXT(#REF!,"ddd"),#REF!))</formula>
    </cfRule>
  </conditionalFormatting>
  <conditionalFormatting sqref="A13:D13">
    <cfRule type="expression" dxfId="21" priority="4">
      <formula>ISNUMBER(SEARCH(TEXT(#REF!,"ddd"),#REF!))</formula>
    </cfRule>
  </conditionalFormatting>
  <conditionalFormatting sqref="A15:D15 A22:C22">
    <cfRule type="expression" dxfId="20" priority="3">
      <formula>ISNUMBER(SEARCH(TEXT(#REF!,"ddd"),#REF!))</formula>
    </cfRule>
  </conditionalFormatting>
  <dataValidations count="2">
    <dataValidation type="custom" allowBlank="1" showInputMessage="1" showErrorMessage="1" sqref="C18 B10:B18 C11:C16 B20:C20 B22:C22" xr:uid="{69C9CAEF-D352-457C-BC56-2AC7C6C1A98C}">
      <formula1>AND($B10&lt;=1,ISNUMBER($B10))</formula1>
    </dataValidation>
    <dataValidation type="custom" allowBlank="1" showInputMessage="1" showErrorMessage="1" sqref="C10 C17" xr:uid="{83633F05-7DAE-48F3-B320-17F1D4DB84CE}">
      <formula1>AND($C10&lt;=1,ISNUMBER($C10),($C10&gt;=$B10))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8DB5A-8006-4098-B8CF-5C4FCE61241D}">
  <sheetPr codeName="Sheet25">
    <pageSetUpPr fitToPage="1"/>
  </sheetPr>
  <dimension ref="A1:K79"/>
  <sheetViews>
    <sheetView showGridLines="0" zoomScaleNormal="100" workbookViewId="0">
      <selection activeCell="I18" sqref="I18"/>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19</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43955</v>
      </c>
      <c r="B3" s="154"/>
      <c r="C3" s="103" t="e">
        <f>#REF!</f>
        <v>#REF!</v>
      </c>
      <c r="D3" s="154"/>
      <c r="E3" s="34" t="s">
        <v>6</v>
      </c>
      <c r="F3" s="149">
        <f>Sumcolor(E3,D10:D26)</f>
        <v>0</v>
      </c>
      <c r="G3" s="147">
        <f>SUM(Først:Sist!F3)</f>
        <v>0.62499999999999989</v>
      </c>
      <c r="H3" s="22"/>
      <c r="I3" s="7"/>
      <c r="J3" s="7"/>
    </row>
    <row r="4" spans="1:10" ht="15" customHeight="1" x14ac:dyDescent="0.2">
      <c r="A4" s="192" t="s">
        <v>7</v>
      </c>
      <c r="B4" s="192"/>
      <c r="C4" s="201" t="s">
        <v>8</v>
      </c>
      <c r="D4" s="201"/>
      <c r="E4" s="35" t="s">
        <v>9</v>
      </c>
      <c r="F4" s="149">
        <f>Sumcolor(E4,D10:D26)</f>
        <v>0.26736111111111116</v>
      </c>
      <c r="G4" s="147">
        <f>SUM(Først:Sist!F4)</f>
        <v>2.7604166666666665</v>
      </c>
      <c r="H4" s="22"/>
      <c r="I4" s="7"/>
      <c r="J4" s="190"/>
    </row>
    <row r="5" spans="1:10" ht="15.75" x14ac:dyDescent="0.2">
      <c r="A5" s="201"/>
      <c r="B5" s="201"/>
      <c r="C5" s="201"/>
      <c r="D5" s="201"/>
      <c r="E5" s="36" t="s">
        <v>10</v>
      </c>
      <c r="F5" s="149">
        <f>Sumcolor(E5,D10:D26)</f>
        <v>2.0833333333333259E-2</v>
      </c>
      <c r="G5" s="147">
        <f>SUM(Først:Sist!F5)</f>
        <v>1.1701388888888882</v>
      </c>
      <c r="H5" s="22"/>
      <c r="I5" s="7"/>
      <c r="J5" s="190"/>
    </row>
    <row r="6" spans="1:10" ht="18.75" customHeight="1" thickBot="1" x14ac:dyDescent="0.25">
      <c r="A6" s="150">
        <f>SUM(D10:D26)</f>
        <v>0.35763888888888895</v>
      </c>
      <c r="B6" s="43"/>
      <c r="C6" s="151">
        <f>SUM(Først:Sist!A6)</f>
        <v>6.8680555555555571</v>
      </c>
      <c r="D6" s="44"/>
      <c r="E6" s="37" t="s">
        <v>11</v>
      </c>
      <c r="F6" s="148">
        <f>Sumcolor(E6,D10:D26)</f>
        <v>6.9444444444444531E-2</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85">
        <v>43955</v>
      </c>
      <c r="B10" s="186">
        <v>0.73958333333333337</v>
      </c>
      <c r="C10" s="186">
        <v>0.8125</v>
      </c>
      <c r="D10" s="133">
        <f t="shared" ref="D10" si="0">(C10-B10)</f>
        <v>7.291666666666663E-2</v>
      </c>
      <c r="E10" s="269" t="s">
        <v>157</v>
      </c>
      <c r="F10" s="241"/>
      <c r="G10" s="263" t="s">
        <v>164</v>
      </c>
      <c r="H10" s="25"/>
    </row>
    <row r="11" spans="1:10" ht="36" customHeight="1" thickBot="1" x14ac:dyDescent="0.3">
      <c r="A11" s="187"/>
      <c r="B11" s="188"/>
      <c r="C11" s="188"/>
      <c r="D11" s="189"/>
      <c r="E11" s="242"/>
      <c r="F11" s="242"/>
      <c r="G11" s="264"/>
      <c r="H11" s="25"/>
    </row>
    <row r="12" spans="1:10" ht="15.75" customHeight="1" x14ac:dyDescent="0.25">
      <c r="A12" s="131">
        <v>43956</v>
      </c>
      <c r="B12" s="132">
        <v>0.59375</v>
      </c>
      <c r="C12" s="132">
        <v>0.625</v>
      </c>
      <c r="D12" s="133">
        <f>(C12-B12)</f>
        <v>3.125E-2</v>
      </c>
      <c r="E12" s="245" t="s">
        <v>158</v>
      </c>
      <c r="F12" s="245"/>
      <c r="G12" s="263"/>
    </row>
    <row r="13" spans="1:10" ht="16.5" thickBot="1" x14ac:dyDescent="0.3">
      <c r="A13" s="134"/>
      <c r="B13" s="135"/>
      <c r="C13" s="135"/>
      <c r="D13" s="136"/>
      <c r="E13" s="246"/>
      <c r="F13" s="246"/>
      <c r="G13" s="264"/>
    </row>
    <row r="14" spans="1:10" ht="15.75" customHeight="1" x14ac:dyDescent="0.25">
      <c r="A14" s="109">
        <v>43957</v>
      </c>
      <c r="B14" s="100">
        <v>0.58333333333333337</v>
      </c>
      <c r="C14" s="100">
        <v>0.60416666666666663</v>
      </c>
      <c r="D14" s="88">
        <f>(C14-B14)</f>
        <v>2.0833333333333259E-2</v>
      </c>
      <c r="E14" s="239" t="s">
        <v>63</v>
      </c>
      <c r="F14" s="239"/>
      <c r="G14" s="263"/>
    </row>
    <row r="15" spans="1:10" ht="16.5" thickBot="1" x14ac:dyDescent="0.3">
      <c r="A15" s="137"/>
      <c r="B15" s="138"/>
      <c r="C15" s="138"/>
      <c r="D15" s="139"/>
      <c r="E15" s="240"/>
      <c r="F15" s="240"/>
      <c r="G15" s="264"/>
    </row>
    <row r="16" spans="1:10" ht="15.75" customHeight="1" x14ac:dyDescent="0.25">
      <c r="A16" s="131">
        <v>43957</v>
      </c>
      <c r="B16" s="132">
        <v>0.60416666666666663</v>
      </c>
      <c r="C16" s="132">
        <v>0.67361111111111116</v>
      </c>
      <c r="D16" s="140">
        <f>(C16-B16)</f>
        <v>6.9444444444444531E-2</v>
      </c>
      <c r="E16" s="269" t="s">
        <v>159</v>
      </c>
      <c r="F16" s="269"/>
      <c r="G16" s="263" t="s">
        <v>165</v>
      </c>
    </row>
    <row r="17" spans="1:11" ht="16.5" thickBot="1" x14ac:dyDescent="0.3">
      <c r="A17" s="134"/>
      <c r="B17" s="135"/>
      <c r="C17" s="135"/>
      <c r="D17" s="141"/>
      <c r="E17" s="270"/>
      <c r="F17" s="270"/>
      <c r="G17" s="264"/>
    </row>
    <row r="18" spans="1:11" ht="15.75" x14ac:dyDescent="0.25">
      <c r="A18" s="131">
        <v>43957</v>
      </c>
      <c r="B18" s="132">
        <v>0.67361111111111116</v>
      </c>
      <c r="C18" s="132">
        <v>0.6875</v>
      </c>
      <c r="D18" s="140">
        <f>(C18-B18)</f>
        <v>1.388888888888884E-2</v>
      </c>
      <c r="E18" s="231" t="s">
        <v>160</v>
      </c>
      <c r="F18" s="231"/>
      <c r="G18" s="263" t="s">
        <v>166</v>
      </c>
    </row>
    <row r="19" spans="1:11" ht="16.5" thickBot="1" x14ac:dyDescent="0.3">
      <c r="A19" s="142"/>
      <c r="B19" s="143"/>
      <c r="C19" s="143"/>
      <c r="D19" s="141"/>
      <c r="E19" s="232"/>
      <c r="F19" s="232"/>
      <c r="G19" s="264"/>
      <c r="I19" s="8"/>
      <c r="K19" s="8"/>
    </row>
    <row r="20" spans="1:11" ht="15.75" customHeight="1" x14ac:dyDescent="0.25">
      <c r="A20" s="131">
        <v>43957</v>
      </c>
      <c r="B20" s="132">
        <v>0.75</v>
      </c>
      <c r="C20" s="132">
        <v>0.81944444444444453</v>
      </c>
      <c r="D20" s="140">
        <f t="shared" ref="D20" si="1">(C20-B20)</f>
        <v>6.9444444444444531E-2</v>
      </c>
      <c r="E20" s="231" t="s">
        <v>161</v>
      </c>
      <c r="F20" s="231"/>
      <c r="G20" s="263" t="s">
        <v>166</v>
      </c>
      <c r="H20" s="8"/>
      <c r="I20" s="8"/>
      <c r="K20" s="8"/>
    </row>
    <row r="21" spans="1:11" ht="16.5" thickBot="1" x14ac:dyDescent="0.3">
      <c r="A21" s="142"/>
      <c r="B21" s="143"/>
      <c r="C21" s="143"/>
      <c r="D21" s="141"/>
      <c r="E21" s="232"/>
      <c r="F21" s="232"/>
      <c r="G21" s="264"/>
      <c r="H21" s="8"/>
      <c r="I21" s="8"/>
      <c r="K21" s="8"/>
    </row>
    <row r="22" spans="1:11" ht="15.75" customHeight="1" x14ac:dyDescent="0.25">
      <c r="A22" s="131">
        <v>43957</v>
      </c>
      <c r="B22" s="132">
        <v>0.84722222222222221</v>
      </c>
      <c r="C22" s="132">
        <v>0.85763888888888884</v>
      </c>
      <c r="D22" s="140">
        <f t="shared" ref="D22" si="2">(C22-B22)</f>
        <v>1.041666666666663E-2</v>
      </c>
      <c r="E22" s="231" t="s">
        <v>162</v>
      </c>
      <c r="F22" s="231"/>
      <c r="G22" s="263" t="s">
        <v>166</v>
      </c>
      <c r="H22" s="9"/>
      <c r="I22" s="9"/>
      <c r="K22" s="8"/>
    </row>
    <row r="23" spans="1:11" ht="18.75" customHeight="1" thickBot="1" x14ac:dyDescent="0.3">
      <c r="A23" s="142"/>
      <c r="B23" s="143"/>
      <c r="C23" s="143"/>
      <c r="D23" s="141"/>
      <c r="E23" s="232"/>
      <c r="F23" s="232"/>
      <c r="G23" s="264"/>
      <c r="H23" s="10"/>
      <c r="I23" s="10"/>
      <c r="K23" s="8"/>
    </row>
    <row r="24" spans="1:11" ht="12.75" customHeight="1" x14ac:dyDescent="0.25">
      <c r="A24" s="106">
        <v>43960</v>
      </c>
      <c r="B24" s="94">
        <v>0.75</v>
      </c>
      <c r="C24" s="94">
        <v>0.81944444444444453</v>
      </c>
      <c r="D24" s="99">
        <f t="shared" ref="D24" si="3">(C24-B24)</f>
        <v>6.9444444444444531E-2</v>
      </c>
      <c r="E24" s="220" t="s">
        <v>163</v>
      </c>
      <c r="F24" s="220"/>
      <c r="G24" s="263"/>
      <c r="H24" s="29"/>
      <c r="K24" s="8"/>
    </row>
    <row r="25" spans="1:11" ht="21.75" customHeight="1" thickBot="1" x14ac:dyDescent="0.3">
      <c r="A25" s="111"/>
      <c r="B25" s="75"/>
      <c r="C25" s="75"/>
      <c r="D25" s="76"/>
      <c r="E25" s="221"/>
      <c r="F25" s="221"/>
      <c r="G25" s="264"/>
      <c r="H25" s="29"/>
      <c r="K25" s="9"/>
    </row>
    <row r="26" spans="1:11" ht="12.75" customHeight="1" x14ac:dyDescent="0.25">
      <c r="A26" s="144"/>
      <c r="B26" s="85"/>
      <c r="C26" s="85"/>
      <c r="D26" s="63"/>
      <c r="E26" s="163"/>
      <c r="F26" s="163"/>
      <c r="G26" s="164"/>
      <c r="H26" s="29"/>
      <c r="K26" s="11"/>
    </row>
    <row r="27" spans="1:11" ht="19.5" customHeight="1" thickBot="1" x14ac:dyDescent="0.4">
      <c r="A27" s="222" t="s">
        <v>21</v>
      </c>
      <c r="B27" s="222"/>
      <c r="C27" s="27"/>
      <c r="D27" s="27"/>
      <c r="E27" s="27"/>
      <c r="F27" s="114"/>
      <c r="G27" s="114"/>
      <c r="H27" s="29"/>
      <c r="K27" s="7"/>
    </row>
    <row r="28" spans="1:11" ht="12.75" customHeight="1" thickBot="1" x14ac:dyDescent="0.25">
      <c r="A28" s="5"/>
      <c r="B28" s="15"/>
      <c r="C28" s="16"/>
      <c r="D28" s="17"/>
      <c r="E28" s="18"/>
      <c r="F28" s="30"/>
      <c r="G28" s="30"/>
      <c r="H28" s="29"/>
    </row>
    <row r="29" spans="1:11" ht="20.25" customHeight="1" x14ac:dyDescent="0.2">
      <c r="A29" s="298" t="s">
        <v>156</v>
      </c>
      <c r="B29" s="272"/>
      <c r="C29" s="272"/>
      <c r="D29" s="272"/>
      <c r="E29" s="272"/>
      <c r="F29" s="272"/>
      <c r="G29" s="273"/>
      <c r="H29" s="29"/>
    </row>
    <row r="30" spans="1:11" ht="12.75" customHeight="1" x14ac:dyDescent="0.2">
      <c r="A30" s="274"/>
      <c r="B30" s="275"/>
      <c r="C30" s="275"/>
      <c r="D30" s="275"/>
      <c r="E30" s="275"/>
      <c r="F30" s="275"/>
      <c r="G30" s="276"/>
      <c r="H30" s="29"/>
    </row>
    <row r="31" spans="1:11" ht="23.25" customHeight="1" x14ac:dyDescent="0.2">
      <c r="A31" s="274"/>
      <c r="B31" s="275"/>
      <c r="C31" s="275"/>
      <c r="D31" s="275"/>
      <c r="E31" s="275"/>
      <c r="F31" s="275"/>
      <c r="G31" s="276"/>
      <c r="H31" s="29"/>
    </row>
    <row r="32" spans="1:11" ht="17.25" customHeight="1" x14ac:dyDescent="0.2">
      <c r="A32" s="274"/>
      <c r="B32" s="275"/>
      <c r="C32" s="275"/>
      <c r="D32" s="275"/>
      <c r="E32" s="275"/>
      <c r="F32" s="275"/>
      <c r="G32" s="276"/>
      <c r="H32" s="29"/>
    </row>
    <row r="33" spans="1:8" ht="17.25" customHeight="1" x14ac:dyDescent="0.2">
      <c r="A33" s="274"/>
      <c r="B33" s="275"/>
      <c r="C33" s="275"/>
      <c r="D33" s="275"/>
      <c r="E33" s="275"/>
      <c r="F33" s="275"/>
      <c r="G33" s="276"/>
      <c r="H33" s="29"/>
    </row>
    <row r="34" spans="1:8" ht="17.25" customHeight="1" x14ac:dyDescent="0.2">
      <c r="A34" s="274"/>
      <c r="B34" s="275"/>
      <c r="C34" s="275"/>
      <c r="D34" s="275"/>
      <c r="E34" s="275"/>
      <c r="F34" s="275"/>
      <c r="G34" s="276"/>
      <c r="H34" s="29"/>
    </row>
    <row r="35" spans="1:8" ht="17.25" customHeight="1" x14ac:dyDescent="0.2">
      <c r="A35" s="274"/>
      <c r="B35" s="275"/>
      <c r="C35" s="275"/>
      <c r="D35" s="275"/>
      <c r="E35" s="275"/>
      <c r="F35" s="275"/>
      <c r="G35" s="276"/>
      <c r="H35" s="29"/>
    </row>
    <row r="36" spans="1:8" ht="17.25" customHeight="1" x14ac:dyDescent="0.2">
      <c r="A36" s="274"/>
      <c r="B36" s="275"/>
      <c r="C36" s="275"/>
      <c r="D36" s="275"/>
      <c r="E36" s="275"/>
      <c r="F36" s="275"/>
      <c r="G36" s="276"/>
      <c r="H36" s="29"/>
    </row>
    <row r="37" spans="1:8" ht="17.25" customHeight="1" x14ac:dyDescent="0.2">
      <c r="A37" s="274"/>
      <c r="B37" s="275"/>
      <c r="C37" s="275"/>
      <c r="D37" s="275"/>
      <c r="E37" s="275"/>
      <c r="F37" s="275"/>
      <c r="G37" s="276"/>
      <c r="H37" s="29"/>
    </row>
    <row r="38" spans="1:8" ht="17.25" customHeight="1" x14ac:dyDescent="0.2">
      <c r="A38" s="274"/>
      <c r="B38" s="275"/>
      <c r="C38" s="275"/>
      <c r="D38" s="275"/>
      <c r="E38" s="275"/>
      <c r="F38" s="275"/>
      <c r="G38" s="276"/>
      <c r="H38" s="29"/>
    </row>
    <row r="39" spans="1:8" ht="17.25" customHeight="1" x14ac:dyDescent="0.2">
      <c r="A39" s="274"/>
      <c r="B39" s="275"/>
      <c r="C39" s="275"/>
      <c r="D39" s="275"/>
      <c r="E39" s="275"/>
      <c r="F39" s="275"/>
      <c r="G39" s="276"/>
      <c r="H39" s="29"/>
    </row>
    <row r="40" spans="1:8" ht="17.25" customHeight="1" x14ac:dyDescent="0.2">
      <c r="A40" s="274"/>
      <c r="B40" s="275"/>
      <c r="C40" s="275"/>
      <c r="D40" s="275"/>
      <c r="E40" s="275"/>
      <c r="F40" s="275"/>
      <c r="G40" s="276"/>
      <c r="H40" s="29"/>
    </row>
    <row r="41" spans="1:8" ht="17.25" customHeight="1" x14ac:dyDescent="0.2">
      <c r="A41" s="274"/>
      <c r="B41" s="275"/>
      <c r="C41" s="275"/>
      <c r="D41" s="275"/>
      <c r="E41" s="275"/>
      <c r="F41" s="275"/>
      <c r="G41" s="276"/>
      <c r="H41" s="29"/>
    </row>
    <row r="42" spans="1:8" ht="81" customHeight="1" thickBot="1" x14ac:dyDescent="0.25">
      <c r="A42" s="277"/>
      <c r="B42" s="278"/>
      <c r="C42" s="278"/>
      <c r="D42" s="278"/>
      <c r="E42" s="278"/>
      <c r="F42" s="278"/>
      <c r="G42" s="279"/>
      <c r="H42" s="29"/>
    </row>
    <row r="43" spans="1:8" ht="17.25" customHeight="1" x14ac:dyDescent="0.2">
      <c r="H43" s="29"/>
    </row>
    <row r="44" spans="1:8" ht="17.25" customHeight="1" x14ac:dyDescent="0.2">
      <c r="H44" s="29"/>
    </row>
    <row r="45" spans="1:8" ht="17.25" customHeight="1" x14ac:dyDescent="0.2">
      <c r="H45" s="29"/>
    </row>
    <row r="46" spans="1:8" ht="17.25" customHeight="1" x14ac:dyDescent="0.2">
      <c r="H46" s="29"/>
    </row>
    <row r="47" spans="1:8" x14ac:dyDescent="0.2">
      <c r="H47" s="29"/>
    </row>
    <row r="48" spans="1:8" ht="24.75" customHeight="1" x14ac:dyDescent="0.2">
      <c r="H48" s="29"/>
    </row>
    <row r="49" ht="13.5" customHeight="1" x14ac:dyDescent="0.2"/>
    <row r="50" ht="12.75" customHeight="1" x14ac:dyDescent="0.2"/>
    <row r="51" ht="12.75" customHeight="1" x14ac:dyDescent="0.2"/>
    <row r="52" ht="12.75" customHeight="1" x14ac:dyDescent="0.2"/>
    <row r="53" ht="10.5" customHeight="1" x14ac:dyDescent="0.2"/>
    <row r="54" ht="21" customHeight="1" x14ac:dyDescent="0.2"/>
    <row r="55" ht="21" customHeight="1" x14ac:dyDescent="0.2"/>
    <row r="56" ht="12.75" customHeight="1" x14ac:dyDescent="0.2"/>
    <row r="57" ht="12.75" customHeight="1" x14ac:dyDescent="0.2"/>
    <row r="58" ht="300" customHeight="1" x14ac:dyDescent="0.2"/>
    <row r="59" ht="12.75" customHeight="1" x14ac:dyDescent="0.2"/>
    <row r="60" ht="12.75" customHeight="1" x14ac:dyDescent="0.2"/>
    <row r="61" ht="12.75" customHeight="1" x14ac:dyDescent="0.2"/>
    <row r="62" ht="12.75" customHeight="1" x14ac:dyDescent="0.2"/>
    <row r="63" ht="16.5" customHeight="1" x14ac:dyDescent="0.2"/>
    <row r="64"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22">
    <mergeCell ref="A27:B27"/>
    <mergeCell ref="A29:G42"/>
    <mergeCell ref="E24:F25"/>
    <mergeCell ref="G24:G25"/>
    <mergeCell ref="E18:F19"/>
    <mergeCell ref="G18:G19"/>
    <mergeCell ref="E20:F21"/>
    <mergeCell ref="G20:G21"/>
    <mergeCell ref="E22:F23"/>
    <mergeCell ref="G22:G23"/>
    <mergeCell ref="E12:F13"/>
    <mergeCell ref="G12:G13"/>
    <mergeCell ref="E14:F15"/>
    <mergeCell ref="G14:G15"/>
    <mergeCell ref="E16:F17"/>
    <mergeCell ref="G16:G17"/>
    <mergeCell ref="A1:D1"/>
    <mergeCell ref="A4:B5"/>
    <mergeCell ref="C4:D5"/>
    <mergeCell ref="J4:J5"/>
    <mergeCell ref="E10:F11"/>
    <mergeCell ref="G10:G11"/>
  </mergeCells>
  <conditionalFormatting sqref="H20:I21 I19">
    <cfRule type="expression" dxfId="19" priority="6">
      <formula>ISNUMBER(SEARCH(TEXT(#REF!,"ddd"),#REF!))</formula>
    </cfRule>
  </conditionalFormatting>
  <conditionalFormatting sqref="A10:D12 A16:D17 A18:C18 A20:C20 A22:C22 A24:C24">
    <cfRule type="expression" dxfId="18" priority="7">
      <formula>ISNUMBER(SEARCH(TEXT(#REF!,"ddd"),#REF!))</formula>
    </cfRule>
  </conditionalFormatting>
  <conditionalFormatting sqref="K19:K24">
    <cfRule type="expression" dxfId="17" priority="8">
      <formula>ISNUMBER(SEARCH(TEXT(#REF!,"ddd"),#REF!))</formula>
    </cfRule>
  </conditionalFormatting>
  <conditionalFormatting sqref="D14">
    <cfRule type="expression" dxfId="16" priority="5">
      <formula>ISNUMBER(SEARCH(TEXT(#REF!,"ddd"),#REF!))</formula>
    </cfRule>
  </conditionalFormatting>
  <conditionalFormatting sqref="A14:C14">
    <cfRule type="expression" dxfId="15" priority="2">
      <formula>ISNUMBER(SEARCH(TEXT(#REF!,"ddd"),#REF!))</formula>
    </cfRule>
  </conditionalFormatting>
  <conditionalFormatting sqref="A13:D13">
    <cfRule type="expression" dxfId="14" priority="4">
      <formula>ISNUMBER(SEARCH(TEXT(#REF!,"ddd"),#REF!))</formula>
    </cfRule>
  </conditionalFormatting>
  <conditionalFormatting sqref="A15:D15 A26:C26">
    <cfRule type="expression" dxfId="13" priority="3">
      <formula>ISNUMBER(SEARCH(TEXT(#REF!,"ddd"),#REF!))</formula>
    </cfRule>
  </conditionalFormatting>
  <dataValidations count="2">
    <dataValidation type="custom" allowBlank="1" showInputMessage="1" showErrorMessage="1" sqref="C10 C17" xr:uid="{CB2ABEF4-432B-46DF-B05E-0AA7A244E76C}">
      <formula1>AND($C10&lt;=1,ISNUMBER($C10),($C10&gt;=$B10))</formula1>
    </dataValidation>
    <dataValidation type="custom" allowBlank="1" showInputMessage="1" showErrorMessage="1" sqref="C18 B10:B18 C11:C16 B20:C20 B22:C22 B24:C24 B26:C26" xr:uid="{08110360-14AC-4DEE-84E5-F21A23EB730C}">
      <formula1>AND($B10&lt;=1,ISNUMBER($B10))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57D-26D4-41D5-87E4-9DD762D6A145}">
  <sheetPr codeName="Sheet26">
    <pageSetUpPr fitToPage="1"/>
  </sheetPr>
  <dimension ref="A1:K79"/>
  <sheetViews>
    <sheetView showGridLines="0" zoomScaleNormal="100" workbookViewId="0">
      <selection activeCell="I27" sqref="I27"/>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20</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43962</v>
      </c>
      <c r="B3" s="154"/>
      <c r="C3" s="103">
        <f>A10</f>
        <v>43962</v>
      </c>
      <c r="D3" s="154"/>
      <c r="E3" s="34" t="s">
        <v>6</v>
      </c>
      <c r="F3" s="149">
        <f>Sumcolor(E3,D10:D14)</f>
        <v>0</v>
      </c>
      <c r="G3" s="147">
        <f>SUM(Først:Sist!F3)</f>
        <v>0.62499999999999989</v>
      </c>
      <c r="H3" s="22"/>
      <c r="I3" s="7"/>
      <c r="J3" s="7"/>
    </row>
    <row r="4" spans="1:10" ht="15" customHeight="1" x14ac:dyDescent="0.2">
      <c r="A4" s="192" t="s">
        <v>7</v>
      </c>
      <c r="B4" s="192"/>
      <c r="C4" s="201" t="s">
        <v>8</v>
      </c>
      <c r="D4" s="201"/>
      <c r="E4" s="35" t="s">
        <v>9</v>
      </c>
      <c r="F4" s="149">
        <f>Sumcolor(E4,D10:D14)</f>
        <v>0</v>
      </c>
      <c r="G4" s="147">
        <f>SUM(Først:Sist!F4)</f>
        <v>2.7604166666666665</v>
      </c>
      <c r="H4" s="22"/>
      <c r="I4" s="7"/>
      <c r="J4" s="190"/>
    </row>
    <row r="5" spans="1:10" ht="15.75" x14ac:dyDescent="0.2">
      <c r="A5" s="201"/>
      <c r="B5" s="201"/>
      <c r="C5" s="201"/>
      <c r="D5" s="201"/>
      <c r="E5" s="36" t="s">
        <v>10</v>
      </c>
      <c r="F5" s="149">
        <f>Sumcolor(E5,D10:D14)</f>
        <v>0</v>
      </c>
      <c r="G5" s="147">
        <f>SUM(Først:Sist!F5)</f>
        <v>1.1701388888888882</v>
      </c>
      <c r="H5" s="22"/>
      <c r="I5" s="7"/>
      <c r="J5" s="190"/>
    </row>
    <row r="6" spans="1:10" ht="18.75" customHeight="1" thickBot="1" x14ac:dyDescent="0.25">
      <c r="A6" s="150">
        <f>SUM(D10:D14)</f>
        <v>0</v>
      </c>
      <c r="B6" s="43"/>
      <c r="C6" s="151">
        <f>SUM(Først:Sist!A6)</f>
        <v>6.8680555555555571</v>
      </c>
      <c r="D6" s="44"/>
      <c r="E6" s="37" t="s">
        <v>11</v>
      </c>
      <c r="F6" s="148">
        <f>Sumcolor(E6,D10:D14)</f>
        <v>0</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80">
        <v>43962</v>
      </c>
      <c r="B10" s="181"/>
      <c r="C10" s="181"/>
      <c r="D10" s="95">
        <f t="shared" ref="D10" si="0">(C10-B10)</f>
        <v>0</v>
      </c>
      <c r="E10" s="290"/>
      <c r="F10" s="291"/>
      <c r="G10" s="263"/>
      <c r="H10" s="25"/>
    </row>
    <row r="11" spans="1:10" ht="16.5" thickBot="1" x14ac:dyDescent="0.3">
      <c r="A11" s="182"/>
      <c r="B11" s="183"/>
      <c r="C11" s="183"/>
      <c r="D11" s="184"/>
      <c r="E11" s="292"/>
      <c r="F11" s="292"/>
      <c r="G11" s="264"/>
      <c r="H11" s="25"/>
    </row>
    <row r="12" spans="1:10" ht="15.75" customHeight="1" x14ac:dyDescent="0.25">
      <c r="A12" s="122"/>
      <c r="B12" s="123"/>
      <c r="C12" s="123"/>
      <c r="D12" s="169">
        <f>(C12-B12)</f>
        <v>0</v>
      </c>
      <c r="E12" s="299"/>
      <c r="F12" s="299"/>
      <c r="G12" s="263"/>
    </row>
    <row r="13" spans="1:10" ht="16.5" thickBot="1" x14ac:dyDescent="0.3">
      <c r="A13" s="165"/>
      <c r="B13" s="166"/>
      <c r="C13" s="166"/>
      <c r="D13" s="171"/>
      <c r="E13" s="300"/>
      <c r="F13" s="300"/>
      <c r="G13" s="264"/>
    </row>
    <row r="14" spans="1:10" ht="15.75" customHeight="1" x14ac:dyDescent="0.25">
      <c r="A14" s="144"/>
      <c r="B14" s="85"/>
      <c r="C14" s="85"/>
      <c r="D14" s="63"/>
      <c r="E14" s="163"/>
      <c r="F14" s="163"/>
      <c r="G14" s="164"/>
    </row>
    <row r="15" spans="1:10" ht="24" thickBot="1" x14ac:dyDescent="0.4">
      <c r="A15" s="222" t="s">
        <v>21</v>
      </c>
      <c r="B15" s="222"/>
      <c r="C15" s="27"/>
      <c r="D15" s="27"/>
      <c r="E15" s="27"/>
      <c r="F15" s="114"/>
      <c r="G15" s="114"/>
    </row>
    <row r="16" spans="1:10" ht="15.75" customHeight="1" thickBot="1" x14ac:dyDescent="0.25">
      <c r="A16" s="5"/>
      <c r="B16" s="15"/>
      <c r="C16" s="16"/>
      <c r="D16" s="17"/>
      <c r="E16" s="18"/>
      <c r="F16" s="30"/>
      <c r="G16" s="30"/>
    </row>
    <row r="17" spans="1:11" x14ac:dyDescent="0.2">
      <c r="A17" s="298" t="s">
        <v>156</v>
      </c>
      <c r="B17" s="272"/>
      <c r="C17" s="272"/>
      <c r="D17" s="272"/>
      <c r="E17" s="272"/>
      <c r="F17" s="272"/>
      <c r="G17" s="273"/>
    </row>
    <row r="18" spans="1:11" x14ac:dyDescent="0.2">
      <c r="A18" s="274"/>
      <c r="B18" s="275"/>
      <c r="C18" s="275"/>
      <c r="D18" s="275"/>
      <c r="E18" s="275"/>
      <c r="F18" s="275"/>
      <c r="G18" s="276"/>
    </row>
    <row r="19" spans="1:11" x14ac:dyDescent="0.2">
      <c r="A19" s="274"/>
      <c r="B19" s="275"/>
      <c r="C19" s="275"/>
      <c r="D19" s="275"/>
      <c r="E19" s="275"/>
      <c r="F19" s="275"/>
      <c r="G19" s="276"/>
      <c r="I19" s="8"/>
      <c r="K19" s="8"/>
    </row>
    <row r="20" spans="1:11" ht="15.75" customHeight="1" x14ac:dyDescent="0.2">
      <c r="A20" s="274"/>
      <c r="B20" s="275"/>
      <c r="C20" s="275"/>
      <c r="D20" s="275"/>
      <c r="E20" s="275"/>
      <c r="F20" s="275"/>
      <c r="G20" s="276"/>
      <c r="H20" s="8"/>
      <c r="I20" s="8"/>
      <c r="K20" s="8"/>
    </row>
    <row r="21" spans="1:11" x14ac:dyDescent="0.2">
      <c r="A21" s="274"/>
      <c r="B21" s="275"/>
      <c r="C21" s="275"/>
      <c r="D21" s="275"/>
      <c r="E21" s="275"/>
      <c r="F21" s="275"/>
      <c r="G21" s="276"/>
      <c r="H21" s="8"/>
      <c r="I21" s="8"/>
      <c r="K21" s="8"/>
    </row>
    <row r="22" spans="1:11" ht="15.75" customHeight="1" x14ac:dyDescent="0.2">
      <c r="A22" s="274"/>
      <c r="B22" s="275"/>
      <c r="C22" s="275"/>
      <c r="D22" s="275"/>
      <c r="E22" s="275"/>
      <c r="F22" s="275"/>
      <c r="G22" s="276"/>
      <c r="H22" s="9"/>
      <c r="I22" s="9"/>
      <c r="K22" s="8"/>
    </row>
    <row r="23" spans="1:11" ht="18.75" customHeight="1" x14ac:dyDescent="0.2">
      <c r="A23" s="274"/>
      <c r="B23" s="275"/>
      <c r="C23" s="275"/>
      <c r="D23" s="275"/>
      <c r="E23" s="275"/>
      <c r="F23" s="275"/>
      <c r="G23" s="276"/>
      <c r="H23" s="10"/>
      <c r="I23" s="10"/>
      <c r="K23" s="8"/>
    </row>
    <row r="24" spans="1:11" ht="12.75" customHeight="1" x14ac:dyDescent="0.2">
      <c r="A24" s="274"/>
      <c r="B24" s="275"/>
      <c r="C24" s="275"/>
      <c r="D24" s="275"/>
      <c r="E24" s="275"/>
      <c r="F24" s="275"/>
      <c r="G24" s="276"/>
      <c r="H24" s="29"/>
      <c r="K24" s="8"/>
    </row>
    <row r="25" spans="1:11" ht="21.75" customHeight="1" x14ac:dyDescent="0.2">
      <c r="A25" s="274"/>
      <c r="B25" s="275"/>
      <c r="C25" s="275"/>
      <c r="D25" s="275"/>
      <c r="E25" s="275"/>
      <c r="F25" s="275"/>
      <c r="G25" s="276"/>
      <c r="H25" s="29"/>
      <c r="K25" s="9"/>
    </row>
    <row r="26" spans="1:11" ht="12.75" customHeight="1" x14ac:dyDescent="0.2">
      <c r="A26" s="274"/>
      <c r="B26" s="275"/>
      <c r="C26" s="275"/>
      <c r="D26" s="275"/>
      <c r="E26" s="275"/>
      <c r="F26" s="275"/>
      <c r="G26" s="276"/>
      <c r="H26" s="29"/>
      <c r="K26" s="11"/>
    </row>
    <row r="27" spans="1:11" ht="19.5" customHeight="1" x14ac:dyDescent="0.2">
      <c r="A27" s="274"/>
      <c r="B27" s="275"/>
      <c r="C27" s="275"/>
      <c r="D27" s="275"/>
      <c r="E27" s="275"/>
      <c r="F27" s="275"/>
      <c r="G27" s="276"/>
      <c r="H27" s="29"/>
      <c r="K27" s="7"/>
    </row>
    <row r="28" spans="1:11" ht="12.75" customHeight="1" x14ac:dyDescent="0.2">
      <c r="A28" s="274"/>
      <c r="B28" s="275"/>
      <c r="C28" s="275"/>
      <c r="D28" s="275"/>
      <c r="E28" s="275"/>
      <c r="F28" s="275"/>
      <c r="G28" s="276"/>
      <c r="H28" s="29"/>
    </row>
    <row r="29" spans="1:11" ht="20.25" customHeight="1" x14ac:dyDescent="0.2">
      <c r="A29" s="274"/>
      <c r="B29" s="275"/>
      <c r="C29" s="275"/>
      <c r="D29" s="275"/>
      <c r="E29" s="275"/>
      <c r="F29" s="275"/>
      <c r="G29" s="276"/>
      <c r="H29" s="29"/>
    </row>
    <row r="30" spans="1:11" ht="12.75" customHeight="1" thickBot="1" x14ac:dyDescent="0.25">
      <c r="A30" s="277"/>
      <c r="B30" s="278"/>
      <c r="C30" s="278"/>
      <c r="D30" s="278"/>
      <c r="E30" s="278"/>
      <c r="F30" s="278"/>
      <c r="G30" s="279"/>
      <c r="H30" s="29"/>
    </row>
    <row r="31" spans="1:11" ht="23.25" customHeight="1" x14ac:dyDescent="0.2">
      <c r="H31" s="29"/>
    </row>
    <row r="32" spans="1:11" ht="17.25" customHeight="1" x14ac:dyDescent="0.2">
      <c r="H32" s="29"/>
    </row>
    <row r="33" spans="8:8" ht="17.25" customHeight="1" x14ac:dyDescent="0.2">
      <c r="H33" s="29"/>
    </row>
    <row r="34" spans="8:8" ht="17.25" customHeight="1" x14ac:dyDescent="0.2">
      <c r="H34" s="29"/>
    </row>
    <row r="35" spans="8:8" ht="17.25" customHeight="1" x14ac:dyDescent="0.2">
      <c r="H35" s="29"/>
    </row>
    <row r="36" spans="8:8" ht="17.25" customHeight="1" x14ac:dyDescent="0.2">
      <c r="H36" s="29"/>
    </row>
    <row r="37" spans="8:8" ht="17.25" customHeight="1" x14ac:dyDescent="0.2">
      <c r="H37" s="29"/>
    </row>
    <row r="38" spans="8:8" ht="17.25" customHeight="1" x14ac:dyDescent="0.2">
      <c r="H38" s="29"/>
    </row>
    <row r="39" spans="8:8" ht="17.25" customHeight="1" x14ac:dyDescent="0.2">
      <c r="H39" s="29"/>
    </row>
    <row r="40" spans="8:8" ht="17.25" customHeight="1" x14ac:dyDescent="0.2">
      <c r="H40" s="29"/>
    </row>
    <row r="41" spans="8:8" ht="17.25" customHeight="1" x14ac:dyDescent="0.2">
      <c r="H41" s="29"/>
    </row>
    <row r="42" spans="8:8" ht="17.25" customHeight="1" x14ac:dyDescent="0.2">
      <c r="H42" s="29"/>
    </row>
    <row r="43" spans="8:8" ht="17.25" customHeight="1" x14ac:dyDescent="0.2">
      <c r="H43" s="29"/>
    </row>
    <row r="44" spans="8:8" ht="17.25" customHeight="1" x14ac:dyDescent="0.2">
      <c r="H44" s="29"/>
    </row>
    <row r="45" spans="8:8" ht="17.25" customHeight="1" x14ac:dyDescent="0.2">
      <c r="H45" s="29"/>
    </row>
    <row r="46" spans="8:8" ht="17.25" customHeight="1" x14ac:dyDescent="0.2">
      <c r="H46" s="29"/>
    </row>
    <row r="47" spans="8:8" x14ac:dyDescent="0.2">
      <c r="H47" s="29"/>
    </row>
    <row r="48" spans="8:8" ht="24.75" customHeight="1" x14ac:dyDescent="0.2">
      <c r="H48" s="29"/>
    </row>
    <row r="49" ht="13.5" customHeight="1" x14ac:dyDescent="0.2"/>
    <row r="50" ht="12.75" customHeight="1" x14ac:dyDescent="0.2"/>
    <row r="51" ht="12.75" customHeight="1" x14ac:dyDescent="0.2"/>
    <row r="52" ht="12.75" customHeight="1" x14ac:dyDescent="0.2"/>
    <row r="53" ht="10.5" customHeight="1" x14ac:dyDescent="0.2"/>
    <row r="54" ht="21" customHeight="1" x14ac:dyDescent="0.2"/>
    <row r="55" ht="21" customHeight="1" x14ac:dyDescent="0.2"/>
    <row r="56" ht="12.75" customHeight="1" x14ac:dyDescent="0.2"/>
    <row r="57" ht="12.75" customHeight="1" x14ac:dyDescent="0.2"/>
    <row r="58" ht="300" customHeight="1" x14ac:dyDescent="0.2"/>
    <row r="59" ht="12.75" customHeight="1" x14ac:dyDescent="0.2"/>
    <row r="60" ht="12.75" customHeight="1" x14ac:dyDescent="0.2"/>
    <row r="61" ht="12.75" customHeight="1" x14ac:dyDescent="0.2"/>
    <row r="62" ht="12.75" customHeight="1" x14ac:dyDescent="0.2"/>
    <row r="63" ht="16.5" customHeight="1" x14ac:dyDescent="0.2"/>
    <row r="64"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10">
    <mergeCell ref="A1:D1"/>
    <mergeCell ref="A4:B5"/>
    <mergeCell ref="C4:D5"/>
    <mergeCell ref="J4:J5"/>
    <mergeCell ref="E10:F11"/>
    <mergeCell ref="G10:G11"/>
    <mergeCell ref="A15:B15"/>
    <mergeCell ref="A17:G30"/>
    <mergeCell ref="E12:F13"/>
    <mergeCell ref="G12:G13"/>
  </mergeCells>
  <conditionalFormatting sqref="H20:I21 I19">
    <cfRule type="expression" dxfId="12" priority="6">
      <formula>ISNUMBER(SEARCH(TEXT(#REF!,"ddd"),#REF!))</formula>
    </cfRule>
  </conditionalFormatting>
  <conditionalFormatting sqref="A10:D12">
    <cfRule type="expression" dxfId="11" priority="7">
      <formula>ISNUMBER(SEARCH(TEXT(#REF!,"ddd"),#REF!))</formula>
    </cfRule>
  </conditionalFormatting>
  <conditionalFormatting sqref="K19:K24">
    <cfRule type="expression" dxfId="10" priority="8">
      <formula>ISNUMBER(SEARCH(TEXT(#REF!,"ddd"),#REF!))</formula>
    </cfRule>
  </conditionalFormatting>
  <conditionalFormatting sqref="A13:D13">
    <cfRule type="expression" dxfId="9" priority="4">
      <formula>ISNUMBER(SEARCH(TEXT(#REF!,"ddd"),#REF!))</formula>
    </cfRule>
  </conditionalFormatting>
  <conditionalFormatting sqref="A14:C14">
    <cfRule type="expression" dxfId="8" priority="3">
      <formula>ISNUMBER(SEARCH(TEXT(#REF!,"ddd"),#REF!))</formula>
    </cfRule>
  </conditionalFormatting>
  <dataValidations count="2">
    <dataValidation type="custom" allowBlank="1" showInputMessage="1" showErrorMessage="1" sqref="C10" xr:uid="{F5240276-0178-4313-B6EA-01C2BABEBA5C}">
      <formula1>AND($C10&lt;=1,ISNUMBER($C10),($C10&gt;=$B10))</formula1>
    </dataValidation>
    <dataValidation type="custom" allowBlank="1" showInputMessage="1" showErrorMessage="1" sqref="B10:B13 B14:C14 C11:C13" xr:uid="{3751C4B8-DC72-4522-A8E1-2E646748D730}">
      <formula1>AND($B10&lt;=1,ISNUMBER($B10))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E2C74-7C73-4C3A-8142-EC4D533B1D2B}">
  <sheetPr codeName="Sheet27">
    <pageSetUpPr fitToPage="1"/>
  </sheetPr>
  <dimension ref="A1:K79"/>
  <sheetViews>
    <sheetView showGridLines="0" tabSelected="1" zoomScaleNormal="100" workbookViewId="0">
      <selection activeCell="H9" sqref="H9"/>
    </sheetView>
  </sheetViews>
  <sheetFormatPr baseColWidth="10" defaultColWidth="9" defaultRowHeight="12.75" x14ac:dyDescent="0.2"/>
  <cols>
    <col min="1" max="1" width="13.5" bestFit="1" customWidth="1"/>
    <col min="2" max="2" width="6.75" customWidth="1"/>
    <col min="3" max="3" width="10.125" bestFit="1" customWidth="1"/>
    <col min="4" max="4" width="11.625" customWidth="1"/>
    <col min="5" max="5" width="26.375" customWidth="1"/>
    <col min="6" max="7" width="16.5" bestFit="1" customWidth="1"/>
    <col min="8" max="8" width="10.875" customWidth="1"/>
    <col min="9" max="9" width="11.625" customWidth="1"/>
    <col min="10" max="10" width="11" customWidth="1"/>
    <col min="11" max="11" width="12.375" customWidth="1"/>
    <col min="12" max="12" width="11.25" customWidth="1"/>
    <col min="13" max="13" width="11" customWidth="1"/>
  </cols>
  <sheetData>
    <row r="1" spans="1:10" ht="27" thickTop="1" x14ac:dyDescent="0.4">
      <c r="A1" s="200" t="s">
        <v>31</v>
      </c>
      <c r="B1" s="200"/>
      <c r="C1" s="200"/>
      <c r="D1" s="200"/>
      <c r="E1" s="47">
        <f>WEEKNUM(A10)</f>
        <v>21</v>
      </c>
      <c r="F1" s="48"/>
      <c r="G1" s="49"/>
      <c r="H1" s="26"/>
      <c r="J1" s="1"/>
    </row>
    <row r="2" spans="1:10" s="1" customFormat="1" ht="14.25" customHeight="1" x14ac:dyDescent="0.25">
      <c r="A2" s="41" t="s">
        <v>1</v>
      </c>
      <c r="B2" s="41"/>
      <c r="C2" s="41" t="s">
        <v>2</v>
      </c>
      <c r="D2" s="41"/>
      <c r="E2" s="46" t="s">
        <v>3</v>
      </c>
      <c r="F2" s="46" t="s">
        <v>4</v>
      </c>
      <c r="G2" s="46" t="s">
        <v>5</v>
      </c>
      <c r="H2" s="20"/>
      <c r="I2" s="13"/>
      <c r="J2" s="6"/>
    </row>
    <row r="3" spans="1:10" ht="16.5" thickBot="1" x14ac:dyDescent="0.25">
      <c r="A3" s="103">
        <f>A10</f>
        <v>43969</v>
      </c>
      <c r="B3" s="154"/>
      <c r="C3" s="103">
        <f>A38</f>
        <v>0</v>
      </c>
      <c r="D3" s="154"/>
      <c r="E3" s="34" t="s">
        <v>6</v>
      </c>
      <c r="F3" s="149">
        <f>Sumcolor(E3,D10:D42)</f>
        <v>0</v>
      </c>
      <c r="G3" s="147">
        <f>SUM(Først:Sist!F3)</f>
        <v>0.62499999999999989</v>
      </c>
      <c r="H3" s="22"/>
      <c r="I3" s="7"/>
      <c r="J3" s="7"/>
    </row>
    <row r="4" spans="1:10" ht="15" customHeight="1" x14ac:dyDescent="0.2">
      <c r="A4" s="192" t="s">
        <v>7</v>
      </c>
      <c r="B4" s="192"/>
      <c r="C4" s="201" t="s">
        <v>8</v>
      </c>
      <c r="D4" s="201"/>
      <c r="E4" s="35" t="s">
        <v>9</v>
      </c>
      <c r="F4" s="149">
        <f>Sumcolor(E4,D10:D42)</f>
        <v>0</v>
      </c>
      <c r="G4" s="147">
        <f>SUM(Først:Sist!F4)</f>
        <v>2.7604166666666665</v>
      </c>
      <c r="H4" s="22"/>
      <c r="I4" s="7"/>
      <c r="J4" s="190"/>
    </row>
    <row r="5" spans="1:10" ht="15.75" x14ac:dyDescent="0.2">
      <c r="A5" s="201"/>
      <c r="B5" s="201"/>
      <c r="C5" s="201"/>
      <c r="D5" s="201"/>
      <c r="E5" s="36" t="s">
        <v>10</v>
      </c>
      <c r="F5" s="149">
        <f>Sumcolor(E5,D10:D42)</f>
        <v>0.10416666666666674</v>
      </c>
      <c r="G5" s="147">
        <f>SUM(Først:Sist!F5)</f>
        <v>1.1701388888888882</v>
      </c>
      <c r="H5" s="22"/>
      <c r="I5" s="7"/>
      <c r="J5" s="190"/>
    </row>
    <row r="6" spans="1:10" ht="18.75" customHeight="1" thickBot="1" x14ac:dyDescent="0.25">
      <c r="A6" s="150">
        <f>SUM(D10:D42)</f>
        <v>0.10416666666666674</v>
      </c>
      <c r="B6" s="43"/>
      <c r="C6" s="151">
        <f>SUM(Først:Sist!A6)</f>
        <v>6.8680555555555571</v>
      </c>
      <c r="D6" s="44"/>
      <c r="E6" s="37" t="s">
        <v>11</v>
      </c>
      <c r="F6" s="148">
        <f>Sumcolor(E6,D10:D42)</f>
        <v>0</v>
      </c>
      <c r="G6" s="148">
        <f>SUM(Først:Sist!F6)</f>
        <v>2.3125000000000009</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3" t="s">
        <v>12</v>
      </c>
      <c r="B9" s="33" t="s">
        <v>13</v>
      </c>
      <c r="C9" s="33" t="s">
        <v>14</v>
      </c>
      <c r="D9" s="33" t="s">
        <v>15</v>
      </c>
      <c r="E9" s="115" t="s">
        <v>16</v>
      </c>
      <c r="F9" s="113"/>
      <c r="G9" s="54" t="s">
        <v>17</v>
      </c>
      <c r="H9" s="25"/>
    </row>
    <row r="10" spans="1:10" ht="15.75" x14ac:dyDescent="0.25">
      <c r="A10" s="104">
        <v>43969</v>
      </c>
      <c r="B10" s="87">
        <v>0.58333333333333337</v>
      </c>
      <c r="C10" s="87">
        <v>0.64583333333333337</v>
      </c>
      <c r="D10" s="88">
        <f t="shared" ref="D10" si="0">(C10-B10)</f>
        <v>6.25E-2</v>
      </c>
      <c r="E10" s="239" t="s">
        <v>167</v>
      </c>
      <c r="F10" s="255"/>
      <c r="G10" s="263"/>
      <c r="H10" s="25"/>
    </row>
    <row r="11" spans="1:10" ht="16.5" thickBot="1" x14ac:dyDescent="0.3">
      <c r="A11" s="105"/>
      <c r="B11" s="92"/>
      <c r="C11" s="92"/>
      <c r="D11" s="93"/>
      <c r="E11" s="256"/>
      <c r="F11" s="256"/>
      <c r="G11" s="264"/>
      <c r="H11" s="25"/>
    </row>
    <row r="12" spans="1:10" ht="15.75" customHeight="1" x14ac:dyDescent="0.25">
      <c r="A12" s="109">
        <v>43969</v>
      </c>
      <c r="B12" s="100">
        <v>0.79166666666666663</v>
      </c>
      <c r="C12" s="100">
        <v>0.83333333333333337</v>
      </c>
      <c r="D12" s="88">
        <f>(C12-B12)</f>
        <v>4.1666666666666741E-2</v>
      </c>
      <c r="E12" s="283" t="s">
        <v>168</v>
      </c>
      <c r="F12" s="283"/>
      <c r="G12" s="263"/>
    </row>
    <row r="13" spans="1:10" ht="16.5" thickBot="1" x14ac:dyDescent="0.3">
      <c r="A13" s="152"/>
      <c r="B13" s="153"/>
      <c r="C13" s="153"/>
      <c r="D13" s="139"/>
      <c r="E13" s="284"/>
      <c r="F13" s="284"/>
      <c r="G13" s="264"/>
    </row>
    <row r="14" spans="1:10" ht="15.75" customHeight="1" x14ac:dyDescent="0.25">
      <c r="A14" s="122"/>
      <c r="B14" s="123"/>
      <c r="C14" s="123"/>
      <c r="D14" s="169">
        <f>(C14-B14)</f>
        <v>0</v>
      </c>
      <c r="E14" s="301"/>
      <c r="F14" s="301"/>
      <c r="G14" s="263"/>
    </row>
    <row r="15" spans="1:10" ht="16.5" thickBot="1" x14ac:dyDescent="0.3">
      <c r="A15" s="172"/>
      <c r="B15" s="173"/>
      <c r="C15" s="173"/>
      <c r="D15" s="171"/>
      <c r="E15" s="302"/>
      <c r="F15" s="302"/>
      <c r="G15" s="264"/>
    </row>
    <row r="16" spans="1:10" ht="15.75" customHeight="1" x14ac:dyDescent="0.25">
      <c r="A16" s="122"/>
      <c r="B16" s="123"/>
      <c r="C16" s="123"/>
      <c r="D16" s="124">
        <f>(C16-B16)</f>
        <v>0</v>
      </c>
      <c r="E16" s="301"/>
      <c r="F16" s="301"/>
      <c r="G16" s="263"/>
    </row>
    <row r="17" spans="1:11" ht="16.5" thickBot="1" x14ac:dyDescent="0.3">
      <c r="A17" s="165"/>
      <c r="B17" s="166"/>
      <c r="C17" s="166"/>
      <c r="D17" s="50"/>
      <c r="E17" s="302"/>
      <c r="F17" s="302"/>
      <c r="G17" s="264"/>
    </row>
    <row r="18" spans="1:11" ht="15.75" x14ac:dyDescent="0.25">
      <c r="A18" s="122"/>
      <c r="B18" s="123"/>
      <c r="C18" s="123"/>
      <c r="D18" s="124">
        <f>(C18-B18)</f>
        <v>0</v>
      </c>
      <c r="E18" s="296"/>
      <c r="F18" s="296"/>
      <c r="G18" s="263"/>
    </row>
    <row r="19" spans="1:11" ht="16.5" thickBot="1" x14ac:dyDescent="0.3">
      <c r="A19" s="125"/>
      <c r="B19" s="86"/>
      <c r="C19" s="86"/>
      <c r="D19" s="50"/>
      <c r="E19" s="297"/>
      <c r="F19" s="297"/>
      <c r="G19" s="264"/>
      <c r="I19" s="8"/>
      <c r="K19" s="8"/>
    </row>
    <row r="20" spans="1:11" ht="15.75" customHeight="1" x14ac:dyDescent="0.25">
      <c r="A20" s="122"/>
      <c r="B20" s="123"/>
      <c r="C20" s="123"/>
      <c r="D20" s="124">
        <f t="shared" ref="D20" si="1">(C20-B20)</f>
        <v>0</v>
      </c>
      <c r="E20" s="250"/>
      <c r="F20" s="250"/>
      <c r="G20" s="263"/>
      <c r="H20" s="8"/>
      <c r="I20" s="8"/>
      <c r="K20" s="8"/>
    </row>
    <row r="21" spans="1:11" ht="16.5" thickBot="1" x14ac:dyDescent="0.3">
      <c r="A21" s="125"/>
      <c r="B21" s="86"/>
      <c r="C21" s="86"/>
      <c r="D21" s="50"/>
      <c r="E21" s="251"/>
      <c r="F21" s="251"/>
      <c r="G21" s="264"/>
      <c r="H21" s="8"/>
      <c r="I21" s="8"/>
      <c r="K21" s="8"/>
    </row>
    <row r="22" spans="1:11" ht="15.75" customHeight="1" x14ac:dyDescent="0.25">
      <c r="A22" s="122"/>
      <c r="B22" s="123"/>
      <c r="C22" s="123"/>
      <c r="D22" s="124">
        <f t="shared" ref="D22" si="2">(C22-B22)</f>
        <v>0</v>
      </c>
      <c r="E22" s="250"/>
      <c r="F22" s="250"/>
      <c r="G22" s="263"/>
      <c r="H22" s="9"/>
      <c r="I22" s="9"/>
      <c r="K22" s="8"/>
    </row>
    <row r="23" spans="1:11" ht="18.75" customHeight="1" thickBot="1" x14ac:dyDescent="0.3">
      <c r="A23" s="125"/>
      <c r="B23" s="86"/>
      <c r="C23" s="86"/>
      <c r="D23" s="50"/>
      <c r="E23" s="251"/>
      <c r="F23" s="251"/>
      <c r="G23" s="264"/>
      <c r="H23" s="10"/>
      <c r="I23" s="10"/>
      <c r="K23" s="8"/>
    </row>
    <row r="24" spans="1:11" ht="12.75" customHeight="1" x14ac:dyDescent="0.25">
      <c r="A24" s="122"/>
      <c r="B24" s="123"/>
      <c r="C24" s="123"/>
      <c r="D24" s="124">
        <f t="shared" ref="D24" si="3">(C24-B24)</f>
        <v>0</v>
      </c>
      <c r="E24" s="250"/>
      <c r="F24" s="250"/>
      <c r="G24" s="263"/>
      <c r="H24" s="29"/>
      <c r="K24" s="8"/>
    </row>
    <row r="25" spans="1:11" ht="21.75" customHeight="1" thickBot="1" x14ac:dyDescent="0.3">
      <c r="A25" s="125"/>
      <c r="B25" s="86"/>
      <c r="C25" s="86"/>
      <c r="D25" s="50"/>
      <c r="E25" s="251"/>
      <c r="F25" s="251"/>
      <c r="G25" s="264"/>
      <c r="H25" s="29"/>
      <c r="K25" s="9"/>
    </row>
    <row r="26" spans="1:11" ht="12.75" customHeight="1" x14ac:dyDescent="0.25">
      <c r="A26" s="122"/>
      <c r="B26" s="123"/>
      <c r="C26" s="123"/>
      <c r="D26" s="124">
        <f t="shared" ref="D26" si="4">(C26-B26)</f>
        <v>0</v>
      </c>
      <c r="E26" s="260"/>
      <c r="F26" s="260"/>
      <c r="G26" s="263"/>
      <c r="H26" s="29"/>
      <c r="K26" s="11"/>
    </row>
    <row r="27" spans="1:11" ht="19.5" customHeight="1" thickBot="1" x14ac:dyDescent="0.3">
      <c r="A27" s="125"/>
      <c r="B27" s="86"/>
      <c r="C27" s="86"/>
      <c r="D27" s="50"/>
      <c r="E27" s="261"/>
      <c r="F27" s="261"/>
      <c r="G27" s="264"/>
      <c r="H27" s="29"/>
      <c r="K27" s="7"/>
    </row>
    <row r="28" spans="1:11" ht="12.75" customHeight="1" x14ac:dyDescent="0.25">
      <c r="A28" s="122"/>
      <c r="B28" s="123"/>
      <c r="C28" s="123"/>
      <c r="D28" s="124">
        <f t="shared" ref="D28" si="5">(C28-B28)</f>
        <v>0</v>
      </c>
      <c r="E28" s="250"/>
      <c r="F28" s="250"/>
      <c r="G28" s="263"/>
      <c r="H28" s="29"/>
    </row>
    <row r="29" spans="1:11" ht="20.25" customHeight="1" thickBot="1" x14ac:dyDescent="0.3">
      <c r="A29" s="125"/>
      <c r="B29" s="86"/>
      <c r="C29" s="86"/>
      <c r="D29" s="50"/>
      <c r="E29" s="251"/>
      <c r="F29" s="251"/>
      <c r="G29" s="264"/>
      <c r="H29" s="29"/>
    </row>
    <row r="30" spans="1:11" ht="12.75" customHeight="1" x14ac:dyDescent="0.25">
      <c r="A30" s="126"/>
      <c r="B30" s="85"/>
      <c r="C30" s="85"/>
      <c r="D30" s="63">
        <f t="shared" ref="D30" si="6">(C30-B30)</f>
        <v>0</v>
      </c>
      <c r="E30" s="250"/>
      <c r="F30" s="250"/>
      <c r="G30" s="263"/>
      <c r="H30" s="29"/>
    </row>
    <row r="31" spans="1:11" ht="23.25" customHeight="1" thickBot="1" x14ac:dyDescent="0.3">
      <c r="A31" s="125"/>
      <c r="B31" s="86"/>
      <c r="C31" s="86"/>
      <c r="D31" s="50"/>
      <c r="E31" s="251"/>
      <c r="F31" s="251"/>
      <c r="G31" s="264"/>
      <c r="H31" s="29"/>
    </row>
    <row r="32" spans="1:11" ht="17.25" customHeight="1" x14ac:dyDescent="0.25">
      <c r="A32" s="122"/>
      <c r="B32" s="123"/>
      <c r="C32" s="123"/>
      <c r="D32" s="124">
        <f t="shared" ref="D32" si="7">(C32-B32)</f>
        <v>0</v>
      </c>
      <c r="E32" s="250"/>
      <c r="F32" s="303"/>
      <c r="G32" s="263"/>
      <c r="H32" s="29"/>
    </row>
    <row r="33" spans="1:8" ht="17.25" customHeight="1" thickBot="1" x14ac:dyDescent="0.3">
      <c r="A33" s="165"/>
      <c r="B33" s="166"/>
      <c r="C33" s="166"/>
      <c r="D33" s="167"/>
      <c r="E33" s="251"/>
      <c r="F33" s="304"/>
      <c r="G33" s="264"/>
      <c r="H33" s="29"/>
    </row>
    <row r="34" spans="1:8" ht="17.25" customHeight="1" x14ac:dyDescent="0.25">
      <c r="A34" s="122"/>
      <c r="B34" s="123"/>
      <c r="C34" s="123"/>
      <c r="D34" s="124">
        <f t="shared" ref="D34:D40" si="8">(C34-B34)</f>
        <v>0</v>
      </c>
      <c r="E34" s="250"/>
      <c r="F34" s="303"/>
      <c r="G34" s="263"/>
      <c r="H34" s="29"/>
    </row>
    <row r="35" spans="1:8" ht="17.25" customHeight="1" thickBot="1" x14ac:dyDescent="0.3">
      <c r="A35" s="165"/>
      <c r="B35" s="166"/>
      <c r="C35" s="166"/>
      <c r="D35" s="167"/>
      <c r="E35" s="251"/>
      <c r="F35" s="304"/>
      <c r="G35" s="264"/>
      <c r="H35" s="29"/>
    </row>
    <row r="36" spans="1:8" ht="17.25" customHeight="1" x14ac:dyDescent="0.25">
      <c r="A36" s="122"/>
      <c r="B36" s="123"/>
      <c r="C36" s="123"/>
      <c r="D36" s="124">
        <f t="shared" si="8"/>
        <v>0</v>
      </c>
      <c r="E36" s="250"/>
      <c r="F36" s="303"/>
      <c r="G36" s="263"/>
      <c r="H36" s="29"/>
    </row>
    <row r="37" spans="1:8" ht="17.25" customHeight="1" thickBot="1" x14ac:dyDescent="0.3">
      <c r="A37" s="165"/>
      <c r="B37" s="166"/>
      <c r="C37" s="166"/>
      <c r="D37" s="167"/>
      <c r="E37" s="251"/>
      <c r="F37" s="304"/>
      <c r="G37" s="264"/>
      <c r="H37" s="29"/>
    </row>
    <row r="38" spans="1:8" ht="17.25" customHeight="1" x14ac:dyDescent="0.25">
      <c r="A38" s="122"/>
      <c r="B38" s="123"/>
      <c r="C38" s="123"/>
      <c r="D38" s="124">
        <f t="shared" si="8"/>
        <v>0</v>
      </c>
      <c r="E38" s="250"/>
      <c r="F38" s="303"/>
      <c r="G38" s="263"/>
      <c r="H38" s="29"/>
    </row>
    <row r="39" spans="1:8" ht="17.25" customHeight="1" thickBot="1" x14ac:dyDescent="0.3">
      <c r="A39" s="165"/>
      <c r="B39" s="166"/>
      <c r="C39" s="166"/>
      <c r="D39" s="167"/>
      <c r="E39" s="251"/>
      <c r="F39" s="304"/>
      <c r="G39" s="264"/>
      <c r="H39" s="29"/>
    </row>
    <row r="40" spans="1:8" ht="17.25" customHeight="1" x14ac:dyDescent="0.25">
      <c r="A40" s="122"/>
      <c r="B40" s="123"/>
      <c r="C40" s="123"/>
      <c r="D40" s="124">
        <f t="shared" si="8"/>
        <v>0</v>
      </c>
      <c r="E40" s="250"/>
      <c r="F40" s="303"/>
      <c r="G40" s="263"/>
      <c r="H40" s="29"/>
    </row>
    <row r="41" spans="1:8" ht="17.25" customHeight="1" thickBot="1" x14ac:dyDescent="0.3">
      <c r="A41" s="165"/>
      <c r="B41" s="166"/>
      <c r="C41" s="166"/>
      <c r="D41" s="167"/>
      <c r="E41" s="251"/>
      <c r="F41" s="304"/>
      <c r="G41" s="264"/>
      <c r="H41" s="29"/>
    </row>
    <row r="42" spans="1:8" ht="17.25" customHeight="1" x14ac:dyDescent="0.25">
      <c r="A42" s="144"/>
      <c r="B42" s="85"/>
      <c r="C42" s="85"/>
      <c r="D42" s="63"/>
      <c r="E42" s="163"/>
      <c r="F42" s="163"/>
      <c r="G42" s="164"/>
      <c r="H42" s="29"/>
    </row>
    <row r="43" spans="1:8" ht="17.25" customHeight="1" thickBot="1" x14ac:dyDescent="0.4">
      <c r="A43" s="222" t="s">
        <v>21</v>
      </c>
      <c r="B43" s="222"/>
      <c r="C43" s="27"/>
      <c r="D43" s="27"/>
      <c r="E43" s="27"/>
      <c r="F43" s="114"/>
      <c r="G43" s="114"/>
      <c r="H43" s="29"/>
    </row>
    <row r="44" spans="1:8" ht="17.25" customHeight="1" thickBot="1" x14ac:dyDescent="0.25">
      <c r="A44" s="5"/>
      <c r="B44" s="15"/>
      <c r="C44" s="16"/>
      <c r="D44" s="17"/>
      <c r="E44" s="18"/>
      <c r="F44" s="30"/>
      <c r="G44" s="30"/>
      <c r="H44" s="29"/>
    </row>
    <row r="45" spans="1:8" ht="17.25" customHeight="1" x14ac:dyDescent="0.2">
      <c r="A45" s="298" t="s">
        <v>156</v>
      </c>
      <c r="B45" s="272"/>
      <c r="C45" s="272"/>
      <c r="D45" s="272"/>
      <c r="E45" s="272"/>
      <c r="F45" s="272"/>
      <c r="G45" s="273"/>
      <c r="H45" s="29"/>
    </row>
    <row r="46" spans="1:8" ht="17.25" customHeight="1" x14ac:dyDescent="0.2">
      <c r="A46" s="274"/>
      <c r="B46" s="275"/>
      <c r="C46" s="275"/>
      <c r="D46" s="275"/>
      <c r="E46" s="275"/>
      <c r="F46" s="275"/>
      <c r="G46" s="276"/>
      <c r="H46" s="29"/>
    </row>
    <row r="47" spans="1:8" x14ac:dyDescent="0.2">
      <c r="A47" s="274"/>
      <c r="B47" s="275"/>
      <c r="C47" s="275"/>
      <c r="D47" s="275"/>
      <c r="E47" s="275"/>
      <c r="F47" s="275"/>
      <c r="G47" s="276"/>
      <c r="H47" s="29"/>
    </row>
    <row r="48" spans="1:8" ht="24.75" customHeight="1" x14ac:dyDescent="0.2">
      <c r="A48" s="274"/>
      <c r="B48" s="275"/>
      <c r="C48" s="275"/>
      <c r="D48" s="275"/>
      <c r="E48" s="275"/>
      <c r="F48" s="275"/>
      <c r="G48" s="276"/>
      <c r="H48" s="29"/>
    </row>
    <row r="49" spans="1:7" ht="13.5" customHeight="1" x14ac:dyDescent="0.2">
      <c r="A49" s="274"/>
      <c r="B49" s="275"/>
      <c r="C49" s="275"/>
      <c r="D49" s="275"/>
      <c r="E49" s="275"/>
      <c r="F49" s="275"/>
      <c r="G49" s="276"/>
    </row>
    <row r="50" spans="1:7" ht="12.75" customHeight="1" x14ac:dyDescent="0.2">
      <c r="A50" s="274"/>
      <c r="B50" s="275"/>
      <c r="C50" s="275"/>
      <c r="D50" s="275"/>
      <c r="E50" s="275"/>
      <c r="F50" s="275"/>
      <c r="G50" s="276"/>
    </row>
    <row r="51" spans="1:7" ht="12.75" customHeight="1" x14ac:dyDescent="0.2">
      <c r="A51" s="274"/>
      <c r="B51" s="275"/>
      <c r="C51" s="275"/>
      <c r="D51" s="275"/>
      <c r="E51" s="275"/>
      <c r="F51" s="275"/>
      <c r="G51" s="276"/>
    </row>
    <row r="52" spans="1:7" ht="12.75" customHeight="1" x14ac:dyDescent="0.2">
      <c r="A52" s="274"/>
      <c r="B52" s="275"/>
      <c r="C52" s="275"/>
      <c r="D52" s="275"/>
      <c r="E52" s="275"/>
      <c r="F52" s="275"/>
      <c r="G52" s="276"/>
    </row>
    <row r="53" spans="1:7" ht="10.5" customHeight="1" x14ac:dyDescent="0.2">
      <c r="A53" s="274"/>
      <c r="B53" s="275"/>
      <c r="C53" s="275"/>
      <c r="D53" s="275"/>
      <c r="E53" s="275"/>
      <c r="F53" s="275"/>
      <c r="G53" s="276"/>
    </row>
    <row r="54" spans="1:7" ht="21" customHeight="1" x14ac:dyDescent="0.2">
      <c r="A54" s="274"/>
      <c r="B54" s="275"/>
      <c r="C54" s="275"/>
      <c r="D54" s="275"/>
      <c r="E54" s="275"/>
      <c r="F54" s="275"/>
      <c r="G54" s="276"/>
    </row>
    <row r="55" spans="1:7" ht="21" customHeight="1" x14ac:dyDescent="0.2">
      <c r="A55" s="274"/>
      <c r="B55" s="275"/>
      <c r="C55" s="275"/>
      <c r="D55" s="275"/>
      <c r="E55" s="275"/>
      <c r="F55" s="275"/>
      <c r="G55" s="276"/>
    </row>
    <row r="56" spans="1:7" ht="12.75" customHeight="1" x14ac:dyDescent="0.2">
      <c r="A56" s="274"/>
      <c r="B56" s="275"/>
      <c r="C56" s="275"/>
      <c r="D56" s="275"/>
      <c r="E56" s="275"/>
      <c r="F56" s="275"/>
      <c r="G56" s="276"/>
    </row>
    <row r="57" spans="1:7" ht="12.75" customHeight="1" x14ac:dyDescent="0.2">
      <c r="A57" s="274"/>
      <c r="B57" s="275"/>
      <c r="C57" s="275"/>
      <c r="D57" s="275"/>
      <c r="E57" s="275"/>
      <c r="F57" s="275"/>
      <c r="G57" s="276"/>
    </row>
    <row r="58" spans="1:7" ht="300" customHeight="1" thickBot="1" x14ac:dyDescent="0.25">
      <c r="A58" s="277"/>
      <c r="B58" s="278"/>
      <c r="C58" s="278"/>
      <c r="D58" s="278"/>
      <c r="E58" s="278"/>
      <c r="F58" s="278"/>
      <c r="G58" s="279"/>
    </row>
    <row r="59" spans="1:7" ht="12.75" customHeight="1" x14ac:dyDescent="0.2"/>
    <row r="60" spans="1:7" ht="12.75" customHeight="1" x14ac:dyDescent="0.2"/>
    <row r="61" spans="1:7" ht="12.75" customHeight="1" x14ac:dyDescent="0.2"/>
    <row r="62" spans="1:7" ht="12.75" customHeight="1" x14ac:dyDescent="0.2"/>
    <row r="63" spans="1:7" ht="16.5" customHeight="1" x14ac:dyDescent="0.2"/>
    <row r="64" spans="1:7" ht="12.75" customHeight="1" x14ac:dyDescent="0.2"/>
    <row r="65" ht="12.75" customHeight="1" x14ac:dyDescent="0.2"/>
    <row r="66" ht="12.75" customHeight="1" x14ac:dyDescent="0.2"/>
    <row r="67" ht="12.75" customHeight="1" x14ac:dyDescent="0.2"/>
    <row r="68" ht="12.75" customHeight="1" x14ac:dyDescent="0.2"/>
    <row r="69" ht="16.5" customHeight="1" x14ac:dyDescent="0.2"/>
    <row r="70" ht="12.75" customHeight="1" x14ac:dyDescent="0.2"/>
    <row r="71" ht="13.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3.5" customHeight="1" x14ac:dyDescent="0.2"/>
  </sheetData>
  <mergeCells count="38">
    <mergeCell ref="A43:B43"/>
    <mergeCell ref="A45:G58"/>
    <mergeCell ref="E36:F37"/>
    <mergeCell ref="G36:G37"/>
    <mergeCell ref="E38:F39"/>
    <mergeCell ref="G38:G39"/>
    <mergeCell ref="E40:F41"/>
    <mergeCell ref="G40:G41"/>
    <mergeCell ref="E30:F31"/>
    <mergeCell ref="G30:G31"/>
    <mergeCell ref="E32:F33"/>
    <mergeCell ref="G32:G33"/>
    <mergeCell ref="E34:F35"/>
    <mergeCell ref="G34:G35"/>
    <mergeCell ref="E24:F25"/>
    <mergeCell ref="G24:G25"/>
    <mergeCell ref="E26:F27"/>
    <mergeCell ref="G26:G27"/>
    <mergeCell ref="E28:F29"/>
    <mergeCell ref="G28:G29"/>
    <mergeCell ref="E18:F19"/>
    <mergeCell ref="G18:G19"/>
    <mergeCell ref="E20:F21"/>
    <mergeCell ref="G20:G21"/>
    <mergeCell ref="E22:F23"/>
    <mergeCell ref="G22:G23"/>
    <mergeCell ref="E12:F13"/>
    <mergeCell ref="G12:G13"/>
    <mergeCell ref="E14:F15"/>
    <mergeCell ref="G14:G15"/>
    <mergeCell ref="E16:F17"/>
    <mergeCell ref="G16:G17"/>
    <mergeCell ref="A1:D1"/>
    <mergeCell ref="A4:B5"/>
    <mergeCell ref="C4:D5"/>
    <mergeCell ref="J4:J5"/>
    <mergeCell ref="E10:F11"/>
    <mergeCell ref="G10:G11"/>
  </mergeCells>
  <conditionalFormatting sqref="H20:I21 I19">
    <cfRule type="expression" dxfId="7" priority="6">
      <formula>ISNUMBER(SEARCH(TEXT(#REF!,"ddd"),#REF!))</formula>
    </cfRule>
  </conditionalFormatting>
  <conditionalFormatting sqref="A10:D12 A16:D17 A18:C18 A20:C20 A22:C22 A24:C24 A26:C26 A28:C28 A30:C30 A32:C33">
    <cfRule type="expression" dxfId="6" priority="7">
      <formula>ISNUMBER(SEARCH(TEXT(#REF!,"ddd"),#REF!))</formula>
    </cfRule>
  </conditionalFormatting>
  <conditionalFormatting sqref="K19:K24">
    <cfRule type="expression" dxfId="5" priority="8">
      <formula>ISNUMBER(SEARCH(TEXT(#REF!,"ddd"),#REF!))</formula>
    </cfRule>
  </conditionalFormatting>
  <conditionalFormatting sqref="D14">
    <cfRule type="expression" dxfId="4" priority="5">
      <formula>ISNUMBER(SEARCH(TEXT(#REF!,"ddd"),#REF!))</formula>
    </cfRule>
  </conditionalFormatting>
  <conditionalFormatting sqref="A14:C14">
    <cfRule type="expression" dxfId="3" priority="2">
      <formula>ISNUMBER(SEARCH(TEXT(#REF!,"ddd"),#REF!))</formula>
    </cfRule>
  </conditionalFormatting>
  <conditionalFormatting sqref="A13:D13">
    <cfRule type="expression" dxfId="2" priority="4">
      <formula>ISNUMBER(SEARCH(TEXT(#REF!,"ddd"),#REF!))</formula>
    </cfRule>
  </conditionalFormatting>
  <conditionalFormatting sqref="A15:D15">
    <cfRule type="expression" dxfId="1" priority="3">
      <formula>ISNUMBER(SEARCH(TEXT(#REF!,"ddd"),#REF!))</formula>
    </cfRule>
  </conditionalFormatting>
  <conditionalFormatting sqref="A34:C42">
    <cfRule type="expression" dxfId="0" priority="1">
      <formula>ISNUMBER(SEARCH(TEXT(#REF!,"ddd"),#REF!))</formula>
    </cfRule>
  </conditionalFormatting>
  <dataValidations count="2">
    <dataValidation type="custom" allowBlank="1" showInputMessage="1" showErrorMessage="1" sqref="C10 C17" xr:uid="{CD5B8A64-C2C0-4E3E-9E35-041147718BA1}">
      <formula1>AND($C10&lt;=1,ISNUMBER($C10),($C10&gt;=$B10))</formula1>
    </dataValidation>
    <dataValidation type="custom" allowBlank="1" showInputMessage="1" showErrorMessage="1" sqref="C18 B10:B18 C11:C16 B20:C20 B22:C22 B24:C24 B26:C26 B28:C28 B30:C30 B32:C42" xr:uid="{7BA51949-627B-4A7C-BCF8-FD2B0A37888C}">
      <formula1>AND($B10&lt;=1,ISNUMBER($B10))</formula1>
    </dataValidation>
  </dataValidations>
  <pageMargins left="0.23622047244094491" right="0.23622047244094491" top="0.74803149606299213" bottom="0.74803149606299213" header="0.31496062992125984" footer="0.31496062992125984"/>
  <pageSetup paperSize="9" scale="59" fitToHeight="0" orientation="portrait" horizontalDpi="4294967293" vertic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5C2D0-C410-4B25-8907-1EF964BA41F5}">
  <sheetPr codeName="Sheet5"/>
  <dimension ref="A6"/>
  <sheetViews>
    <sheetView workbookViewId="0">
      <selection activeCell="A6" sqref="A6"/>
    </sheetView>
  </sheetViews>
  <sheetFormatPr baseColWidth="10" defaultColWidth="9" defaultRowHeight="12.75" x14ac:dyDescent="0.2"/>
  <sheetData>
    <row r="6" spans="1:1" x14ac:dyDescent="0.2">
      <c r="A6" s="21">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2"/>
  <sheetViews>
    <sheetView showGridLines="0" workbookViewId="0">
      <selection activeCell="B2" sqref="B2"/>
    </sheetView>
  </sheetViews>
  <sheetFormatPr baseColWidth="10" defaultColWidth="9" defaultRowHeight="12.75" x14ac:dyDescent="0.2"/>
  <cols>
    <col min="1" max="1" width="9" style="2"/>
    <col min="2" max="2" width="9.75" style="2" bestFit="1" customWidth="1"/>
    <col min="3" max="3" width="9" style="2"/>
    <col min="4" max="4" width="11.125" style="2" bestFit="1" customWidth="1"/>
    <col min="5" max="5" width="9.875" customWidth="1"/>
    <col min="6" max="6" width="9.75" customWidth="1"/>
  </cols>
  <sheetData>
    <row r="1" spans="1:5" x14ac:dyDescent="0.2">
      <c r="A1" s="4" t="s">
        <v>66</v>
      </c>
      <c r="B1" s="4" t="s">
        <v>67</v>
      </c>
      <c r="C1" s="4" t="s">
        <v>68</v>
      </c>
      <c r="D1" s="4" t="s">
        <v>69</v>
      </c>
      <c r="E1" s="4" t="s">
        <v>70</v>
      </c>
    </row>
    <row r="2" spans="1:5" x14ac:dyDescent="0.2">
      <c r="A2" s="2">
        <v>2015</v>
      </c>
      <c r="B2" s="2" t="s">
        <v>71</v>
      </c>
      <c r="C2" s="2">
        <v>1</v>
      </c>
      <c r="D2" s="3" t="s">
        <v>72</v>
      </c>
      <c r="E2" s="2" t="b">
        <v>1</v>
      </c>
    </row>
    <row r="3" spans="1:5" x14ac:dyDescent="0.2">
      <c r="A3" s="2">
        <v>2016</v>
      </c>
      <c r="B3" s="2" t="s">
        <v>73</v>
      </c>
      <c r="C3" s="2">
        <v>2</v>
      </c>
      <c r="D3" s="3" t="s">
        <v>74</v>
      </c>
    </row>
    <row r="4" spans="1:5" x14ac:dyDescent="0.2">
      <c r="A4" s="2">
        <v>2017</v>
      </c>
      <c r="B4" s="2" t="s">
        <v>75</v>
      </c>
      <c r="C4" s="2">
        <v>3</v>
      </c>
      <c r="D4" s="3" t="s">
        <v>76</v>
      </c>
    </row>
    <row r="5" spans="1:5" x14ac:dyDescent="0.2">
      <c r="A5" s="2">
        <v>2018</v>
      </c>
      <c r="B5" s="2" t="s">
        <v>77</v>
      </c>
      <c r="C5" s="2">
        <v>4</v>
      </c>
      <c r="D5" s="3" t="s">
        <v>78</v>
      </c>
    </row>
    <row r="6" spans="1:5" x14ac:dyDescent="0.2">
      <c r="A6" s="2">
        <v>2019</v>
      </c>
      <c r="B6" s="2" t="s">
        <v>79</v>
      </c>
      <c r="C6" s="2">
        <v>5</v>
      </c>
      <c r="D6" s="3" t="s">
        <v>80</v>
      </c>
    </row>
    <row r="7" spans="1:5" x14ac:dyDescent="0.2">
      <c r="A7" s="2">
        <v>2020</v>
      </c>
      <c r="B7" s="2" t="s">
        <v>81</v>
      </c>
      <c r="C7" s="2">
        <v>6</v>
      </c>
      <c r="D7" s="3" t="s">
        <v>82</v>
      </c>
    </row>
    <row r="8" spans="1:5" x14ac:dyDescent="0.2">
      <c r="A8" s="2">
        <v>2021</v>
      </c>
      <c r="B8" s="2" t="s">
        <v>83</v>
      </c>
      <c r="C8" s="2">
        <v>7</v>
      </c>
      <c r="D8" s="3" t="s">
        <v>84</v>
      </c>
    </row>
    <row r="9" spans="1:5" x14ac:dyDescent="0.2">
      <c r="A9" s="2">
        <v>2022</v>
      </c>
      <c r="B9" s="2" t="s">
        <v>85</v>
      </c>
      <c r="C9" s="2">
        <v>8</v>
      </c>
      <c r="D9" s="3" t="s">
        <v>86</v>
      </c>
    </row>
    <row r="10" spans="1:5" x14ac:dyDescent="0.2">
      <c r="A10" s="2">
        <v>2023</v>
      </c>
      <c r="B10" s="2" t="s">
        <v>87</v>
      </c>
      <c r="C10" s="2">
        <v>9</v>
      </c>
      <c r="D10" s="3" t="s">
        <v>88</v>
      </c>
    </row>
    <row r="11" spans="1:5" x14ac:dyDescent="0.2">
      <c r="A11" s="2">
        <v>2024</v>
      </c>
      <c r="B11" s="2" t="s">
        <v>89</v>
      </c>
      <c r="C11" s="2">
        <v>10</v>
      </c>
      <c r="D11" s="3" t="s">
        <v>90</v>
      </c>
    </row>
    <row r="12" spans="1:5" x14ac:dyDescent="0.2">
      <c r="A12" s="2">
        <v>2025</v>
      </c>
      <c r="B12" s="2" t="s">
        <v>91</v>
      </c>
      <c r="C12" s="2">
        <v>11</v>
      </c>
      <c r="D12" s="3" t="s">
        <v>92</v>
      </c>
    </row>
    <row r="13" spans="1:5" x14ac:dyDescent="0.2">
      <c r="B13" s="2" t="s">
        <v>93</v>
      </c>
      <c r="C13" s="2">
        <v>12</v>
      </c>
      <c r="D13" s="3" t="s">
        <v>94</v>
      </c>
    </row>
    <row r="14" spans="1:5" x14ac:dyDescent="0.2">
      <c r="C14" s="2">
        <v>13</v>
      </c>
      <c r="D14" s="3" t="s">
        <v>95</v>
      </c>
    </row>
    <row r="15" spans="1:5" x14ac:dyDescent="0.2">
      <c r="C15" s="2">
        <v>14</v>
      </c>
      <c r="D15" s="3" t="s">
        <v>96</v>
      </c>
    </row>
    <row r="16" spans="1:5" x14ac:dyDescent="0.2">
      <c r="C16" s="2">
        <v>15</v>
      </c>
      <c r="D16" s="3" t="s">
        <v>97</v>
      </c>
    </row>
    <row r="17" spans="3:4" x14ac:dyDescent="0.2">
      <c r="C17" s="2">
        <v>16</v>
      </c>
      <c r="D17" s="3"/>
    </row>
    <row r="18" spans="3:4" x14ac:dyDescent="0.2">
      <c r="C18" s="2">
        <v>17</v>
      </c>
      <c r="D18" s="3"/>
    </row>
    <row r="19" spans="3:4" x14ac:dyDescent="0.2">
      <c r="C19" s="2">
        <v>18</v>
      </c>
      <c r="D19" s="3"/>
    </row>
    <row r="20" spans="3:4" x14ac:dyDescent="0.2">
      <c r="C20" s="2">
        <v>19</v>
      </c>
    </row>
    <row r="21" spans="3:4" x14ac:dyDescent="0.2">
      <c r="C21" s="2">
        <v>20</v>
      </c>
    </row>
    <row r="22" spans="3:4" x14ac:dyDescent="0.2">
      <c r="C22" s="2">
        <v>21</v>
      </c>
    </row>
    <row r="23" spans="3:4" x14ac:dyDescent="0.2">
      <c r="C23" s="2">
        <v>22</v>
      </c>
    </row>
    <row r="24" spans="3:4" x14ac:dyDescent="0.2">
      <c r="C24" s="2">
        <v>23</v>
      </c>
    </row>
    <row r="25" spans="3:4" x14ac:dyDescent="0.2">
      <c r="C25" s="2">
        <v>24</v>
      </c>
    </row>
    <row r="26" spans="3:4" x14ac:dyDescent="0.2">
      <c r="C26" s="2">
        <v>25</v>
      </c>
    </row>
    <row r="27" spans="3:4" x14ac:dyDescent="0.2">
      <c r="C27" s="2">
        <v>26</v>
      </c>
    </row>
    <row r="28" spans="3:4" x14ac:dyDescent="0.2">
      <c r="C28" s="2">
        <v>27</v>
      </c>
    </row>
    <row r="29" spans="3:4" x14ac:dyDescent="0.2">
      <c r="C29" s="2">
        <v>28</v>
      </c>
    </row>
    <row r="30" spans="3:4" x14ac:dyDescent="0.2">
      <c r="C30" s="2">
        <v>29</v>
      </c>
    </row>
    <row r="31" spans="3:4" x14ac:dyDescent="0.2">
      <c r="C31" s="2">
        <v>30</v>
      </c>
    </row>
    <row r="32" spans="3:4" x14ac:dyDescent="0.2">
      <c r="C32" s="2">
        <v>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5C29FB23202384A9C7D6EC56A47F2AA" ma:contentTypeVersion="11" ma:contentTypeDescription="Create a new document." ma:contentTypeScope="" ma:versionID="5ccd9d23998b29e8eeb449f09d4c153d">
  <xsd:schema xmlns:xsd="http://www.w3.org/2001/XMLSchema" xmlns:xs="http://www.w3.org/2001/XMLSchema" xmlns:p="http://schemas.microsoft.com/office/2006/metadata/properties" xmlns:ns3="4f5da05e-f710-4b7c-8b8e-c076e7b8ff7a" xmlns:ns4="73036575-aed3-4020-9cb5-002fb21c073e" targetNamespace="http://schemas.microsoft.com/office/2006/metadata/properties" ma:root="true" ma:fieldsID="42c4478eeeddc3502b3b199426bf3883" ns3:_="" ns4:_="">
    <xsd:import namespace="4f5da05e-f710-4b7c-8b8e-c076e7b8ff7a"/>
    <xsd:import namespace="73036575-aed3-4020-9cb5-002fb21c073e"/>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DateTaken" minOccurs="0"/>
                <xsd:element ref="ns3:MediaServiceOCR" minOccurs="0"/>
                <xsd:element ref="ns3:MediaServiceLocation"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5da05e-f710-4b7c-8b8e-c076e7b8ff7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3036575-aed3-4020-9cb5-002fb21c07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436CED-D6F5-4ECB-8FE8-A9B4C93055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5da05e-f710-4b7c-8b8e-c076e7b8ff7a"/>
    <ds:schemaRef ds:uri="73036575-aed3-4020-9cb5-002fb21c07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74E8D1-2A18-4208-A716-DB3ABDF776C9}">
  <ds:schemaRefs>
    <ds:schemaRef ds:uri="http://www.w3.org/XML/1998/namespace"/>
    <ds:schemaRef ds:uri="http://schemas.microsoft.com/office/2006/documentManagement/types"/>
    <ds:schemaRef ds:uri="http://schemas.openxmlformats.org/package/2006/metadata/core-properties"/>
    <ds:schemaRef ds:uri="4f5da05e-f710-4b7c-8b8e-c076e7b8ff7a"/>
    <ds:schemaRef ds:uri="http://schemas.microsoft.com/office/2006/metadata/properties"/>
    <ds:schemaRef ds:uri="http://schemas.microsoft.com/office/infopath/2007/PartnerControls"/>
    <ds:schemaRef ds:uri="http://purl.org/dc/dcmitype/"/>
    <ds:schemaRef ds:uri="http://purl.org/dc/terms/"/>
    <ds:schemaRef ds:uri="73036575-aed3-4020-9cb5-002fb21c073e"/>
    <ds:schemaRef ds:uri="http://purl.org/dc/elements/1.1/"/>
  </ds:schemaRefs>
</ds:datastoreItem>
</file>

<file path=customXml/itemProps3.xml><?xml version="1.0" encoding="utf-8"?>
<ds:datastoreItem xmlns:ds="http://schemas.openxmlformats.org/officeDocument/2006/customXml" ds:itemID="{E7E5097B-8A76-4AD0-B481-2A8F8C5811D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22</vt:i4>
      </vt:variant>
    </vt:vector>
  </HeadingPairs>
  <TitlesOfParts>
    <vt:vector size="22" baseType="lpstr">
      <vt:lpstr>Først</vt:lpstr>
      <vt:lpstr>Uke3</vt:lpstr>
      <vt:lpstr>Uke4</vt:lpstr>
      <vt:lpstr>Uke5</vt:lpstr>
      <vt:lpstr>Uke6</vt:lpstr>
      <vt:lpstr>Uke7</vt:lpstr>
      <vt:lpstr>Uke8</vt:lpstr>
      <vt:lpstr>Uke9</vt:lpstr>
      <vt:lpstr>Uke10</vt:lpstr>
      <vt:lpstr>Uke11</vt:lpstr>
      <vt:lpstr>Uke12</vt:lpstr>
      <vt:lpstr>Uke13</vt:lpstr>
      <vt:lpstr>Uke14</vt:lpstr>
      <vt:lpstr>Uke15</vt:lpstr>
      <vt:lpstr>Uke16</vt:lpstr>
      <vt:lpstr>Uke17</vt:lpstr>
      <vt:lpstr>Uke18</vt:lpstr>
      <vt:lpstr>Uke19</vt:lpstr>
      <vt:lpstr>Uke20</vt:lpstr>
      <vt:lpstr>Uke21</vt:lpstr>
      <vt:lpstr>Sist</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sumit bansal</dc:creator>
  <cp:keywords/>
  <dc:description/>
  <cp:lastModifiedBy>Anders Rubach Ese</cp:lastModifiedBy>
  <cp:revision/>
  <cp:lastPrinted>2020-04-26T19:34:58Z</cp:lastPrinted>
  <dcterms:created xsi:type="dcterms:W3CDTF">2015-07-13T20:50:55Z</dcterms:created>
  <dcterms:modified xsi:type="dcterms:W3CDTF">2020-05-18T18:14:29Z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0x01010035C29FB23202384A9C7D6EC56A47F2AA</vt:lpwstr>
  </property>
</Properties>
</file>
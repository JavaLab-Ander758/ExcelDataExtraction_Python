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Users\ThinkPad\OneDrive - UiT Office 365\UiT Narvik\Systemutvikling ITE1807\Prosjekt felles mappe\Timelister\"/>
    </mc:Choice>
  </mc:AlternateContent>
  <xr:revisionPtr revIDLastSave="799" documentId="8_{7ABA7017-396A-4196-9958-99A9840B085C}" xr6:coauthVersionLast="44" xr6:coauthVersionMax="45" xr10:uidLastSave="{8ADC0469-21C5-4217-9722-40B195F63B25}"/>
  <bookViews>
    <workbookView minimized="1" xWindow="31560" yWindow="5895" windowWidth="9270" windowHeight="10005" firstSheet="14" activeTab="19" xr2:uid="{00000000-000D-0000-FFFF-FFFF00000000}"/>
  </bookViews>
  <sheets>
    <sheet name="Først" sheetId="11" state="hidden" r:id="rId1"/>
    <sheet name="UkeX" sheetId="48" r:id="rId2"/>
    <sheet name="Uke2" sheetId="45" r:id="rId3"/>
    <sheet name="Uke3" sheetId="43" r:id="rId4"/>
    <sheet name="Uke4" sheetId="42" r:id="rId5"/>
    <sheet name="Uke5" sheetId="41" r:id="rId6"/>
    <sheet name="Uke6" sheetId="36" r:id="rId7"/>
    <sheet name="Uke7" sheetId="40" r:id="rId8"/>
    <sheet name="Uke8" sheetId="47" r:id="rId9"/>
    <sheet name="Uke9" sheetId="49" r:id="rId10"/>
    <sheet name="Uke10" sheetId="50" r:id="rId11"/>
    <sheet name="Uke11" sheetId="51" r:id="rId12"/>
    <sheet name="Uke12" sheetId="52" r:id="rId13"/>
    <sheet name="Uke13" sheetId="53" r:id="rId14"/>
    <sheet name="Uke14" sheetId="54" r:id="rId15"/>
    <sheet name="Uke15" sheetId="55" r:id="rId16"/>
    <sheet name="Uke16" sheetId="56" r:id="rId17"/>
    <sheet name="Uke17" sheetId="57" r:id="rId18"/>
    <sheet name="Uke18" sheetId="58" r:id="rId19"/>
    <sheet name="Uke19" sheetId="59" r:id="rId20"/>
    <sheet name="Sist" sheetId="12" state="hidden" r:id="rId21"/>
    <sheet name="Data" sheetId="2" state="hidden" r:id="rId22"/>
  </sheets>
  <functionGroups builtInGroupCount="19"/>
  <definedNames>
    <definedName name="DateCalc" localSheetId="10">Data!$C$2:INDEX(Data!$C$2:$C$32,DAY(DATE('Uke10'!#REF!,MATCH('Uke10'!#REF!,Data!$B$2:$B$13,0)+1,0)))</definedName>
    <definedName name="DateCalc" localSheetId="11">Data!$C$2:INDEX(Data!$C$2:$C$32,DAY(DATE('Uke11'!#REF!,MATCH('Uke11'!#REF!,Data!$B$2:$B$13,0)+1,0)))</definedName>
    <definedName name="DateCalc" localSheetId="12">Data!$C$2:INDEX(Data!$C$2:$C$32,DAY(DATE('Uke12'!#REF!,MATCH('Uke12'!#REF!,Data!$B$2:$B$13,0)+1,0)))</definedName>
    <definedName name="DateCalc" localSheetId="13">Data!$C$2:INDEX(Data!$C$2:$C$32,DAY(DATE('Uke13'!#REF!,MATCH('Uke13'!#REF!,Data!$B$2:$B$13,0)+1,0)))</definedName>
    <definedName name="DateCalc" localSheetId="14">Data!$C$2:INDEX(Data!$C$2:$C$32,DAY(DATE('Uke14'!#REF!,MATCH('Uke14'!#REF!,Data!$B$2:$B$13,0)+1,0)))</definedName>
    <definedName name="DateCalc" localSheetId="15">Data!$C$2:INDEX(Data!$C$2:$C$32,DAY(DATE('Uke15'!#REF!,MATCH('Uke15'!#REF!,Data!$B$2:$B$13,0)+1,0)))</definedName>
    <definedName name="DateCalc" localSheetId="16">Data!$C$2:INDEX(Data!$C$2:$C$32,DAY(DATE('Uke16'!#REF!,MATCH('Uke16'!#REF!,Data!$B$2:$B$13,0)+1,0)))</definedName>
    <definedName name="DateCalc" localSheetId="17">Data!$C$2:INDEX(Data!$C$2:$C$32,DAY(DATE('Uke17'!#REF!,MATCH('Uke17'!#REF!,Data!$B$2:$B$13,0)+1,0)))</definedName>
    <definedName name="DateCalc" localSheetId="18">Data!$C$2:INDEX(Data!$C$2:$C$32,DAY(DATE('Uke18'!#REF!,MATCH('Uke18'!#REF!,Data!$B$2:$B$13,0)+1,0)))</definedName>
    <definedName name="DateCalc" localSheetId="19">Data!$C$2:INDEX(Data!$C$2:$C$32,DAY(DATE('Uke19'!#REF!,MATCH('Uke19'!#REF!,Data!$B$2:$B$13,0)+1,0)))</definedName>
    <definedName name="DateCalc" localSheetId="2">Data!$C$2:INDEX(Data!$C$2:$C$32,DAY(DATE('Uke2'!#REF!,MATCH('Uke2'!#REF!,Data!$B$2:$B$13,0)+1,0)))</definedName>
    <definedName name="DateCalc" localSheetId="3">Data!$C$2:INDEX(Data!$C$2:$C$32,DAY(DATE('Uke3'!#REF!,MATCH('Uke3'!#REF!,Data!$B$2:$B$13,0)+1,0)))</definedName>
    <definedName name="DateCalc" localSheetId="4">Data!$C$2:INDEX(Data!$C$2:$C$32,DAY(DATE('Uke4'!#REF!,MATCH('Uke4'!#REF!,Data!$B$2:$B$13,0)+1,0)))</definedName>
    <definedName name="DateCalc" localSheetId="5">Data!$C$2:INDEX(Data!$C$2:$C$32,DAY(DATE('Uke5'!#REF!,MATCH('Uke5'!#REF!,Data!$B$2:$B$13,0)+1,0)))</definedName>
    <definedName name="DateCalc" localSheetId="6">Data!$C$2:INDEX(Data!$C$2:$C$32,DAY(DATE('Uke6'!#REF!,MATCH('Uke6'!#REF!,Data!$B$2:$B$13,0)+1,0)))</definedName>
    <definedName name="DateCalc" localSheetId="7">Data!$C$2:INDEX(Data!$C$2:$C$32,DAY(DATE('Uke7'!#REF!,MATCH('Uke7'!#REF!,Data!$B$2:$B$13,0)+1,0)))</definedName>
    <definedName name="DateCalc" localSheetId="8">Data!$C$2:INDEX(Data!$C$2:$C$32,DAY(DATE('Uke8'!#REF!,MATCH('Uke8'!#REF!,Data!$B$2:$B$13,0)+1,0)))</definedName>
    <definedName name="DateCalc" localSheetId="9">Data!$C$2:INDEX(Data!$C$2:$C$32,DAY(DATE('Uke9'!#REF!,MATCH('Uke9'!#REF!,Data!$B$2:$B$13,0)+1,0)))</definedName>
    <definedName name="DateCalc" localSheetId="1">Data!$C$2:INDEX(Data!$C$2:$C$32,DAY(DATE(UkeX!#REF!,MATCH(UkeX!#REF!,Data!$B$2:$B$13,0)+1,0)))</definedName>
    <definedName name="DateCalc">Data!$C$2:INDEX(Data!$C$2:$C$32,DAY(DATE(#REF!,MATCH(#REF!,Data!$B$2:$B$13,0)+1,0)))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76" i="59" l="1"/>
  <c r="D74" i="59"/>
  <c r="D72" i="59"/>
  <c r="D70" i="59"/>
  <c r="D68" i="59"/>
  <c r="D66" i="59"/>
  <c r="D64" i="59"/>
  <c r="D62" i="59"/>
  <c r="D60" i="59" l="1"/>
  <c r="D58" i="59"/>
  <c r="D56" i="59"/>
  <c r="D54" i="59"/>
  <c r="D52" i="59" l="1"/>
  <c r="D50" i="59"/>
  <c r="D48" i="59"/>
  <c r="D46" i="59"/>
  <c r="D44" i="59"/>
  <c r="D42" i="59"/>
  <c r="D40" i="59"/>
  <c r="D38" i="59" l="1"/>
  <c r="D36" i="59"/>
  <c r="D34" i="59"/>
  <c r="D32" i="59"/>
  <c r="D30" i="59"/>
  <c r="D28" i="59"/>
  <c r="D26" i="59"/>
  <c r="D24" i="59"/>
  <c r="D22" i="59"/>
  <c r="D20" i="59"/>
  <c r="D18" i="59"/>
  <c r="D16" i="59"/>
  <c r="D14" i="59"/>
  <c r="D12" i="59"/>
  <c r="D10" i="59"/>
  <c r="C3" i="59"/>
  <c r="A3" i="59"/>
  <c r="F1" i="59"/>
  <c r="F4" i="59"/>
  <c r="F3" i="59"/>
  <c r="F6" i="59"/>
  <c r="F5" i="59"/>
  <c r="A6" i="59" l="1"/>
  <c r="C6" i="59" s="1"/>
  <c r="C3" i="58"/>
  <c r="D40" i="58"/>
  <c r="D42" i="58"/>
  <c r="D38" i="58"/>
  <c r="D36" i="58"/>
  <c r="F4" i="58"/>
  <c r="F3" i="58"/>
  <c r="F6" i="58"/>
  <c r="F5" i="58"/>
  <c r="A6" i="58" l="1"/>
  <c r="D34" i="58"/>
  <c r="D32" i="58"/>
  <c r="D30" i="58"/>
  <c r="D28" i="58" l="1"/>
  <c r="D26" i="58"/>
  <c r="D24" i="58"/>
  <c r="D22" i="58"/>
  <c r="D20" i="58"/>
  <c r="D18" i="58"/>
  <c r="D16" i="58"/>
  <c r="D14" i="58"/>
  <c r="D12" i="58"/>
  <c r="D10" i="58"/>
  <c r="A3" i="58"/>
  <c r="F1" i="58"/>
  <c r="F1" i="57" l="1"/>
  <c r="D26" i="57"/>
  <c r="D24" i="57"/>
  <c r="D22" i="57"/>
  <c r="D20" i="57"/>
  <c r="D18" i="57"/>
  <c r="D16" i="57"/>
  <c r="D14" i="57"/>
  <c r="D12" i="57"/>
  <c r="D10" i="57"/>
  <c r="C3" i="57"/>
  <c r="A3" i="57"/>
  <c r="F3" i="57"/>
  <c r="F5" i="57"/>
  <c r="F6" i="57"/>
  <c r="F4" i="57"/>
  <c r="A6" i="57" l="1"/>
  <c r="C3" i="56"/>
  <c r="C6" i="57" l="1"/>
  <c r="C6" i="58"/>
  <c r="D26" i="56"/>
  <c r="D24" i="56"/>
  <c r="D22" i="56"/>
  <c r="D20" i="56"/>
  <c r="D18" i="56"/>
  <c r="D16" i="56"/>
  <c r="D14" i="56"/>
  <c r="D12" i="56"/>
  <c r="D10" i="56"/>
  <c r="A3" i="56"/>
  <c r="F1" i="56"/>
  <c r="C3" i="55"/>
  <c r="F5" i="56"/>
  <c r="F3" i="56"/>
  <c r="F6" i="56"/>
  <c r="F4" i="56"/>
  <c r="A6" i="56" l="1"/>
  <c r="C6" i="56" s="1"/>
  <c r="C3" i="54"/>
  <c r="D20" i="55" l="1"/>
  <c r="D18" i="55"/>
  <c r="D16" i="55"/>
  <c r="D14" i="55"/>
  <c r="D12" i="55"/>
  <c r="D10" i="55"/>
  <c r="F1" i="55"/>
  <c r="D30" i="54"/>
  <c r="D28" i="54"/>
  <c r="D26" i="54"/>
  <c r="D24" i="54"/>
  <c r="D22" i="54"/>
  <c r="D20" i="54"/>
  <c r="D18" i="54"/>
  <c r="D16" i="54"/>
  <c r="D14" i="54"/>
  <c r="D12" i="54"/>
  <c r="D10" i="54"/>
  <c r="A3" i="54"/>
  <c r="F1" i="54"/>
  <c r="F5" i="55"/>
  <c r="F3" i="55"/>
  <c r="F4" i="54"/>
  <c r="F6" i="55"/>
  <c r="F6" i="54"/>
  <c r="F4" i="55"/>
  <c r="F5" i="54"/>
  <c r="F3" i="54"/>
  <c r="A6" i="55" l="1"/>
  <c r="A6" i="54"/>
  <c r="C6" i="54" s="1"/>
  <c r="A3" i="53"/>
  <c r="F1" i="53"/>
  <c r="D28" i="53"/>
  <c r="D26" i="53"/>
  <c r="D24" i="53"/>
  <c r="D22" i="53"/>
  <c r="D20" i="53"/>
  <c r="D18" i="53"/>
  <c r="D16" i="53"/>
  <c r="D14" i="53"/>
  <c r="D12" i="53"/>
  <c r="D10" i="53"/>
  <c r="C3" i="53"/>
  <c r="F5" i="53"/>
  <c r="F6" i="53"/>
  <c r="F3" i="53"/>
  <c r="F4" i="53"/>
  <c r="C6" i="55" l="1"/>
  <c r="A6" i="53"/>
  <c r="D12" i="52"/>
  <c r="D10" i="52"/>
  <c r="A3" i="52"/>
  <c r="F1" i="52"/>
  <c r="F3" i="52"/>
  <c r="F5" i="52"/>
  <c r="F4" i="52"/>
  <c r="F6" i="52"/>
  <c r="A6" i="52" l="1"/>
  <c r="D42" i="51"/>
  <c r="D40" i="51"/>
  <c r="C6" i="52" l="1"/>
  <c r="C6" i="53"/>
  <c r="D38" i="51"/>
  <c r="D36" i="51"/>
  <c r="D34" i="51"/>
  <c r="D32" i="51"/>
  <c r="D30" i="51" l="1"/>
  <c r="D28" i="51"/>
  <c r="D26" i="51"/>
  <c r="D24" i="51"/>
  <c r="D22" i="51"/>
  <c r="D20" i="51"/>
  <c r="D18" i="51"/>
  <c r="D16" i="51"/>
  <c r="D14" i="51"/>
  <c r="D12" i="51"/>
  <c r="D10" i="51"/>
  <c r="C3" i="51"/>
  <c r="A3" i="51"/>
  <c r="F1" i="51"/>
  <c r="F4" i="51"/>
  <c r="F3" i="51"/>
  <c r="F6" i="51"/>
  <c r="F5" i="51"/>
  <c r="A6" i="51" l="1"/>
  <c r="C6" i="51" s="1"/>
  <c r="C3" i="50"/>
  <c r="D16" i="50"/>
  <c r="D14" i="50" l="1"/>
  <c r="D12" i="50"/>
  <c r="D10" i="50"/>
  <c r="A3" i="50"/>
  <c r="F1" i="50"/>
  <c r="F3" i="50"/>
  <c r="F6" i="50"/>
  <c r="F5" i="50"/>
  <c r="F4" i="50"/>
  <c r="A6" i="50" l="1"/>
  <c r="C6" i="50" s="1"/>
  <c r="D32" i="49"/>
  <c r="D30" i="49"/>
  <c r="D28" i="49"/>
  <c r="D26" i="49"/>
  <c r="D24" i="49"/>
  <c r="D22" i="49" l="1"/>
  <c r="D20" i="49"/>
  <c r="C3" i="49" l="1"/>
  <c r="D18" i="49"/>
  <c r="D16" i="49"/>
  <c r="D14" i="49"/>
  <c r="D12" i="49"/>
  <c r="D10" i="49"/>
  <c r="A3" i="49"/>
  <c r="F1" i="49"/>
  <c r="F5" i="49"/>
  <c r="F4" i="49"/>
  <c r="F3" i="49"/>
  <c r="F6" i="49"/>
  <c r="A6" i="49" l="1"/>
  <c r="C6" i="49" s="1"/>
  <c r="D22" i="48"/>
  <c r="D20" i="48"/>
  <c r="D18" i="48"/>
  <c r="D16" i="48"/>
  <c r="D14" i="48"/>
  <c r="D12" i="48"/>
  <c r="D10" i="48"/>
  <c r="C3" i="48"/>
  <c r="A3" i="48"/>
  <c r="F1" i="48"/>
  <c r="F5" i="47"/>
  <c r="F3" i="48"/>
  <c r="F5" i="48"/>
  <c r="F4" i="48"/>
  <c r="F6" i="48"/>
  <c r="A6" i="48" l="1"/>
  <c r="D20" i="47"/>
  <c r="D18" i="47"/>
  <c r="D16" i="47"/>
  <c r="D14" i="47"/>
  <c r="D12" i="47"/>
  <c r="D10" i="47"/>
  <c r="A3" i="47"/>
  <c r="F1" i="47"/>
  <c r="D28" i="40"/>
  <c r="D26" i="40"/>
  <c r="D24" i="40"/>
  <c r="D22" i="40"/>
  <c r="D20" i="40"/>
  <c r="D18" i="40"/>
  <c r="D16" i="40"/>
  <c r="D14" i="40"/>
  <c r="D12" i="40"/>
  <c r="D10" i="40"/>
  <c r="F3" i="47"/>
  <c r="F6" i="47"/>
  <c r="F4" i="47"/>
  <c r="A6" i="47" l="1"/>
  <c r="D24" i="45"/>
  <c r="D22" i="45"/>
  <c r="D20" i="45"/>
  <c r="D18" i="45"/>
  <c r="D16" i="45"/>
  <c r="D14" i="45"/>
  <c r="D12" i="45"/>
  <c r="D10" i="45"/>
  <c r="C3" i="45"/>
  <c r="A3" i="45"/>
  <c r="F1" i="45"/>
  <c r="F6" i="45"/>
  <c r="F5" i="45"/>
  <c r="F4" i="45"/>
  <c r="F3" i="45"/>
  <c r="A6" i="45" l="1"/>
  <c r="D24" i="43" l="1"/>
  <c r="D22" i="43"/>
  <c r="D20" i="43"/>
  <c r="D18" i="43"/>
  <c r="D16" i="43"/>
  <c r="D14" i="43"/>
  <c r="D12" i="43"/>
  <c r="D10" i="43"/>
  <c r="C3" i="43"/>
  <c r="A3" i="43"/>
  <c r="F1" i="43"/>
  <c r="D24" i="42"/>
  <c r="D22" i="42"/>
  <c r="D20" i="42"/>
  <c r="D18" i="42"/>
  <c r="D16" i="42"/>
  <c r="D14" i="42"/>
  <c r="D12" i="42"/>
  <c r="D10" i="42"/>
  <c r="C3" i="42"/>
  <c r="A3" i="42"/>
  <c r="F1" i="42"/>
  <c r="D24" i="41"/>
  <c r="D22" i="41"/>
  <c r="D20" i="41"/>
  <c r="D18" i="41"/>
  <c r="D16" i="41"/>
  <c r="D14" i="41"/>
  <c r="D12" i="41"/>
  <c r="D10" i="41"/>
  <c r="C3" i="41"/>
  <c r="A3" i="41"/>
  <c r="F1" i="41"/>
  <c r="F1" i="40"/>
  <c r="C3" i="40"/>
  <c r="A3" i="40"/>
  <c r="F3" i="40"/>
  <c r="F5" i="40"/>
  <c r="F4" i="41"/>
  <c r="F5" i="43"/>
  <c r="F3" i="43"/>
  <c r="F6" i="40"/>
  <c r="F6" i="43"/>
  <c r="F3" i="41"/>
  <c r="F4" i="43"/>
  <c r="F6" i="42"/>
  <c r="F5" i="42"/>
  <c r="F4" i="42"/>
  <c r="F5" i="41"/>
  <c r="F4" i="40"/>
  <c r="F3" i="42"/>
  <c r="F6" i="41"/>
  <c r="A6" i="40" l="1"/>
  <c r="A6" i="41"/>
  <c r="A6" i="42"/>
  <c r="A6" i="43"/>
  <c r="F1" i="36"/>
  <c r="D14" i="36" l="1"/>
  <c r="D10" i="36"/>
  <c r="D16" i="36"/>
  <c r="D22" i="36" l="1"/>
  <c r="D20" i="36"/>
  <c r="D18" i="36"/>
  <c r="C3" i="36"/>
  <c r="F3" i="36"/>
  <c r="F4" i="36"/>
  <c r="G3" i="59" l="1"/>
  <c r="G4" i="59"/>
  <c r="G3" i="58"/>
  <c r="G4" i="58"/>
  <c r="G3" i="57"/>
  <c r="G4" i="57"/>
  <c r="G3" i="56"/>
  <c r="G4" i="56"/>
  <c r="G3" i="55"/>
  <c r="G4" i="55"/>
  <c r="G3" i="54"/>
  <c r="G4" i="54"/>
  <c r="G3" i="53"/>
  <c r="G4" i="53"/>
  <c r="G3" i="52"/>
  <c r="G4" i="52"/>
  <c r="G3" i="51"/>
  <c r="G4" i="51"/>
  <c r="G3" i="50"/>
  <c r="G4" i="50"/>
  <c r="G3" i="49"/>
  <c r="G4" i="49"/>
  <c r="G4" i="48"/>
  <c r="G3" i="48"/>
  <c r="G4" i="47"/>
  <c r="G3" i="47"/>
  <c r="G4" i="45"/>
  <c r="G3" i="45"/>
  <c r="G4" i="43"/>
  <c r="G3" i="43"/>
  <c r="G4" i="42"/>
  <c r="G3" i="42"/>
  <c r="G4" i="41"/>
  <c r="G3" i="41"/>
  <c r="G4" i="40"/>
  <c r="G3" i="40"/>
  <c r="G3" i="36"/>
  <c r="G4" i="36"/>
  <c r="D24" i="36"/>
  <c r="A3" i="36"/>
  <c r="D12" i="36"/>
  <c r="F6" i="36"/>
  <c r="F5" i="36"/>
  <c r="G5" i="59" l="1"/>
  <c r="G6" i="59"/>
  <c r="G6" i="58"/>
  <c r="G5" i="58"/>
  <c r="G5" i="57"/>
  <c r="G6" i="57"/>
  <c r="G5" i="56"/>
  <c r="G6" i="56"/>
  <c r="G5" i="55"/>
  <c r="G6" i="55"/>
  <c r="G5" i="54"/>
  <c r="G6" i="54"/>
  <c r="G6" i="53"/>
  <c r="G5" i="53"/>
  <c r="G6" i="52"/>
  <c r="G5" i="52"/>
  <c r="G5" i="51"/>
  <c r="G6" i="51"/>
  <c r="G5" i="50"/>
  <c r="G6" i="50"/>
  <c r="G6" i="49"/>
  <c r="G5" i="49"/>
  <c r="G5" i="48"/>
  <c r="G6" i="48"/>
  <c r="G5" i="47"/>
  <c r="G6" i="47"/>
  <c r="G6" i="45"/>
  <c r="G5" i="45"/>
  <c r="G6" i="43"/>
  <c r="G5" i="43"/>
  <c r="G6" i="42"/>
  <c r="G5" i="42"/>
  <c r="G6" i="41"/>
  <c r="G5" i="41"/>
  <c r="G6" i="40"/>
  <c r="G5" i="40"/>
  <c r="G6" i="36"/>
  <c r="G5" i="36"/>
  <c r="A6" i="36"/>
  <c r="C6" i="45" l="1"/>
  <c r="C6" i="47"/>
  <c r="C6" i="48"/>
  <c r="C6" i="36"/>
  <c r="C6" i="43"/>
  <c r="C6" i="42"/>
  <c r="C6" i="40"/>
  <c r="C6" i="41"/>
</calcChain>
</file>

<file path=xl/sharedStrings.xml><?xml version="1.0" encoding="utf-8"?>
<sst xmlns="http://schemas.openxmlformats.org/spreadsheetml/2006/main" count="608" uniqueCount="209">
  <si>
    <t>Fra dato</t>
  </si>
  <si>
    <t>Til dato</t>
  </si>
  <si>
    <t>Kategorier</t>
  </si>
  <si>
    <t>Timer denne uken</t>
  </si>
  <si>
    <t>Timer brukt totalt</t>
  </si>
  <si>
    <t>Teori</t>
  </si>
  <si>
    <t>Totalt tid brukt denne 
uken:</t>
  </si>
  <si>
    <t>Utvikling</t>
  </si>
  <si>
    <t>Administrativt</t>
  </si>
  <si>
    <t>Logg/Oppgaver</t>
  </si>
  <si>
    <t>Dato</t>
  </si>
  <si>
    <t>Start</t>
  </si>
  <si>
    <t>Stopp</t>
  </si>
  <si>
    <t>Timer</t>
  </si>
  <si>
    <t>Kategori/notat</t>
  </si>
  <si>
    <t>Backlog item#</t>
  </si>
  <si>
    <t>Oppsummering</t>
  </si>
  <si>
    <t>Years</t>
  </si>
  <si>
    <t>Months</t>
  </si>
  <si>
    <t>Days</t>
  </si>
  <si>
    <t>Weekend</t>
  </si>
  <si>
    <t>Check Box</t>
  </si>
  <si>
    <t>January</t>
  </si>
  <si>
    <t>No Weekend</t>
  </si>
  <si>
    <t>February</t>
  </si>
  <si>
    <t>Sat &amp; Sun</t>
  </si>
  <si>
    <t>March</t>
  </si>
  <si>
    <t>Sun &amp; Mon</t>
  </si>
  <si>
    <t>April</t>
  </si>
  <si>
    <t>Mon &amp; Tue</t>
  </si>
  <si>
    <t>May</t>
  </si>
  <si>
    <t>Tue &amp; Wed</t>
  </si>
  <si>
    <t>June</t>
  </si>
  <si>
    <t>Wed &amp; Thu</t>
  </si>
  <si>
    <t>July</t>
  </si>
  <si>
    <t>Thu &amp; Fri</t>
  </si>
  <si>
    <t>August</t>
  </si>
  <si>
    <t>Fri &amp; Sat</t>
  </si>
  <si>
    <t>September</t>
  </si>
  <si>
    <t>Mon Only</t>
  </si>
  <si>
    <t>October</t>
  </si>
  <si>
    <t>Tue Only</t>
  </si>
  <si>
    <t>November</t>
  </si>
  <si>
    <t>Wed Only</t>
  </si>
  <si>
    <t>December</t>
  </si>
  <si>
    <t>Thu Only</t>
  </si>
  <si>
    <t>Fri Only</t>
  </si>
  <si>
    <t>Sat Only</t>
  </si>
  <si>
    <t>Sun Only</t>
  </si>
  <si>
    <t>Totalt antall tid brukt på prosjektet:</t>
  </si>
  <si>
    <t>Timeliste - Vegard Simonsen - Uke</t>
  </si>
  <si>
    <t>Forelesning</t>
  </si>
  <si>
    <t>Foranalyse, backlog, sprint zero.</t>
  </si>
  <si>
    <t>Logg + oppsumering.</t>
  </si>
  <si>
    <t>forelesning</t>
  </si>
  <si>
    <t>forelesning scrum del 1</t>
  </si>
  <si>
    <t>logg + oppsummering</t>
  </si>
  <si>
    <t xml:space="preserve">Denne uken har bestått av forberedelse til prosjektet i form av forelsning. I neste uke skal vi ha videre om scrum. </t>
  </si>
  <si>
    <t>Forelesning, Scrum del 2.</t>
  </si>
  <si>
    <t>Opptak, V2. Design Patterns.</t>
  </si>
  <si>
    <t>Opptak, S3. XP.</t>
  </si>
  <si>
    <t>Logg + oppsummering.</t>
  </si>
  <si>
    <t>Denne uken har bestått av forberedelse til prosjektet i form av forelsning og video-opptak. I neste uke skal vi ha prosjektpresentasjon, så kanskje det blir litt annen type jobbing enn kun teori fremover. Planlegger da å innrede kategorier i timelistene mine.</t>
  </si>
  <si>
    <t>Presentasjon av prosjektet.</t>
  </si>
  <si>
    <t>V4. Prosjektstyring</t>
  </si>
  <si>
    <t>Gruppemøte</t>
  </si>
  <si>
    <t>V3. Risikoanalyse</t>
  </si>
  <si>
    <t>Oppgave om prosjektstyring del 1</t>
  </si>
  <si>
    <t>Forbedring av timeliste + oppsummering</t>
  </si>
  <si>
    <t>01.02:2020</t>
  </si>
  <si>
    <t>Denne uken har vi fått vite litt om prosjektet. Vi har også blitt delt inn i grupper nå og vi har allerede hatt vårt første gruppemøte. Der bestemte vi oss blandt annet for hvordan timeliste gruppa skulle bruke. Ellers føler jeg at at det kommer til å bli ett godt sammarbeid. Vi har hatt forelesninger om risikoanalyse og prosjektstyring, og jeg har fullført oppgaven vi fikk om prosjektstyring. Det siste jeg har gjort denne uken er å oppgradere timelisten. Nå har jeg svært god oversikt.</t>
  </si>
  <si>
    <t>Jobbing med foranalysen.</t>
  </si>
  <si>
    <t>Scrum møte.</t>
  </si>
  <si>
    <t>Jobbing med fremdriftsplanen.</t>
  </si>
  <si>
    <t>G1. Introduksjon</t>
  </si>
  <si>
    <t>G2. Systemtenking og BPMN (HO)
G3. Kravspesifikasjon</t>
  </si>
  <si>
    <t xml:space="preserve"> G4. Utviklingsfilosofi
++ Om Ind.Innleveringer</t>
  </si>
  <si>
    <t>Jobbing med product backlog.</t>
  </si>
  <si>
    <t>Scrum møte, Planning Poker, Product Backlog.</t>
  </si>
  <si>
    <t>Database, forprosjekt.</t>
  </si>
  <si>
    <t>Jobbet med småting på forprosjektet.</t>
  </si>
  <si>
    <t>Forprosjekt, skrev bland annet oppsummering.</t>
  </si>
  <si>
    <t>Jobbet videre med fremdriftsplan.</t>
  </si>
  <si>
    <t>Vi satt oss sammen og gikk gjennom hele forprosjektet, og fikk det ferdigstillt.</t>
  </si>
  <si>
    <t>Denne uken har jeg jobbet med Sprint Zero, og vi fikk den levert 15. februar. I starten av spriten var jeg veldig usikker på hva vi trengte å gjøre osv. men jeg føler meg nå bedre forberedt til å jobbe med prosjektet. Vi har funnet ut hvordan vi skal jobbe fremover, og har ett godt sammarbeid som gjør meg positiv til å begynne med utviklingen. Vi har delt ut ansvar på aktiviter i neste sprint, og mitt ansvar blir å jobbe back end. Vi har også valgt Scrum Master for sprinten. Denne uken har det gått litt opp for meg hvor mye tid man faktisk må bruke på dette emnet, og jeg har fått en bedre mentalt innstilling før vi begynner på Sprint 1.</t>
  </si>
  <si>
    <t>Totalt tid brukt denne uken:</t>
  </si>
  <si>
    <t>Totalt antall tid brukt:</t>
  </si>
  <si>
    <r>
      <rPr>
        <b/>
        <sz val="12"/>
        <color theme="1"/>
        <rFont val="Calibri"/>
        <family val="2"/>
        <scheme val="minor"/>
      </rPr>
      <t>Logg/Oppgaver:</t>
    </r>
    <r>
      <rPr>
        <sz val="12"/>
        <color theme="1"/>
        <rFont val="Calibri"/>
        <family val="2"/>
        <scheme val="minor"/>
      </rPr>
      <t xml:space="preserve"> Oppretting av Git.</t>
    </r>
  </si>
  <si>
    <r>
      <rPr>
        <b/>
        <sz val="12"/>
        <color theme="1"/>
        <rFont val="Calibri"/>
        <family val="2"/>
        <scheme val="minor"/>
      </rPr>
      <t xml:space="preserve">Utvikling: </t>
    </r>
    <r>
      <rPr>
        <sz val="12"/>
        <color theme="1"/>
        <rFont val="Calibri"/>
        <family val="2"/>
        <scheme val="minor"/>
      </rPr>
      <t>Backend, laget klassene User og DatabaseQuery.</t>
    </r>
  </si>
  <si>
    <r>
      <rPr>
        <b/>
        <sz val="12"/>
        <color theme="1"/>
        <rFont val="Calibri"/>
        <family val="2"/>
        <scheme val="minor"/>
      </rPr>
      <t>Administrativt:</t>
    </r>
    <r>
      <rPr>
        <sz val="12"/>
        <color theme="1"/>
        <rFont val="Calibri"/>
        <family val="2"/>
        <scheme val="minor"/>
      </rPr>
      <t xml:space="preserve"> Gruppemøte, status sålangt.</t>
    </r>
  </si>
  <si>
    <r>
      <rPr>
        <b/>
        <sz val="12"/>
        <color theme="1"/>
        <rFont val="Calibri"/>
        <family val="2"/>
        <scheme val="minor"/>
      </rPr>
      <t>Logg/Oppgaver:</t>
    </r>
    <r>
      <rPr>
        <sz val="12"/>
        <color theme="1"/>
        <rFont val="Calibri"/>
        <family val="2"/>
        <scheme val="minor"/>
      </rPr>
      <t xml:space="preserve"> Brukte tid på å få php til å fungere. Måtte blant annet avinstrallere VMware pga. trøbbel med porter.</t>
    </r>
  </si>
  <si>
    <r>
      <rPr>
        <b/>
        <sz val="12"/>
        <color theme="1"/>
        <rFont val="Calibri"/>
        <family val="2"/>
        <scheme val="minor"/>
      </rPr>
      <t xml:space="preserve">Logg/Oppgaver: </t>
    </r>
    <r>
      <rPr>
        <sz val="12"/>
        <color theme="1"/>
        <rFont val="Calibri"/>
        <family val="2"/>
        <scheme val="minor"/>
      </rPr>
      <t>Brukte tid på å oppdatere timelisten etter tilbakemeldig fra forrige uke.</t>
    </r>
  </si>
  <si>
    <r>
      <rPr>
        <b/>
        <sz val="12"/>
        <color theme="1"/>
        <rFont val="Calibri"/>
        <family val="2"/>
        <scheme val="minor"/>
      </rPr>
      <t xml:space="preserve">Administrativt: </t>
    </r>
    <r>
      <rPr>
        <sz val="12"/>
        <color theme="1"/>
        <rFont val="Calibri"/>
        <family val="2"/>
        <scheme val="minor"/>
      </rPr>
      <t>Gruppemøte, 
dele ut ansvar etc.</t>
    </r>
  </si>
  <si>
    <r>
      <t xml:space="preserve">Uken startet med gruppemøte, vi sjekket status så langt og sørget for at alle hadde noe å gjøre. Mitt ansvar er back end og skal jobbe med aktivitetene der. Etterpå opprettet vi Git og sørget for at alt fungerte slik det skulle. Vi fikk litt problemer med oppsettet pga. feil i .gitigore filen vår og brukte mye tid her. Det jeg gjorde denne uken i form av utvikling var å lage klassene User og DatabaseQuery, og jeg gjorde dem ferdig ut i fra UML-diagrammet vårt. Ellers har jeg brukt tid på å få php til å fungere, dette var ganske utfordrende siden jeg har lite erfaring fra før. Jeg har ikke fått bidratt like mye som jeg skulle likt i utvikling, pga. eksamenslesing til en eksamen jeg har den 24. februar. Jeg vil alikevell ikke si at jeg er missfornøyd med egen innsats, da jeg har sett meg nødt til å prioritere personlig, men er seffølgelig missfornøyd med å ikke ha fått deltatt mer. Jeg er uansett sikker på at timeinnsatsen vil gjevne seg ut over hele prosjektet.
</t>
    </r>
    <r>
      <rPr>
        <b/>
        <sz val="12"/>
        <color theme="1"/>
        <rFont val="Calibri"/>
        <family val="2"/>
        <scheme val="minor"/>
      </rPr>
      <t>Roller:
SCRUM-master i Sprint 1:</t>
    </r>
    <r>
      <rPr>
        <sz val="12"/>
        <color theme="1"/>
        <rFont val="Calibri"/>
        <family val="2"/>
        <scheme val="minor"/>
      </rPr>
      <t xml:space="preserve"> Alexander Hansen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t>
    </r>
  </si>
  <si>
    <r>
      <rPr>
        <b/>
        <sz val="12"/>
        <color theme="1"/>
        <rFont val="Calibri"/>
        <family val="2"/>
        <scheme val="minor"/>
      </rPr>
      <t>Logg/Oppgaver:</t>
    </r>
    <r>
      <rPr>
        <sz val="12"/>
        <color theme="1"/>
        <rFont val="Calibri"/>
        <family val="2"/>
        <scheme val="minor"/>
      </rPr>
      <t xml:space="preserve"> Jobbet med PHP og XAMPP.</t>
    </r>
  </si>
  <si>
    <r>
      <rPr>
        <b/>
        <sz val="12"/>
        <color theme="1"/>
        <rFont val="Calibri"/>
        <family val="2"/>
        <scheme val="minor"/>
      </rPr>
      <t>Administrativt:</t>
    </r>
    <r>
      <rPr>
        <sz val="12"/>
        <color theme="1"/>
        <rFont val="Calibri"/>
        <family val="2"/>
        <scheme val="minor"/>
      </rPr>
      <t xml:space="preserve"> Scrum meeting</t>
    </r>
  </si>
  <si>
    <r>
      <rPr>
        <b/>
        <sz val="12"/>
        <color theme="1"/>
        <rFont val="Calibri"/>
        <family val="2"/>
        <scheme val="minor"/>
      </rPr>
      <t xml:space="preserve">Utvikling: </t>
    </r>
    <r>
      <rPr>
        <sz val="12"/>
        <color theme="1"/>
        <rFont val="Calibri"/>
        <family val="2"/>
        <scheme val="minor"/>
      </rPr>
      <t>Jobbet med PHP. Laget nye klasser og laget spørringer.</t>
    </r>
  </si>
  <si>
    <r>
      <rPr>
        <b/>
        <sz val="12"/>
        <color theme="1"/>
        <rFont val="Calibri"/>
        <family val="2"/>
        <scheme val="minor"/>
      </rPr>
      <t xml:space="preserve">Administrativt: </t>
    </r>
    <r>
      <rPr>
        <sz val="12"/>
        <color theme="1"/>
        <rFont val="Calibri"/>
        <family val="2"/>
        <scheme val="minor"/>
      </rPr>
      <t>Møte med PO.</t>
    </r>
  </si>
  <si>
    <r>
      <rPr>
        <b/>
        <sz val="12"/>
        <color theme="1"/>
        <rFont val="Calibri"/>
        <family val="2"/>
        <scheme val="minor"/>
      </rPr>
      <t xml:space="preserve">Administrativt: </t>
    </r>
    <r>
      <rPr>
        <sz val="12"/>
        <color theme="1"/>
        <rFont val="Calibri"/>
        <family val="2"/>
        <scheme val="minor"/>
      </rPr>
      <t>Sprint 2 backlog.</t>
    </r>
  </si>
  <si>
    <r>
      <rPr>
        <b/>
        <sz val="12"/>
        <color theme="1"/>
        <rFont val="Calibri"/>
        <family val="2"/>
        <scheme val="minor"/>
      </rPr>
      <t>Logg/Oppgaver:</t>
    </r>
    <r>
      <rPr>
        <sz val="12"/>
        <color theme="1"/>
        <rFont val="Calibri"/>
        <family val="2"/>
        <scheme val="minor"/>
      </rPr>
      <t xml:space="preserve"> Planning poker</t>
    </r>
  </si>
  <si>
    <r>
      <rPr>
        <b/>
        <sz val="12"/>
        <color theme="1"/>
        <rFont val="Calibri"/>
        <family val="2"/>
        <scheme val="minor"/>
      </rPr>
      <t>Logg/Oppgaver:</t>
    </r>
    <r>
      <rPr>
        <sz val="12"/>
        <color theme="1"/>
        <rFont val="Calibri"/>
        <family val="2"/>
        <scheme val="minor"/>
      </rPr>
      <t xml:space="preserve"> Ferdigstilling av Sprint 1</t>
    </r>
  </si>
  <si>
    <r>
      <rPr>
        <b/>
        <sz val="12"/>
        <color theme="1"/>
        <rFont val="Calibri"/>
        <family val="2"/>
        <scheme val="minor"/>
      </rPr>
      <t>Logg/Oppgaver:</t>
    </r>
    <r>
      <rPr>
        <sz val="12"/>
        <color theme="1"/>
        <rFont val="Calibri"/>
        <family val="2"/>
        <scheme val="minor"/>
      </rPr>
      <t xml:space="preserve"> Avhengighetstabell</t>
    </r>
  </si>
  <si>
    <r>
      <rPr>
        <b/>
        <sz val="12"/>
        <color theme="1"/>
        <rFont val="Calibri"/>
        <family val="2"/>
        <scheme val="minor"/>
      </rPr>
      <t>Logg/Oppgaver:</t>
    </r>
    <r>
      <rPr>
        <sz val="12"/>
        <color theme="1"/>
        <rFont val="Calibri"/>
        <family val="2"/>
        <scheme val="minor"/>
      </rPr>
      <t xml:space="preserve"> Sprint retrospective</t>
    </r>
  </si>
  <si>
    <r>
      <rPr>
        <b/>
        <sz val="12"/>
        <color theme="1"/>
        <rFont val="Calibri"/>
        <family val="2"/>
        <scheme val="minor"/>
      </rPr>
      <t>Logg/Oppgaver:</t>
    </r>
    <r>
      <rPr>
        <sz val="12"/>
        <color theme="1"/>
        <rFont val="Calibri"/>
        <family val="2"/>
        <scheme val="minor"/>
      </rPr>
      <t xml:space="preserve"> Gjøre timelisten komplett</t>
    </r>
  </si>
  <si>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Sprint 1:</t>
    </r>
    <r>
      <rPr>
        <sz val="12"/>
        <color theme="1"/>
        <rFont val="Calibri"/>
        <family val="2"/>
        <scheme val="minor"/>
      </rPr>
      <t xml:space="preserve"> Alexander Hansen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Mandag:</t>
    </r>
    <r>
      <rPr>
        <sz val="12"/>
        <color theme="1"/>
        <rFont val="Calibri"/>
        <family val="2"/>
        <scheme val="minor"/>
      </rPr>
      <t xml:space="preserve"> Vi hadde gruppemøte der vi hovedsaklig gikk gjennom hva folk hadde jobbet med og hva folk skulle jobbe videre med. Jeg fikk problemer med xampp og måtte bruke tiden på å få dette til å fungere. Jeg måtte blandt annet laste ned nyeste versjon.
</t>
    </r>
    <r>
      <rPr>
        <b/>
        <sz val="12"/>
        <color theme="1"/>
        <rFont val="Calibri"/>
        <family val="2"/>
        <scheme val="minor"/>
      </rPr>
      <t>Onsdag:</t>
    </r>
    <r>
      <rPr>
        <sz val="12"/>
        <color theme="1"/>
        <rFont val="Calibri"/>
        <family val="2"/>
        <scheme val="minor"/>
      </rPr>
      <t xml:space="preserve"> Vi hadde ett gruppemøte, og vi gikk som vanlig gjennom det folk hadde gjort siden sist. Det ble også delt ut nye oppgaver dersom folk ikke hadde noe å gjøre, samt valgt ny Scrum-master for Sprint 2, dette er Eivind. Jeg jobbet med PHP og laget klassene vi trenger i Aktivitet 7. Laget også nye spørringer som vi vil ha bruk for. 
</t>
    </r>
    <r>
      <rPr>
        <b/>
        <sz val="12"/>
        <color theme="1"/>
        <rFont val="Calibri"/>
        <family val="2"/>
        <scheme val="minor"/>
      </rPr>
      <t>Torsdag:</t>
    </r>
    <r>
      <rPr>
        <sz val="12"/>
        <color theme="1"/>
        <rFont val="Calibri"/>
        <family val="2"/>
        <scheme val="minor"/>
      </rPr>
      <t xml:space="preserve"> Vi hadde Sprint review meeting med PO. Her viste vi fram hvor langt vi hadde komment og forklare hva som hadde gått bra og dårlig til nå. PO virket ganske førnøyde med det vi presanterte.
</t>
    </r>
    <r>
      <rPr>
        <b/>
        <sz val="12"/>
        <color theme="1"/>
        <rFont val="Calibri"/>
        <family val="2"/>
        <scheme val="minor"/>
      </rPr>
      <t>Fredag:</t>
    </r>
    <r>
      <rPr>
        <sz val="12"/>
        <color theme="1"/>
        <rFont val="Calibri"/>
        <family val="2"/>
        <scheme val="minor"/>
      </rPr>
      <t xml:space="preserve"> Vi skulle egentlig ha ett langt og fint møte og jobbe med å ferdigstille Sprint 1 her, men valge å avbryte pga. forstyrrelser i klasserommet. Vi planla og fortsette med dette lørdag.
</t>
    </r>
    <r>
      <rPr>
        <b/>
        <sz val="12"/>
        <color theme="1"/>
        <rFont val="Calibri"/>
        <family val="2"/>
        <scheme val="minor"/>
      </rPr>
      <t>Lørdag:</t>
    </r>
    <r>
      <rPr>
        <sz val="12"/>
        <color theme="1"/>
        <rFont val="Calibri"/>
        <family val="2"/>
        <scheme val="minor"/>
      </rPr>
      <t xml:space="preserve"> Idag ferdigstilte vi hele Sprint 1 og fikk den levert. Det vi har gjort har bestått av sprint backlog, planning poker, og sprint retrospective. Sprint retrospectiv var helt nytt for oss, men jeg føler den ble ganske bra. Ellers er jeg fornøyd med resultatet av Sprint 1, og vi har lært mye nytt som gjør meg optimistisk når vi skal begynne på Sprint 2.
</t>
    </r>
    <r>
      <rPr>
        <b/>
        <sz val="12"/>
        <color theme="1"/>
        <rFont val="Calibri"/>
        <family val="2"/>
        <scheme val="minor"/>
      </rPr>
      <t>Nye roller til neste uke:</t>
    </r>
    <r>
      <rPr>
        <sz val="12"/>
        <color theme="1"/>
        <rFont val="Calibri"/>
        <family val="2"/>
        <scheme val="minor"/>
      </rPr>
      <t xml:space="preserve">
</t>
    </r>
    <r>
      <rPr>
        <b/>
        <sz val="12"/>
        <color theme="1"/>
        <rFont val="Calibri"/>
        <family val="2"/>
        <scheme val="minor"/>
      </rPr>
      <t>SCRUM-master Sprint 2:</t>
    </r>
    <r>
      <rPr>
        <sz val="12"/>
        <color theme="1"/>
        <rFont val="Calibri"/>
        <family val="2"/>
        <scheme val="minor"/>
      </rPr>
      <t xml:space="preserve"> Eivind Blom Eriksen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t>
    </r>
  </si>
  <si>
    <r>
      <rPr>
        <b/>
        <sz val="12"/>
        <color theme="1"/>
        <rFont val="Calibri"/>
        <family val="2"/>
        <scheme val="minor"/>
      </rPr>
      <t xml:space="preserve">Logg/Oppgaver: </t>
    </r>
    <r>
      <rPr>
        <sz val="12"/>
        <color theme="1"/>
        <rFont val="Calibri"/>
        <family val="2"/>
        <scheme val="minor"/>
      </rPr>
      <t>Ordnet opp i mangler på Sprint Zero.</t>
    </r>
  </si>
  <si>
    <r>
      <rPr>
        <b/>
        <sz val="12"/>
        <color theme="1"/>
        <rFont val="Calibri"/>
        <family val="2"/>
        <scheme val="minor"/>
      </rPr>
      <t xml:space="preserve">Administrativt: </t>
    </r>
    <r>
      <rPr>
        <sz val="12"/>
        <color theme="1"/>
        <rFont val="Calibri"/>
        <family val="2"/>
        <scheme val="minor"/>
      </rPr>
      <t>Scrum meeting</t>
    </r>
  </si>
  <si>
    <t>11.1</t>
  </si>
  <si>
    <r>
      <rPr>
        <b/>
        <sz val="12"/>
        <color theme="1"/>
        <rFont val="Calibri"/>
        <family val="2"/>
        <scheme val="minor"/>
      </rPr>
      <t xml:space="preserve">Utvikling: </t>
    </r>
    <r>
      <rPr>
        <sz val="12"/>
        <color theme="1"/>
        <rFont val="Calibri"/>
        <family val="2"/>
        <scheme val="minor"/>
      </rPr>
      <t>Så gjennom dokumentene angående FEIDE.</t>
    </r>
  </si>
  <si>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Sprint 2:</t>
    </r>
    <r>
      <rPr>
        <sz val="12"/>
        <color theme="1"/>
        <rFont val="Calibri"/>
        <family val="2"/>
        <scheme val="minor"/>
      </rPr>
      <t xml:space="preserve"> Eivind Blom Eriksen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Mandag:</t>
    </r>
    <r>
      <rPr>
        <sz val="12"/>
        <color theme="1"/>
        <rFont val="Calibri"/>
        <family val="2"/>
        <scheme val="minor"/>
      </rPr>
      <t xml:space="preserve"> Vi startet uken med ett gruppemøte, og snakked hovedsaklig om fordeling av aktiviteter. Etter møtet så jeg og Martin gjennom dokumentene vi hadde fått om FEIDE sammen. Dette var praktisk talt teoretisk arbeid, men har valgt å oppføre dette som utvikling siden dette er en av aktivitetene våre i Sprint Backlog. Etter å ha forsket på dette skrev vi ned spørsmål og sendte til PO.
</t>
    </r>
    <r>
      <rPr>
        <b/>
        <sz val="12"/>
        <color theme="1"/>
        <rFont val="Calibri"/>
        <family val="2"/>
        <scheme val="minor"/>
      </rPr>
      <t>Søndag:</t>
    </r>
    <r>
      <rPr>
        <sz val="12"/>
        <color theme="1"/>
        <rFont val="Calibri"/>
        <family val="2"/>
        <scheme val="minor"/>
      </rPr>
      <t xml:space="preserve"> Jobbet med manglene vi hadde i Sprint Zero. Dette var i hovedsak Product Backlog og sammarbeidsavtale, samt små detaljer som sidetall og topptekster. Dette gjorde vi hele gruppen sammen og jobbet relativt effektivt. Jeg ble veldig fornøyd med det nye resultatet. På kvelden gjorde jeg ferdig timelisten og skrev oppsummering samt mine tanker om kategorier. Var veldig usikker på hvordan kategorier som egentlig blir ettersport, og de eneste kategoriene jeg tenker det kan være er de vi bruker i timelistene våre. Syntes det høres litt merkelig ut å skrive om, men har fått inkludert mine tanker.
Har ikke fått jobbet mye denne uken og ligger langt under 12 timer. Dette pga. innlevering i annet fag samt at jeg var borte fra onsdag til søndag på vinterferie. Ønsker å involvere meg sterkere neste uke og gjøre mitt for at vi skal komme i mål med Sprint 1.
</t>
    </r>
    <r>
      <rPr>
        <b/>
        <sz val="12"/>
        <color theme="1"/>
        <rFont val="Calibri"/>
        <family val="2"/>
        <scheme val="minor"/>
      </rPr>
      <t>Tanker om kategorier:</t>
    </r>
    <r>
      <rPr>
        <sz val="12"/>
        <color theme="1"/>
        <rFont val="Calibri"/>
        <family val="2"/>
        <scheme val="minor"/>
      </rPr>
      <t xml:space="preserve">
Når det gjelder kategoriene vi har valgt å bruke, så er disse valgt fordi vi føler alle er relevante. Det er fire kategorier og uansett hva som gjøres, så vil vi enkelt kunne velge kategori. Dersom vi hadde hatt færre kategorier ville vi hatt problemer med å plassere enkelte ting, og på samme måte fått problemer dersom vi hadde for mange kategorier å velge mellom, fordi de fort kunnet overlappe hverandre. Dette tenkte vi på før prosjektet startet og det har fungert meget bra helt til nå.</t>
    </r>
  </si>
  <si>
    <r>
      <rPr>
        <b/>
        <sz val="12"/>
        <color theme="1"/>
        <rFont val="Calibri"/>
        <family val="2"/>
        <scheme val="minor"/>
      </rPr>
      <t xml:space="preserve">Logg/Oppgaver: </t>
    </r>
    <r>
      <rPr>
        <sz val="12"/>
        <color theme="1"/>
        <rFont val="Calibri"/>
        <family val="2"/>
        <scheme val="minor"/>
      </rPr>
      <t>Finpuss av timeliste + Oppsummering m. tanker om kategorier.</t>
    </r>
  </si>
  <si>
    <r>
      <t xml:space="preserve">Administrativt: </t>
    </r>
    <r>
      <rPr>
        <sz val="12"/>
        <color theme="1"/>
        <rFont val="Calibri"/>
        <family val="2"/>
        <scheme val="minor"/>
      </rPr>
      <t>Scrum meeting</t>
    </r>
  </si>
  <si>
    <t>9.1</t>
  </si>
  <si>
    <r>
      <rPr>
        <b/>
        <sz val="12"/>
        <color theme="1"/>
        <rFont val="Calibri"/>
        <family val="2"/>
        <scheme val="minor"/>
      </rPr>
      <t xml:space="preserve">Logg/Oppgaver: </t>
    </r>
    <r>
      <rPr>
        <sz val="12"/>
        <color theme="1"/>
        <rFont val="Calibri"/>
        <family val="2"/>
        <scheme val="minor"/>
      </rPr>
      <t>Endringer i database.</t>
    </r>
  </si>
  <si>
    <r>
      <rPr>
        <b/>
        <sz val="12"/>
        <color theme="1"/>
        <rFont val="Calibri"/>
        <family val="2"/>
        <scheme val="minor"/>
      </rPr>
      <t>Logg/Oppgaver:</t>
    </r>
    <r>
      <rPr>
        <sz val="12"/>
        <color theme="1"/>
        <rFont val="Calibri"/>
        <family val="2"/>
        <scheme val="minor"/>
      </rPr>
      <t xml:space="preserve"> Gikk igjennom sprint 2 backlog</t>
    </r>
  </si>
  <si>
    <r>
      <t xml:space="preserve">Logg/Utvikling: </t>
    </r>
    <r>
      <rPr>
        <sz val="12"/>
        <color theme="1"/>
        <rFont val="Calibri"/>
        <family val="2"/>
        <scheme val="minor"/>
      </rPr>
      <t>Fremdriftsplan og Sprint 3 backlog.</t>
    </r>
  </si>
  <si>
    <r>
      <t xml:space="preserve">Logg/Utvikling: </t>
    </r>
    <r>
      <rPr>
        <sz val="12"/>
        <color theme="1"/>
        <rFont val="Calibri"/>
        <family val="2"/>
        <scheme val="minor"/>
      </rPr>
      <t>Ferdigstilling av dokumenter som skal leveres inn for denne sprinten.</t>
    </r>
  </si>
  <si>
    <r>
      <rPr>
        <b/>
        <sz val="12"/>
        <color theme="1"/>
        <rFont val="Calibri"/>
        <family val="2"/>
        <scheme val="minor"/>
      </rPr>
      <t xml:space="preserve">Utvikling: </t>
    </r>
    <r>
      <rPr>
        <sz val="12"/>
        <color theme="1"/>
        <rFont val="Calibri"/>
        <family val="2"/>
        <scheme val="minor"/>
      </rPr>
      <t>Jobbet med diverse TODO's vi hadde i koden vår.</t>
    </r>
  </si>
  <si>
    <r>
      <rPr>
        <b/>
        <sz val="12"/>
        <color theme="1"/>
        <rFont val="Calibri"/>
        <family val="2"/>
        <scheme val="minor"/>
      </rPr>
      <t xml:space="preserve">Logg/Oppgaver: </t>
    </r>
    <r>
      <rPr>
        <sz val="12"/>
        <color theme="1"/>
        <rFont val="Calibri"/>
        <family val="2"/>
        <scheme val="minor"/>
      </rPr>
      <t xml:space="preserve"> Sakspapirer/møte-innkalling.</t>
    </r>
  </si>
  <si>
    <r>
      <rPr>
        <b/>
        <sz val="12"/>
        <color theme="1"/>
        <rFont val="Calibri"/>
        <family val="2"/>
        <scheme val="minor"/>
      </rPr>
      <t>Utvikling:</t>
    </r>
    <r>
      <rPr>
        <sz val="12"/>
        <color theme="1"/>
        <rFont val="Calibri"/>
        <family val="2"/>
        <scheme val="minor"/>
      </rPr>
      <t xml:space="preserve"> Vi gikk gjennom noen feilkoder jeg fikk i plenum.</t>
    </r>
  </si>
  <si>
    <r>
      <rPr>
        <b/>
        <sz val="12"/>
        <color theme="1"/>
        <rFont val="Calibri"/>
        <family val="2"/>
        <scheme val="minor"/>
      </rPr>
      <t>Utvikling:</t>
    </r>
    <r>
      <rPr>
        <sz val="12"/>
        <color theme="1"/>
        <rFont val="Calibri"/>
        <family val="2"/>
        <scheme val="minor"/>
      </rPr>
      <t xml:space="preserve"> Laget visEmne.php</t>
    </r>
  </si>
  <si>
    <r>
      <rPr>
        <b/>
        <sz val="12"/>
        <color theme="1"/>
        <rFont val="Calibri"/>
        <family val="2"/>
        <scheme val="minor"/>
      </rPr>
      <t xml:space="preserve">Logg/Oppgaver: </t>
    </r>
    <r>
      <rPr>
        <sz val="12"/>
        <color theme="1"/>
        <rFont val="Calibri"/>
        <family val="2"/>
        <scheme val="minor"/>
      </rPr>
      <t>PHP</t>
    </r>
  </si>
  <si>
    <r>
      <rPr>
        <b/>
        <sz val="12"/>
        <color theme="1"/>
        <rFont val="Calibri"/>
        <family val="2"/>
        <scheme val="minor"/>
      </rPr>
      <t>Utvikling:</t>
    </r>
    <r>
      <rPr>
        <sz val="12"/>
        <color theme="1"/>
        <rFont val="Calibri"/>
        <family val="2"/>
        <scheme val="minor"/>
      </rPr>
      <t xml:space="preserve"> Jobbet med PHP, laget metoden updateEmne.</t>
    </r>
  </si>
  <si>
    <r>
      <rPr>
        <b/>
        <sz val="12"/>
        <color theme="1"/>
        <rFont val="Calibri"/>
        <family val="2"/>
        <scheme val="minor"/>
      </rPr>
      <t xml:space="preserve">Utvikling: </t>
    </r>
    <r>
      <rPr>
        <sz val="12"/>
        <color theme="1"/>
        <rFont val="Calibri"/>
        <family val="2"/>
        <scheme val="minor"/>
      </rPr>
      <t>Jobbet med PHP, endring av emne.</t>
    </r>
  </si>
  <si>
    <r>
      <rPr>
        <b/>
        <sz val="12"/>
        <color theme="1"/>
        <rFont val="Calibri"/>
        <family val="2"/>
        <scheme val="minor"/>
      </rPr>
      <t>Utvikling:</t>
    </r>
    <r>
      <rPr>
        <sz val="12"/>
        <color theme="1"/>
        <rFont val="Calibri"/>
        <family val="2"/>
        <scheme val="minor"/>
      </rPr>
      <t xml:space="preserve"> Fortsatte arbeid med endring av emne i PHP.</t>
    </r>
  </si>
  <si>
    <r>
      <rPr>
        <b/>
        <sz val="12"/>
        <color theme="1"/>
        <rFont val="Calibri"/>
        <family val="2"/>
        <scheme val="minor"/>
      </rPr>
      <t xml:space="preserve">Nye roller: 
SCRUM-master for neste sprint: </t>
    </r>
    <r>
      <rPr>
        <sz val="12"/>
        <color theme="1"/>
        <rFont val="Calibri"/>
        <family val="2"/>
        <scheme val="minor"/>
      </rPr>
      <t xml:space="preserve">Anders Rubach Ese
</t>
    </r>
    <r>
      <rPr>
        <b/>
        <sz val="12"/>
        <color theme="1"/>
        <rFont val="Calibri"/>
        <family val="2"/>
        <scheme val="minor"/>
      </rPr>
      <t xml:space="preserve">
Roller:</t>
    </r>
    <r>
      <rPr>
        <sz val="12"/>
        <color theme="1"/>
        <rFont val="Calibri"/>
        <family val="2"/>
        <scheme val="minor"/>
      </rPr>
      <t xml:space="preserve">
</t>
    </r>
    <r>
      <rPr>
        <b/>
        <sz val="12"/>
        <color theme="1"/>
        <rFont val="Calibri"/>
        <family val="2"/>
        <scheme val="minor"/>
      </rPr>
      <t>SCRUM-master Sprint 2:</t>
    </r>
    <r>
      <rPr>
        <sz val="12"/>
        <color theme="1"/>
        <rFont val="Calibri"/>
        <family val="2"/>
        <scheme val="minor"/>
      </rPr>
      <t xml:space="preserve"> Eivind Blom Eriksen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Mandag:</t>
    </r>
    <r>
      <rPr>
        <sz val="12"/>
        <color theme="1"/>
        <rFont val="Calibri"/>
        <family val="2"/>
        <scheme val="minor"/>
      </rPr>
      <t xml:space="preserve"> Vi startet uken med Scrum-meeting der temaet var status. Der kom det blandt annet opp at vi burde gjøre noen endringer i databasen for å optimalisere den. Dette ble da gjort rett etter møtet, det innebærte blandt annet at vi fjernet tabellene for Nivå og UndervisningsTermin og erstattet disse med int variabler i Emne tabellen.
</t>
    </r>
    <r>
      <rPr>
        <b/>
        <sz val="12"/>
        <color theme="1"/>
        <rFont val="Calibri"/>
        <family val="2"/>
        <scheme val="minor"/>
      </rPr>
      <t>Onsdag:</t>
    </r>
    <r>
      <rPr>
        <sz val="12"/>
        <color theme="1"/>
        <rFont val="Calibri"/>
        <family val="2"/>
        <scheme val="minor"/>
      </rPr>
      <t xml:space="preserve"> Jeg startet dagen med å jobbe med diverse TODO's Anders hadde markert i PHP koden. Deretter hadde vi dagens Scrum-meeting hvor vi så på arbeid som var blitt gjort.
</t>
    </r>
    <r>
      <rPr>
        <b/>
        <sz val="12"/>
        <color theme="1"/>
        <rFont val="Calibri"/>
        <family val="2"/>
        <scheme val="minor"/>
      </rPr>
      <t xml:space="preserve">Torsdag: </t>
    </r>
    <r>
      <rPr>
        <sz val="12"/>
        <color theme="1"/>
        <rFont val="Calibri"/>
        <family val="2"/>
        <scheme val="minor"/>
      </rPr>
      <t xml:space="preserve">Jeg startet å jobbe med aktivitet 9.1, som er å kunne gjøre endringer på et emne. Det første jeg gjorde var å lage metoden updateEmne() og videre laget jeg PHP fil for endring av emne.
</t>
    </r>
    <r>
      <rPr>
        <b/>
        <sz val="12"/>
        <color theme="1"/>
        <rFont val="Calibri"/>
        <family val="2"/>
        <scheme val="minor"/>
      </rPr>
      <t xml:space="preserve">Fredag: </t>
    </r>
    <r>
      <rPr>
        <sz val="12"/>
        <color theme="1"/>
        <rFont val="Calibri"/>
        <family val="2"/>
        <scheme val="minor"/>
      </rPr>
      <t xml:space="preserve">Vi startet dagen med Scrum-meeting og hver enkelt presenterte hvor langt vi var komment. Deretter gikk vi gjennom Sprint 2 backlog og oppdaterte den ifh. til hva som var ferdig, og hva som var påstartet. Vi opprettet så sakspapirer med møteinnkalling til Sprint Review etter at vi fikk etterspørsel på dette. Etter dette fortsatte jeg arbeidet med aktivitet 9.1. I Tillegg laget jeg filen visEmne() etter etterspøres fra Joachim, som vi trenger for å vise ett valgt emne.
</t>
    </r>
    <r>
      <rPr>
        <b/>
        <sz val="12"/>
        <color theme="1"/>
        <rFont val="Calibri"/>
        <family val="2"/>
        <scheme val="minor"/>
      </rPr>
      <t xml:space="preserve">Søndag: </t>
    </r>
    <r>
      <rPr>
        <sz val="12"/>
        <color theme="1"/>
        <rFont val="Calibri"/>
        <family val="2"/>
        <scheme val="minor"/>
      </rPr>
      <t xml:space="preserve">Jeg startet dagen men å fortsette arbeidet på aktivitet 9.1. Det som gjenstår nå er at oppretting av emne er ferdig, da mye av koden skal gå igjen i 9.1. Aktiviteten kom dermed ikke helt i mål denne sprinten, men det er ikke mye arbeid som gjenstår og dette vil ha høy prioritering i begynnelsen av neste uke. Fra 14.00 og utover jobbet vi med å ferdigstille Sprint 2, der vi startet med ett scrum-meeting. Etter møtet gikk vi over til å se på noen feilkoder jeg hadde, som viste seg å være en liten skrivefeil. Resten av dagen ble satt av til å ferdigstille alle diverse dokumenter vi trengte i innleveringen.
Jeg føler ikke at sprinten har gått dårlig, men vi burde ha startet arbeid tidligere for å fullføre sprinten sjikkelig. Har vært mye å gjøre på slutten, spesielt på søndag, så dette skal vi ta tak i neste Sprint. Kan ellers nevne at det er blitt bestemt at vi skal bytte Scrum-master hver andre uke slik at alle i gruppa vil ha mulighet til å ha denne rollen.
</t>
    </r>
  </si>
  <si>
    <r>
      <rPr>
        <b/>
        <sz val="12"/>
        <color theme="1"/>
        <rFont val="Calibri"/>
        <family val="2"/>
        <scheme val="minor"/>
      </rPr>
      <t xml:space="preserve">Administrativt: </t>
    </r>
    <r>
      <rPr>
        <sz val="12"/>
        <color theme="1"/>
        <rFont val="Calibri"/>
        <family val="2"/>
        <scheme val="minor"/>
      </rPr>
      <t>Sprint Review Meeting med PO og Kunde.</t>
    </r>
  </si>
  <si>
    <r>
      <rPr>
        <b/>
        <sz val="12"/>
        <color theme="1"/>
        <rFont val="Calibri"/>
        <family val="2"/>
        <scheme val="minor"/>
      </rPr>
      <t xml:space="preserve">Administrativt: </t>
    </r>
    <r>
      <rPr>
        <sz val="12"/>
        <color theme="1"/>
        <rFont val="Calibri"/>
        <family val="2"/>
        <scheme val="minor"/>
      </rPr>
      <t>Gruppemøte.</t>
    </r>
  </si>
  <si>
    <r>
      <t xml:space="preserve">Utvikling: </t>
    </r>
    <r>
      <rPr>
        <sz val="12"/>
        <color theme="1"/>
        <rFont val="Calibri"/>
        <family val="2"/>
        <scheme val="minor"/>
      </rPr>
      <t>Jobbet med endringAvEmne.twig</t>
    </r>
  </si>
  <si>
    <r>
      <rPr>
        <b/>
        <sz val="12"/>
        <color theme="1"/>
        <rFont val="Calibri"/>
        <family val="2"/>
        <scheme val="minor"/>
      </rPr>
      <t xml:space="preserve">Administrativt: </t>
    </r>
    <r>
      <rPr>
        <sz val="12"/>
        <color theme="1"/>
        <rFont val="Calibri"/>
        <family val="2"/>
        <scheme val="minor"/>
      </rPr>
      <t>Scrum-meeting.</t>
    </r>
  </si>
  <si>
    <r>
      <t xml:space="preserve">Administrativt: </t>
    </r>
    <r>
      <rPr>
        <sz val="12"/>
        <color theme="1"/>
        <rFont val="Calibri"/>
        <family val="2"/>
        <scheme val="minor"/>
      </rPr>
      <t>Scrum-meeting.</t>
    </r>
  </si>
  <si>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Sprint 3:</t>
    </r>
    <r>
      <rPr>
        <sz val="12"/>
        <color theme="1"/>
        <rFont val="Calibri"/>
        <family val="2"/>
        <scheme val="minor"/>
      </rPr>
      <t xml:space="preserve"> Anders Rubach Ese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Mandag:</t>
    </r>
    <r>
      <rPr>
        <sz val="12"/>
        <color theme="1"/>
        <rFont val="Calibri"/>
        <family val="2"/>
        <scheme val="minor"/>
      </rPr>
      <t xml:space="preserve"> Vi startet uken med Sprint Review Meeting der vi presenterte hvordan Sprint 2 hadde gått. Syntes det gikk fint, men vi fikk tilbakemelding om å være mere formelle for å gjøre møtet litt mere profesjonelt. Dette tar vi til oss og retter opp i til neste gang.
</t>
    </r>
    <r>
      <rPr>
        <b/>
        <sz val="12"/>
        <color theme="1"/>
        <rFont val="Calibri"/>
        <family val="2"/>
        <scheme val="minor"/>
      </rPr>
      <t>Onsdag:</t>
    </r>
    <r>
      <rPr>
        <sz val="12"/>
        <color theme="1"/>
        <rFont val="Calibri"/>
        <family val="2"/>
        <scheme val="minor"/>
      </rPr>
      <t xml:space="preserve"> Gruppemøte hvor vi gikk gjennom om noen hadde gjort noe siden sist. Ingen hadde gjort stort, og vi fant ut at så å si alle var svært opptatt denne uken med prøve/innlevering i andre fag.
Fant ikke tid til å jobbe med i faget pga. karaktergivende innlevering, samt reise.
</t>
    </r>
  </si>
  <si>
    <r>
      <rPr>
        <b/>
        <sz val="12"/>
        <color theme="1"/>
        <rFont val="Calibri"/>
        <family val="2"/>
        <scheme val="minor"/>
      </rPr>
      <t xml:space="preserve">Utvikling: </t>
    </r>
    <r>
      <rPr>
        <sz val="12"/>
        <color theme="1"/>
        <rFont val="Calibri"/>
        <family val="2"/>
        <scheme val="minor"/>
      </rPr>
      <t>Ordnet opp i litt funksjonalitet. Jobbet med radiobuttons.</t>
    </r>
  </si>
  <si>
    <r>
      <rPr>
        <b/>
        <sz val="12"/>
        <color theme="1"/>
        <rFont val="Calibri"/>
        <family val="2"/>
        <scheme val="minor"/>
      </rPr>
      <t>Utvikling:</t>
    </r>
    <r>
      <rPr>
        <sz val="12"/>
        <color theme="1"/>
        <rFont val="Calibri"/>
        <family val="2"/>
        <scheme val="minor"/>
      </rPr>
      <t xml:space="preserve"> Forsatte med PHP.</t>
    </r>
  </si>
  <si>
    <r>
      <rPr>
        <b/>
        <sz val="12"/>
        <color theme="1"/>
        <rFont val="Calibri"/>
        <family val="2"/>
        <scheme val="minor"/>
      </rPr>
      <t>Utvikling:</t>
    </r>
    <r>
      <rPr>
        <sz val="12"/>
        <color theme="1"/>
        <rFont val="Calibri"/>
        <family val="2"/>
        <scheme val="minor"/>
      </rPr>
      <t xml:space="preserve"> Jobbet med PHP.</t>
    </r>
  </si>
  <si>
    <r>
      <t xml:space="preserve">Utvikling: </t>
    </r>
    <r>
      <rPr>
        <sz val="12"/>
        <color theme="1"/>
        <rFont val="Calibri"/>
        <family val="2"/>
        <scheme val="minor"/>
      </rPr>
      <t>Jobbet med endringAvEmne.php</t>
    </r>
  </si>
  <si>
    <r>
      <t xml:space="preserve">Utvikling: </t>
    </r>
    <r>
      <rPr>
        <sz val="12"/>
        <color theme="1"/>
        <rFont val="Calibri"/>
        <family val="2"/>
        <scheme val="minor"/>
      </rPr>
      <t>Utvidet databasespørring.</t>
    </r>
  </si>
  <si>
    <r>
      <rPr>
        <b/>
        <sz val="12"/>
        <color theme="1"/>
        <rFont val="Calibri"/>
        <family val="2"/>
        <scheme val="minor"/>
      </rPr>
      <t xml:space="preserve">Logg/Oppgaver: </t>
    </r>
    <r>
      <rPr>
        <sz val="12"/>
        <color theme="1"/>
        <rFont val="Calibri"/>
        <family val="2"/>
        <scheme val="minor"/>
      </rPr>
      <t>Planning poker for Sprint 4.</t>
    </r>
  </si>
  <si>
    <r>
      <rPr>
        <b/>
        <sz val="12"/>
        <color theme="1"/>
        <rFont val="Calibri"/>
        <family val="2"/>
        <scheme val="minor"/>
      </rPr>
      <t xml:space="preserve">Logg/Oppgaver: </t>
    </r>
    <r>
      <rPr>
        <sz val="12"/>
        <color theme="1"/>
        <rFont val="Calibri"/>
        <family val="2"/>
        <scheme val="minor"/>
      </rPr>
      <t>Gjorde timelisten klar til innlevering, og svarte på individuell oppgave.</t>
    </r>
  </si>
  <si>
    <r>
      <rPr>
        <b/>
        <sz val="12"/>
        <color theme="1"/>
        <rFont val="Calibri"/>
        <family val="2"/>
        <scheme val="minor"/>
      </rPr>
      <t xml:space="preserve">Nye roller: 
SCRUM-master for neste sprint: </t>
    </r>
    <r>
      <rPr>
        <sz val="12"/>
        <color theme="1"/>
        <rFont val="Calibri"/>
        <family val="2"/>
        <scheme val="minor"/>
      </rPr>
      <t>Martin Mikalsen</t>
    </r>
    <r>
      <rPr>
        <b/>
        <sz val="12"/>
        <color theme="1"/>
        <rFont val="Calibri"/>
        <family val="2"/>
        <scheme val="minor"/>
      </rPr>
      <t xml:space="preserve">
Roller:</t>
    </r>
    <r>
      <rPr>
        <sz val="12"/>
        <color theme="1"/>
        <rFont val="Calibri"/>
        <family val="2"/>
        <scheme val="minor"/>
      </rPr>
      <t xml:space="preserve">
</t>
    </r>
    <r>
      <rPr>
        <b/>
        <sz val="12"/>
        <color theme="1"/>
        <rFont val="Calibri"/>
        <family val="2"/>
        <scheme val="minor"/>
      </rPr>
      <t>SCRUM-master Sprint 3:</t>
    </r>
    <r>
      <rPr>
        <sz val="12"/>
        <color theme="1"/>
        <rFont val="Calibri"/>
        <family val="2"/>
        <scheme val="minor"/>
      </rPr>
      <t xml:space="preserve"> Anders Rubach Ese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Mandag</t>
    </r>
    <r>
      <rPr>
        <sz val="12"/>
        <color theme="1"/>
        <rFont val="Calibri"/>
        <family val="2"/>
        <scheme val="minor"/>
      </rPr>
      <t xml:space="preserve">: Gruppemøte der vi gikk gjennom hva folk hadde gjort som vanlig. Sprint 2 innleveringen ble ikke godkjent så dette ble også ett tema på møte, og vi planla for å rette den opp.
</t>
    </r>
    <r>
      <rPr>
        <b/>
        <sz val="12"/>
        <color theme="1"/>
        <rFont val="Calibri"/>
        <family val="2"/>
        <scheme val="minor"/>
      </rPr>
      <t>Tirsdag</t>
    </r>
    <r>
      <rPr>
        <sz val="12"/>
        <color theme="1"/>
        <rFont val="Calibri"/>
        <family val="2"/>
        <scheme val="minor"/>
      </rPr>
      <t xml:space="preserve">: Fortsatte arbeidet med aktivitet 9.1. Startet med litt front-end arbeid som bestod i å hente verdier fra databasen og vise til bruker, og ble stort sett ferdig med hele twig filen. Deretter jobbet jeg med PHP filen, og måtte utvide databasespørringen for å endre ett emne med EmneNavn og LaerlingsResultat, som er tabeller i databasen vår. 
</t>
    </r>
    <r>
      <rPr>
        <b/>
        <sz val="12"/>
        <color theme="1"/>
        <rFont val="Calibri"/>
        <family val="2"/>
        <scheme val="minor"/>
      </rPr>
      <t>Onsdag:</t>
    </r>
    <r>
      <rPr>
        <sz val="12"/>
        <color theme="1"/>
        <rFont val="Calibri"/>
        <family val="2"/>
        <scheme val="minor"/>
      </rPr>
      <t xml:space="preserve"> Fortsatte der jeg slapp dagen før. Utvidet databasespørringen og ordnet funksjonalitet for endring av UndervisningsSted, NettstudentTilbud og Arbeidskrav.Beskrivelse da dette ikke var komment på plass enda. 
</t>
    </r>
    <r>
      <rPr>
        <b/>
        <sz val="12"/>
        <color theme="1"/>
        <rFont val="Calibri"/>
        <family val="2"/>
        <scheme val="minor"/>
      </rPr>
      <t>Fredag</t>
    </r>
    <r>
      <rPr>
        <sz val="12"/>
        <color theme="1"/>
        <rFont val="Calibri"/>
        <family val="2"/>
        <scheme val="minor"/>
      </rPr>
      <t xml:space="preserve">: Vi hadde ett Scrum-møte hvor planla hvordan vi skulle avslutte sprint 3, og satt tidspunkt for planning poker. Etter møtet jobbet jeg med små detaljer i endring av emne, blant annet fikset en bug i endring av nettstudent-variabler. Jobbet deretter sammen med andre i discord for å få radiobuttons til å fungere.
</t>
    </r>
    <r>
      <rPr>
        <b/>
        <sz val="12"/>
        <color theme="1"/>
        <rFont val="Calibri"/>
        <family val="2"/>
        <scheme val="minor"/>
      </rPr>
      <t xml:space="preserve">Lørdag: </t>
    </r>
    <r>
      <rPr>
        <sz val="12"/>
        <color theme="1"/>
        <rFont val="Calibri"/>
        <family val="2"/>
        <scheme val="minor"/>
      </rPr>
      <t xml:space="preserve">Vi hadde planning poker. Vi brukte litt tid på å komme igang, men vi var veldig effektive og det merkes at vi begynner å bli gode på dette. Gleder meg til forsettelsen av prosjektet.
</t>
    </r>
    <r>
      <rPr>
        <b/>
        <sz val="12"/>
        <color theme="1"/>
        <rFont val="Calibri"/>
        <family val="2"/>
        <scheme val="minor"/>
      </rPr>
      <t>Søndag:</t>
    </r>
    <r>
      <rPr>
        <sz val="12"/>
        <color theme="1"/>
        <rFont val="Calibri"/>
        <family val="2"/>
        <scheme val="minor"/>
      </rPr>
      <t xml:space="preserve"> Skrev ferdig timeliste, og gjorde den individuelle oppgaven vi hadde fått.
 </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Individuell oppgave:</t>
    </r>
    <r>
      <rPr>
        <sz val="12"/>
        <color theme="1"/>
        <rFont val="Calibri"/>
        <family val="2"/>
        <scheme val="minor"/>
      </rPr>
      <t xml:space="preserve">
Her er tallene jeg vil bruke for å besvare oppgaven: 
Bedriften har 7 ansatte.
I Sprint 1 og Sprint 2 brukte vi 91 og 55 storypoints, dette er en periode på 4 uker.
Jeg anslår en anstendig lønn til 500 000kr.
Anslår en kostad på 20% av lønnsutgifter på sosiale og diverse utgifter.
36,5 storypoints ble i gjennomsnitt gjort hver uke i disse ukene.
Lønn i uken for hver ansatt vil være 9 615kr. Lønn til alle ansatte er da 67 307kr i uken. 
Legger vi på de sosiale og div. utgiftene bedriften har, står bedriften igjen med en total utgift på 80 768kr i uken.
Timepris = Totale utgifter / Gjennomsnittlige storypoints = 80 768kr / 36,5 = ca. 2213kr.
Timeprisen for å dekke alle utgifter vil da ligge på </t>
    </r>
    <r>
      <rPr>
        <b/>
        <sz val="12"/>
        <color theme="1"/>
        <rFont val="Calibri"/>
        <family val="2"/>
        <scheme val="minor"/>
      </rPr>
      <t>ca. 2213kr</t>
    </r>
    <r>
      <rPr>
        <sz val="12"/>
        <color theme="1"/>
        <rFont val="Calibri"/>
        <family val="2"/>
        <scheme val="minor"/>
      </rPr>
      <t xml:space="preserve"> for hver storypoint. Dette er for å gå i null.
For at bedriften vår skal gå i pluss kan vi øke timeprisen 5% ytterligere av lønnsutgiftene. Står da igjen med</t>
    </r>
    <r>
      <rPr>
        <b/>
        <sz val="12"/>
        <color theme="1"/>
        <rFont val="Calibri"/>
        <family val="2"/>
        <scheme val="minor"/>
      </rPr>
      <t xml:space="preserve"> ca. 2305kr</t>
    </r>
    <r>
      <rPr>
        <sz val="12"/>
        <color theme="1"/>
        <rFont val="Calibri"/>
        <family val="2"/>
        <scheme val="minor"/>
      </rPr>
      <t xml:space="preserve"> hver storypoint, og bedriften vil ha ett overskudd på 175 000kr.</t>
    </r>
  </si>
  <si>
    <r>
      <t xml:space="preserve">Administrativt: </t>
    </r>
    <r>
      <rPr>
        <sz val="12"/>
        <color theme="1"/>
        <rFont val="Calibri"/>
        <family val="2"/>
        <scheme val="minor"/>
      </rPr>
      <t>Lite møte m. forberedelse til Sprint Review.</t>
    </r>
  </si>
  <si>
    <r>
      <rPr>
        <b/>
        <sz val="12"/>
        <color theme="1"/>
        <rFont val="Calibri"/>
        <family val="2"/>
        <scheme val="minor"/>
      </rPr>
      <t xml:space="preserve">Utvikling: </t>
    </r>
    <r>
      <rPr>
        <sz val="12"/>
        <color theme="1"/>
        <rFont val="Calibri"/>
        <family val="2"/>
        <scheme val="minor"/>
      </rPr>
      <t>Jobbet med EndringAvEmne, da JS-alerts ikke fungerte bra.</t>
    </r>
  </si>
  <si>
    <r>
      <t>Logg/Oppgaver:</t>
    </r>
    <r>
      <rPr>
        <sz val="12"/>
        <color theme="1"/>
        <rFont val="Calibri"/>
        <family val="2"/>
        <scheme val="minor"/>
      </rPr>
      <t xml:space="preserve"> Møte der vi gjor ferdig innlevering.</t>
    </r>
  </si>
  <si>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Sprint 4:</t>
    </r>
    <r>
      <rPr>
        <sz val="12"/>
        <color theme="1"/>
        <rFont val="Calibri"/>
        <family val="2"/>
        <scheme val="minor"/>
      </rPr>
      <t xml:space="preserve"> Martin Mikalsen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 xml:space="preserve">Mandag: </t>
    </r>
    <r>
      <rPr>
        <sz val="12"/>
        <color theme="1"/>
        <rFont val="Calibri"/>
        <family val="2"/>
        <scheme val="minor"/>
      </rPr>
      <t xml:space="preserve">Vi hadde et lite møte der vi forberedte oss til Sprint Review. Selve Review gikk ganske bra, og vi fikk gode tilbakemeldinger på at vi var godt forberedt. Men vi fikk litt kritikk for feil på Sprint innleveringen vår, som må rettes opp.
</t>
    </r>
    <r>
      <rPr>
        <b/>
        <sz val="12"/>
        <color theme="1"/>
        <rFont val="Calibri"/>
        <family val="2"/>
        <scheme val="minor"/>
      </rPr>
      <t>Tirsdag:</t>
    </r>
    <r>
      <rPr>
        <sz val="12"/>
        <color theme="1"/>
        <rFont val="Calibri"/>
        <family val="2"/>
        <scheme val="minor"/>
      </rPr>
      <t xml:space="preserve"> Vi startet dagen med ett Scrum-meeting og først og fremst så på om noen hadde gjort noe. Ellers så sørget vi for at folk viste hva de skulle gjøre. Vi møttes så sendere på dagen for å rette opp i feil vi hadde på Sprint innleveringen, samt jobbet med Sprint Review innlevering som skulle inn samme dag. Det største problemet vi hadde var burndown/up chart i excel. Dette har Adrian laget, og det var vanskelig å hjelpe til da det blir så eksremt avansert.
</t>
    </r>
    <r>
      <rPr>
        <b/>
        <sz val="12"/>
        <color theme="1"/>
        <rFont val="Calibri"/>
        <family val="2"/>
        <scheme val="minor"/>
      </rPr>
      <t xml:space="preserve">Torsdag: </t>
    </r>
    <r>
      <rPr>
        <sz val="12"/>
        <color theme="1"/>
        <rFont val="Calibri"/>
        <family val="2"/>
        <scheme val="minor"/>
      </rPr>
      <t xml:space="preserve">Før møte støtte jeg på problemer med JS-alerts i endringAvEmne. Dette fordi JS-koden egentlig er basert på opprettelse av et emne. Møtet vårt foregikk som vanlig, der vi gikk gjennom hva vi hadde gjort. Ellers så ble vi mer eller mindre enige om at Backlog måtte oppdateres nøyere dersom folk feks starter eller blir ferdig med en aktivitet. Etter møtet fortsatte jeg å jobbe med å få check boksene til å fungere.
</t>
    </r>
    <r>
      <rPr>
        <b/>
        <sz val="12"/>
        <color theme="1"/>
        <rFont val="Calibri"/>
        <family val="2"/>
        <scheme val="minor"/>
      </rPr>
      <t xml:space="preserve">Fredag: </t>
    </r>
    <r>
      <rPr>
        <sz val="12"/>
        <color theme="1"/>
        <rFont val="Calibri"/>
        <family val="2"/>
        <scheme val="minor"/>
      </rPr>
      <t>Jeg fortsatte å jobbe med å få check boksene til å fungere. Etter å ha prøvd ut forskjellig i løpet av uka, og researchet mye endte jeg opp med en liten cowboy løsning. Det er ikke en god løsning, men den håndterer problemet helt nydelig dersom du er bruker på siden. Har også planer om å optimalisere den bedre, men foreløbig går dette ann å bruke.</t>
    </r>
    <r>
      <rPr>
        <b/>
        <sz val="12"/>
        <color theme="1"/>
        <rFont val="Calibri"/>
        <family val="2"/>
        <scheme val="minor"/>
      </rPr>
      <t xml:space="preserve">
Lørdag: </t>
    </r>
    <r>
      <rPr>
        <sz val="12"/>
        <color theme="1"/>
        <rFont val="Calibri"/>
        <family val="2"/>
        <scheme val="minor"/>
      </rPr>
      <t xml:space="preserve">Vi hadde scrum møte. Viste frem JavaScript koden jeg hadde skrevet for å få alt til å fungere.
</t>
    </r>
    <r>
      <rPr>
        <b/>
        <sz val="12"/>
        <color theme="1"/>
        <rFont val="Calibri"/>
        <family val="2"/>
        <scheme val="minor"/>
      </rPr>
      <t xml:space="preserve">Søndag: </t>
    </r>
    <r>
      <rPr>
        <sz val="12"/>
        <color theme="1"/>
        <rFont val="Calibri"/>
        <family val="2"/>
        <scheme val="minor"/>
      </rPr>
      <t>Skrev ferdig og leverte timeliste. 
Jeg har i utgangspunktet ansvar for å jobbe Back-end, men har jobbet litt med JS denne uken. Hadde lyst til dette selv, samt at dette hører til en aktivitet som hovedsaklig er back-end arbeid. Neste uke blir jeg nok å starte på en ny aktivitet. Ser at timeinnsatsen burde ligge på ca. 140 timer på dette stadiet i prosjektet, jeg når desverre ikke helt opp. Skal prøve å få tatt igjen det jeg ligger bak, blir bla. å jobbe i påsken også.</t>
    </r>
  </si>
  <si>
    <r>
      <t xml:space="preserve">Utvikling: </t>
    </r>
    <r>
      <rPr>
        <sz val="12"/>
        <color theme="1"/>
        <rFont val="Calibri"/>
        <family val="2"/>
        <scheme val="minor"/>
      </rPr>
      <t>Jobbet videre med JS, checkbokser etc.</t>
    </r>
  </si>
  <si>
    <r>
      <rPr>
        <b/>
        <sz val="12"/>
        <color theme="1"/>
        <rFont val="Calibri"/>
        <family val="2"/>
        <scheme val="minor"/>
      </rPr>
      <t>Logg/Oppgaver:</t>
    </r>
    <r>
      <rPr>
        <sz val="12"/>
        <color theme="1"/>
        <rFont val="Calibri"/>
        <family val="2"/>
        <scheme val="minor"/>
      </rPr>
      <t xml:space="preserve"> Timeliste.</t>
    </r>
  </si>
  <si>
    <r>
      <rPr>
        <b/>
        <sz val="12"/>
        <color theme="1"/>
        <rFont val="Calibri"/>
        <family val="2"/>
        <scheme val="minor"/>
      </rPr>
      <t>Utvikling:</t>
    </r>
    <r>
      <rPr>
        <sz val="12"/>
        <color theme="1"/>
        <rFont val="Calibri"/>
        <family val="2"/>
        <scheme val="minor"/>
      </rPr>
      <t xml:space="preserve"> Jobbet med forhåndsvisning av et emne som endres.</t>
    </r>
  </si>
  <si>
    <r>
      <rPr>
        <b/>
        <sz val="12"/>
        <color theme="1"/>
        <rFont val="Calibri"/>
        <family val="2"/>
        <scheme val="minor"/>
      </rPr>
      <t>Administrativt:</t>
    </r>
    <r>
      <rPr>
        <sz val="12"/>
        <color theme="1"/>
        <rFont val="Calibri"/>
        <family val="2"/>
        <scheme val="minor"/>
      </rPr>
      <t xml:space="preserve"> Scrum-meeting.</t>
    </r>
  </si>
  <si>
    <r>
      <rPr>
        <b/>
        <sz val="12"/>
        <color theme="1"/>
        <rFont val="Calibri"/>
        <family val="2"/>
        <scheme val="minor"/>
      </rPr>
      <t>Utvikling</t>
    </r>
    <r>
      <rPr>
        <sz val="12"/>
        <color theme="1"/>
        <rFont val="Calibri"/>
        <family val="2"/>
        <scheme val="minor"/>
      </rPr>
      <t>: Fortsatte med påstartet arbeid.</t>
    </r>
  </si>
  <si>
    <t>Logg/Oppgaver: Timeliste.</t>
  </si>
  <si>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Uke 15:</t>
    </r>
    <r>
      <rPr>
        <sz val="12"/>
        <color theme="1"/>
        <rFont val="Calibri"/>
        <family val="2"/>
        <scheme val="minor"/>
      </rPr>
      <t xml:space="preserve"> Martin Mikalsen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SCRUM-master Uke 16:</t>
    </r>
    <r>
      <rPr>
        <sz val="12"/>
        <color theme="1"/>
        <rFont val="Calibri"/>
        <family val="2"/>
        <scheme val="minor"/>
      </rPr>
      <t xml:space="preserve"> Adrian-Alexandru Chirita
</t>
    </r>
    <r>
      <rPr>
        <b/>
        <sz val="12"/>
        <color theme="1"/>
        <rFont val="Calibri"/>
        <family val="2"/>
        <scheme val="minor"/>
      </rPr>
      <t xml:space="preserve">Onsdag: </t>
    </r>
    <r>
      <rPr>
        <sz val="12"/>
        <color theme="1"/>
        <rFont val="Calibri"/>
        <family val="2"/>
        <scheme val="minor"/>
      </rPr>
      <t xml:space="preserve">Vi hadde scrum-møte, der vi viste fram arbeid fra forrige gang. 
</t>
    </r>
    <r>
      <rPr>
        <b/>
        <sz val="12"/>
        <color theme="1"/>
        <rFont val="Calibri"/>
        <family val="2"/>
        <scheme val="minor"/>
      </rPr>
      <t xml:space="preserve">Lørdag: </t>
    </r>
    <r>
      <rPr>
        <sz val="12"/>
        <color theme="1"/>
        <rFont val="Calibri"/>
        <family val="2"/>
        <scheme val="minor"/>
      </rPr>
      <t>Jobbet litt før dagens scrum-møte. Hadde egentlig tenkt å starte på en ny aktivitet, men fant ut at for at forhåndsvisning av ett emne som er endret på skulle fungere, måtte det endel endringer til. Tokk endel notater av det jeg så måtte endres på. Vi hadde deretter Scrum-møte og det ble vist frem litt fremgang siden sist.</t>
    </r>
    <r>
      <rPr>
        <b/>
        <sz val="12"/>
        <color theme="1"/>
        <rFont val="Calibri"/>
        <family val="2"/>
        <scheme val="minor"/>
      </rPr>
      <t xml:space="preserve">
Søndag: </t>
    </r>
    <r>
      <rPr>
        <sz val="12"/>
        <color theme="1"/>
        <rFont val="Calibri"/>
        <family val="2"/>
        <scheme val="minor"/>
      </rPr>
      <t>Fortsatte arbeidet med å få forhåndsvisning til å fungere. Fant ut at jeg var nødt å bruke array deklarasjon på elementer i twig filen, deretter måtte flere endringer gjøres i PHP og JavaScript.  Resultatet av dette ble meget fint og jeg ble nesten ferdig.
Har ikke fått jobbet like mye som jeg hadde tenkt denne uken, dette var pga. jeg først kom i gang helt mot slutten av uka.</t>
    </r>
  </si>
  <si>
    <r>
      <t xml:space="preserve">Utvikling: </t>
    </r>
    <r>
      <rPr>
        <sz val="12"/>
        <color theme="1"/>
        <rFont val="Calibri"/>
        <family val="2"/>
        <scheme val="minor"/>
      </rPr>
      <t>Måtte bla. endre deklarasjon på elementer.</t>
    </r>
  </si>
  <si>
    <r>
      <rPr>
        <b/>
        <sz val="12"/>
        <color theme="1"/>
        <rFont val="Calibri"/>
        <family val="2"/>
        <scheme val="minor"/>
      </rPr>
      <t xml:space="preserve">Administrativt: </t>
    </r>
    <r>
      <rPr>
        <sz val="12"/>
        <color theme="1"/>
        <rFont val="Calibri"/>
        <family val="2"/>
        <scheme val="minor"/>
      </rPr>
      <t>Scrum-meeting</t>
    </r>
  </si>
  <si>
    <r>
      <t xml:space="preserve">Utvikling: </t>
    </r>
    <r>
      <rPr>
        <sz val="12"/>
        <color theme="1"/>
        <rFont val="Calibri"/>
        <family val="2"/>
        <scheme val="minor"/>
      </rPr>
      <t>Ryddet opp i funksjonalitet</t>
    </r>
  </si>
  <si>
    <r>
      <rPr>
        <b/>
        <sz val="12"/>
        <color theme="1"/>
        <rFont val="Calibri"/>
        <family val="2"/>
        <scheme val="minor"/>
      </rPr>
      <t>Utvikling:</t>
    </r>
    <r>
      <rPr>
        <sz val="12"/>
        <color theme="1"/>
        <rFont val="Calibri"/>
        <family val="2"/>
        <scheme val="minor"/>
      </rPr>
      <t xml:space="preserve"> Gjorde ferdig forhåndsvisning av endret emne. Måtte endre mye på opretteEmne for at alt skulle fungere med samme kode.</t>
    </r>
  </si>
  <si>
    <r>
      <rPr>
        <b/>
        <sz val="12"/>
        <color theme="1"/>
        <rFont val="Calibri"/>
        <family val="2"/>
        <scheme val="minor"/>
      </rPr>
      <t>Utvikling:</t>
    </r>
    <r>
      <rPr>
        <sz val="12"/>
        <color theme="1"/>
        <rFont val="Calibri"/>
        <family val="2"/>
        <scheme val="minor"/>
      </rPr>
      <t xml:space="preserve"> Forhåndsvisning av endret emne.</t>
    </r>
  </si>
  <si>
    <r>
      <rPr>
        <b/>
        <sz val="12"/>
        <color theme="1"/>
        <rFont val="Calibri"/>
        <family val="2"/>
        <scheme val="minor"/>
      </rPr>
      <t xml:space="preserve">Utvikling: </t>
    </r>
    <r>
      <rPr>
        <sz val="12"/>
        <color theme="1"/>
        <rFont val="Calibri"/>
        <family val="2"/>
        <scheme val="minor"/>
      </rPr>
      <t>Pushet endringer til GIT.</t>
    </r>
  </si>
  <si>
    <t>28.1</t>
  </si>
  <si>
    <r>
      <rPr>
        <b/>
        <sz val="12"/>
        <color theme="1"/>
        <rFont val="Calibri"/>
        <family val="2"/>
        <scheme val="minor"/>
      </rPr>
      <t xml:space="preserve">Utvikling: </t>
    </r>
    <r>
      <rPr>
        <sz val="12"/>
        <color theme="1"/>
        <rFont val="Calibri"/>
        <family val="2"/>
        <scheme val="minor"/>
      </rPr>
      <t>PHP, spørringer for ny uthenting av statistikk.</t>
    </r>
  </si>
  <si>
    <r>
      <t xml:space="preserve">Logg/Oppgaver: </t>
    </r>
    <r>
      <rPr>
        <sz val="12"/>
        <color theme="1"/>
        <rFont val="Calibri"/>
        <family val="2"/>
        <scheme val="minor"/>
      </rPr>
      <t>Timeliste.</t>
    </r>
  </si>
  <si>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uke 16:</t>
    </r>
    <r>
      <rPr>
        <sz val="12"/>
        <color theme="1"/>
        <rFont val="Calibri"/>
        <family val="2"/>
        <scheme val="minor"/>
      </rPr>
      <t xml:space="preserve"> Adrian-Alexandru Chirita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 xml:space="preserve">Mandag: </t>
    </r>
    <r>
      <rPr>
        <sz val="12"/>
        <color theme="1"/>
        <rFont val="Calibri"/>
        <family val="2"/>
        <scheme val="minor"/>
      </rPr>
      <t xml:space="preserve">Ble ferdig med å tilpasse forhåndsvisning slik at det fungerte både for opretteEmne.twig og endringAvEmne.twig. Senere på dagen hadde vi scrum møte, der noen viste frem hva de hadde gjort siden sist. Jeg forklarte at forhåndssvisning var ferdig etter litt tilpassing av kode i de aktuelle filene. Etter møtet fikk jeg pushet endringene, det ble veldig mye å merge pga. det var ett stort antall filer. 
</t>
    </r>
    <r>
      <rPr>
        <b/>
        <sz val="12"/>
        <color theme="1"/>
        <rFont val="Calibri"/>
        <family val="2"/>
        <scheme val="minor"/>
      </rPr>
      <t xml:space="preserve">Søndag: </t>
    </r>
    <r>
      <rPr>
        <sz val="12"/>
        <color theme="1"/>
        <rFont val="Calibri"/>
        <family val="2"/>
        <scheme val="minor"/>
      </rPr>
      <t xml:space="preserve">Har startet på en ny aktivitet som handler om at vi skal kunne hente interessant statistikk fra systemet vårt. Begynte å lage spørringer og fikk gjort ferdig de enkle funksjonene som feks. hente ut hvor mange emner systemet har.
</t>
    </r>
  </si>
  <si>
    <t>30.3</t>
  </si>
  <si>
    <t>7.1</t>
  </si>
  <si>
    <r>
      <t xml:space="preserve">Administrativt: </t>
    </r>
    <r>
      <rPr>
        <sz val="12"/>
        <color theme="1"/>
        <rFont val="Calibri"/>
        <family val="2"/>
        <scheme val="minor"/>
      </rPr>
      <t>Scrum-meeting</t>
    </r>
  </si>
  <si>
    <r>
      <t xml:space="preserve">Administrativt: </t>
    </r>
    <r>
      <rPr>
        <sz val="12"/>
        <color theme="1"/>
        <rFont val="Calibri"/>
        <family val="2"/>
        <scheme val="minor"/>
      </rPr>
      <t>Sprint Review</t>
    </r>
  </si>
  <si>
    <r>
      <rPr>
        <b/>
        <sz val="12"/>
        <color theme="1"/>
        <rFont val="Calibri"/>
        <family val="2"/>
        <scheme val="minor"/>
      </rPr>
      <t>Logg/Oppgaver:</t>
    </r>
    <r>
      <rPr>
        <sz val="12"/>
        <color theme="1"/>
        <rFont val="Calibri"/>
        <family val="2"/>
        <scheme val="minor"/>
      </rPr>
      <t xml:space="preserve"> Litt planlegging ifht. Tidspunkt for sluttpresentasjon.</t>
    </r>
  </si>
  <si>
    <r>
      <t xml:space="preserve">Logg/Oppgaver: </t>
    </r>
    <r>
      <rPr>
        <sz val="12"/>
        <color theme="1"/>
        <rFont val="Calibri"/>
        <family val="2"/>
        <scheme val="minor"/>
      </rPr>
      <t>Forberedelse</t>
    </r>
    <r>
      <rPr>
        <b/>
        <sz val="12"/>
        <color theme="1"/>
        <rFont val="Calibri"/>
        <family val="2"/>
        <scheme val="minor"/>
      </rPr>
      <t xml:space="preserve"> </t>
    </r>
    <r>
      <rPr>
        <sz val="12"/>
        <color theme="1"/>
        <rFont val="Calibri"/>
        <family val="2"/>
        <scheme val="minor"/>
      </rPr>
      <t>Sprint Review.</t>
    </r>
  </si>
  <si>
    <r>
      <t xml:space="preserve">Logg/Oppgaver: </t>
    </r>
    <r>
      <rPr>
        <sz val="12"/>
        <color theme="1"/>
        <rFont val="Calibri"/>
        <family val="2"/>
        <scheme val="minor"/>
      </rPr>
      <t>Planning poker og avhengighetstabell</t>
    </r>
  </si>
  <si>
    <r>
      <rPr>
        <b/>
        <sz val="12"/>
        <color theme="1"/>
        <rFont val="Calibri"/>
        <family val="2"/>
        <scheme val="minor"/>
      </rPr>
      <t xml:space="preserve">Utvikling: </t>
    </r>
    <r>
      <rPr>
        <sz val="12"/>
        <color theme="1"/>
        <rFont val="Calibri"/>
        <family val="2"/>
        <scheme val="minor"/>
      </rPr>
      <t>PHP</t>
    </r>
  </si>
  <si>
    <r>
      <t xml:space="preserve">Utvikling: </t>
    </r>
    <r>
      <rPr>
        <sz val="12"/>
        <color theme="1"/>
        <rFont val="Calibri"/>
        <family val="2"/>
        <scheme val="minor"/>
      </rPr>
      <t>JavaScript</t>
    </r>
  </si>
  <si>
    <r>
      <rPr>
        <b/>
        <sz val="12"/>
        <color theme="1"/>
        <rFont val="Calibri"/>
        <family val="2"/>
        <scheme val="minor"/>
      </rPr>
      <t xml:space="preserve">Utvikling: </t>
    </r>
    <r>
      <rPr>
        <sz val="12"/>
        <color theme="1"/>
        <rFont val="Calibri"/>
        <family val="2"/>
        <scheme val="minor"/>
      </rPr>
      <t>JavaScript og PHP</t>
    </r>
  </si>
  <si>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Uke 17:</t>
    </r>
    <r>
      <rPr>
        <sz val="12"/>
        <color theme="1"/>
        <rFont val="Calibri"/>
        <family val="2"/>
        <scheme val="minor"/>
      </rPr>
      <t xml:space="preserve"> Adrian-Alexandru Chirita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 xml:space="preserve">Nye roller:
SCRUM-master Uke 18: </t>
    </r>
    <r>
      <rPr>
        <sz val="12"/>
        <color theme="1"/>
        <rFont val="Calibri"/>
        <family val="2"/>
        <scheme val="minor"/>
      </rPr>
      <t xml:space="preserve">Vegard Simonsen
</t>
    </r>
    <r>
      <rPr>
        <b/>
        <sz val="12"/>
        <color theme="1"/>
        <rFont val="Calibri"/>
        <family val="2"/>
        <scheme val="minor"/>
      </rPr>
      <t>Mandag</t>
    </r>
    <r>
      <rPr>
        <sz val="12"/>
        <color theme="1"/>
        <rFont val="Calibri"/>
        <family val="2"/>
        <scheme val="minor"/>
      </rPr>
      <t xml:space="preserve">: Hadde ett kjapt møte med litt forberedelse for Sprint-review, testing av mikrofoner og lignende. Deretter kjørte vi gjennom Sprint-review, og det gikk ganske bra. Vi har definitivt blitt bedre på slikt. Etter reviewen var ferdig holdt vi planning-poker for å få en bedre oversikt over tid mtp. sprint 5, samt lagde avhengighetstabell.
</t>
    </r>
    <r>
      <rPr>
        <b/>
        <sz val="12"/>
        <color theme="1"/>
        <rFont val="Calibri"/>
        <family val="2"/>
        <scheme val="minor"/>
      </rPr>
      <t>Onsdag:</t>
    </r>
    <r>
      <rPr>
        <sz val="12"/>
        <color theme="1"/>
        <rFont val="Calibri"/>
        <family val="2"/>
        <scheme val="minor"/>
      </rPr>
      <t xml:space="preserve"> Med tanke på aktiviteten om statiskk/data over systemet opprettet jeg en side for uthenting av skjult informasjon for ett emne. Men skjult informasjon mener jeg variabler som kun er tilgjengelig dersom man logger seg inn i databasen. Tanken var at informasjonen skulle bli tilgjengelig for Systemadmin. Begynte også å skrive kode for to nye variabler i Emne tabellen, HitCount(antall visninger) og EditCount(antall endringer).
</t>
    </r>
    <r>
      <rPr>
        <b/>
        <sz val="12"/>
        <color theme="1"/>
        <rFont val="Calibri"/>
        <family val="2"/>
        <scheme val="minor"/>
      </rPr>
      <t xml:space="preserve">Torsdag: </t>
    </r>
    <r>
      <rPr>
        <sz val="12"/>
        <color theme="1"/>
        <rFont val="Calibri"/>
        <family val="2"/>
        <scheme val="minor"/>
      </rPr>
      <t xml:space="preserve">Vi hadde Scrum møte og viste frem og diskuterte hva som har blitt gjort. Etter møtet gjorde jeg ferdig funksjonen jeg var startet på for visning av informasjon. Måtte endre endel av koden jeg hadde skrevet for de to nye variablene, men det fungerte akkuart slik vi ønsket tilslutt.
</t>
    </r>
    <r>
      <rPr>
        <b/>
        <sz val="12"/>
        <color theme="1"/>
        <rFont val="Calibri"/>
        <family val="2"/>
        <scheme val="minor"/>
      </rPr>
      <t xml:space="preserve">Lørdag: </t>
    </r>
    <r>
      <rPr>
        <sz val="12"/>
        <color theme="1"/>
        <rFont val="Calibri"/>
        <family val="2"/>
        <scheme val="minor"/>
      </rPr>
      <t xml:space="preserve">Vi hadde Scrum møte og de som hadde gjort noe viste frem fremgang siden sist. Etter møtet diskuterte vi endel for å finne frem til når det passet for oss å ha sluttpresentasjon. Det var litt vanskelig å komme til enighet da vi alle har forskjellige eksamener osv. i andre fag, så vi avgjorde dette med en avstemning.
</t>
    </r>
  </si>
  <si>
    <r>
      <t xml:space="preserve">Utvikling: </t>
    </r>
    <r>
      <rPr>
        <sz val="12"/>
        <color theme="1"/>
        <rFont val="Calibri"/>
        <family val="2"/>
        <scheme val="minor"/>
      </rPr>
      <t>Implementerte AnbefaltForkunnskapsKrav</t>
    </r>
    <r>
      <rPr>
        <b/>
        <sz val="12"/>
        <color theme="1"/>
        <rFont val="Calibri"/>
        <family val="2"/>
        <scheme val="minor"/>
      </rPr>
      <t xml:space="preserve"> </t>
    </r>
    <r>
      <rPr>
        <sz val="12"/>
        <color theme="1"/>
        <rFont val="Calibri"/>
        <family val="2"/>
        <scheme val="minor"/>
      </rPr>
      <t>i updateEmne.</t>
    </r>
  </si>
  <si>
    <r>
      <t xml:space="preserve">Utvikling: </t>
    </r>
    <r>
      <rPr>
        <sz val="12"/>
        <color theme="1"/>
        <rFont val="Calibri"/>
        <family val="2"/>
        <scheme val="minor"/>
      </rPr>
      <t>Implementerte ForkunnskapsKrav i updateEmne.</t>
    </r>
  </si>
  <si>
    <r>
      <rPr>
        <b/>
        <sz val="12"/>
        <color theme="1"/>
        <rFont val="Calibri"/>
        <family val="2"/>
        <scheme val="minor"/>
      </rPr>
      <t>Utvikling:</t>
    </r>
    <r>
      <rPr>
        <sz val="12"/>
        <color theme="1"/>
        <rFont val="Calibri"/>
        <family val="2"/>
        <scheme val="minor"/>
      </rPr>
      <t xml:space="preserve"> Brukertyper i visEmne.php</t>
    </r>
  </si>
  <si>
    <r>
      <rPr>
        <b/>
        <sz val="12"/>
        <color theme="1"/>
        <rFont val="Calibri"/>
        <family val="2"/>
        <scheme val="minor"/>
      </rPr>
      <t>Utvikling:</t>
    </r>
    <r>
      <rPr>
        <sz val="12"/>
        <color theme="1"/>
        <rFont val="Calibri"/>
        <family val="2"/>
        <scheme val="minor"/>
      </rPr>
      <t xml:space="preserve"> Implementerte Ansvarlig og Ansvarlig_has_Emne i opprettelsen av ett emne.</t>
    </r>
  </si>
  <si>
    <r>
      <rPr>
        <b/>
        <sz val="12"/>
        <color theme="1"/>
        <rFont val="Calibri"/>
        <family val="2"/>
        <scheme val="minor"/>
      </rPr>
      <t xml:space="preserve">Utvikling: </t>
    </r>
    <r>
      <rPr>
        <sz val="12"/>
        <color theme="1"/>
        <rFont val="Calibri"/>
        <family val="2"/>
        <scheme val="minor"/>
      </rPr>
      <t>Fortsatte arbeid med Ansvarlig</t>
    </r>
  </si>
  <si>
    <r>
      <rPr>
        <b/>
        <sz val="12"/>
        <color theme="1"/>
        <rFont val="Calibri"/>
        <family val="2"/>
        <scheme val="minor"/>
      </rPr>
      <t>Utvikling:</t>
    </r>
    <r>
      <rPr>
        <sz val="12"/>
        <color theme="1"/>
        <rFont val="Calibri"/>
        <family val="2"/>
        <scheme val="minor"/>
      </rPr>
      <t xml:space="preserve"> Implementering av  StudieRetning i opprettelse av emne.</t>
    </r>
  </si>
  <si>
    <r>
      <rPr>
        <b/>
        <sz val="12"/>
        <color theme="1"/>
        <rFont val="Calibri"/>
        <family val="2"/>
        <scheme val="minor"/>
      </rPr>
      <t>Utvikling:</t>
    </r>
    <r>
      <rPr>
        <sz val="12"/>
        <color theme="1"/>
        <rFont val="Calibri"/>
        <family val="2"/>
        <scheme val="minor"/>
      </rPr>
      <t xml:space="preserve"> Fortsettelse StudieRetning.</t>
    </r>
  </si>
  <si>
    <r>
      <rPr>
        <b/>
        <sz val="12"/>
        <color theme="1"/>
        <rFont val="Calibri"/>
        <family val="2"/>
        <scheme val="minor"/>
      </rPr>
      <t>Utvikling:</t>
    </r>
    <r>
      <rPr>
        <sz val="12"/>
        <color theme="1"/>
        <rFont val="Calibri"/>
        <family val="2"/>
        <scheme val="minor"/>
      </rPr>
      <t xml:space="preserve"> Gjorde ferdig studieretning i opprette emne.</t>
    </r>
  </si>
  <si>
    <r>
      <rPr>
        <b/>
        <sz val="12"/>
        <color theme="1"/>
        <rFont val="Calibri"/>
        <family val="2"/>
        <scheme val="minor"/>
      </rPr>
      <t>Utvikling:</t>
    </r>
    <r>
      <rPr>
        <sz val="12"/>
        <color theme="1"/>
        <rFont val="Calibri"/>
        <family val="2"/>
        <scheme val="minor"/>
      </rPr>
      <t xml:space="preserve"> Implementerte studieretning i endring av emne også</t>
    </r>
  </si>
  <si>
    <r>
      <rPr>
        <b/>
        <sz val="12"/>
        <color theme="1"/>
        <rFont val="Calibri"/>
        <family val="2"/>
        <scheme val="minor"/>
      </rPr>
      <t>Utvikling:</t>
    </r>
    <r>
      <rPr>
        <sz val="12"/>
        <color theme="1"/>
        <rFont val="Calibri"/>
        <family val="2"/>
        <scheme val="minor"/>
      </rPr>
      <t xml:space="preserve"> Implementerte studieretning i forhåndsvisning av emne.</t>
    </r>
  </si>
  <si>
    <r>
      <rPr>
        <b/>
        <sz val="12"/>
        <color theme="1"/>
        <rFont val="Calibri"/>
        <family val="2"/>
        <scheme val="minor"/>
      </rPr>
      <t>Logg/Oppgaver:</t>
    </r>
    <r>
      <rPr>
        <sz val="12"/>
        <color theme="1"/>
        <rFont val="Calibri"/>
        <family val="2"/>
        <scheme val="minor"/>
      </rPr>
      <t xml:space="preserve"> Timeliste denne uken, samt forrige.</t>
    </r>
  </si>
  <si>
    <r>
      <rPr>
        <b/>
        <sz val="12"/>
        <color theme="1"/>
        <rFont val="Calibri"/>
        <family val="2"/>
        <scheme val="minor"/>
      </rPr>
      <t>Gjennomsnittlig arbeidstimer i prosjektet denne uken:  16:42
Roller:</t>
    </r>
    <r>
      <rPr>
        <sz val="12"/>
        <color theme="1"/>
        <rFont val="Calibri"/>
        <family val="2"/>
        <scheme val="minor"/>
      </rPr>
      <t xml:space="preserve">
</t>
    </r>
    <r>
      <rPr>
        <b/>
        <sz val="12"/>
        <color theme="1"/>
        <rFont val="Calibri"/>
        <family val="2"/>
        <scheme val="minor"/>
      </rPr>
      <t>SCRUM-master Uke 18:</t>
    </r>
    <r>
      <rPr>
        <sz val="12"/>
        <color theme="1"/>
        <rFont val="Calibri"/>
        <family val="2"/>
        <scheme val="minor"/>
      </rPr>
      <t xml:space="preserve"> Vegard Simonsen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Mandag</t>
    </r>
    <r>
      <rPr>
        <sz val="12"/>
        <color theme="1"/>
        <rFont val="Calibri"/>
        <family val="2"/>
        <scheme val="minor"/>
      </rPr>
      <t xml:space="preserve">: Scrum møte der de som hadde gjort viste frem.
</t>
    </r>
    <r>
      <rPr>
        <b/>
        <sz val="12"/>
        <color theme="1"/>
        <rFont val="Calibri"/>
        <family val="2"/>
        <scheme val="minor"/>
      </rPr>
      <t>Onsdag</t>
    </r>
    <r>
      <rPr>
        <sz val="12"/>
        <color theme="1"/>
        <rFont val="Calibri"/>
        <family val="2"/>
        <scheme val="minor"/>
      </rPr>
      <t xml:space="preserve">: Startet med å endre design i endringAvEmne.twig, siden det ikke var så veldig pent. Etterpå implementerte jeg spørring i updateEmne for å oppdatere forkunnskapskravene til ett emne.
</t>
    </r>
    <r>
      <rPr>
        <b/>
        <sz val="12"/>
        <color theme="1"/>
        <rFont val="Calibri"/>
        <family val="2"/>
        <scheme val="minor"/>
      </rPr>
      <t>Torsdag:</t>
    </r>
    <r>
      <rPr>
        <sz val="12"/>
        <color theme="1"/>
        <rFont val="Calibri"/>
        <family val="2"/>
        <scheme val="minor"/>
      </rPr>
      <t xml:space="preserve"> Vi hadde ett scrum-møte, der vi viste frem arbeid siden sist. Etter at vi hadde vist fram hva vi hadde gjort, diskuterte vi en del om hvordan vi skulle jobbe fremover siden det er så liten tid igjen av prosjektet. Vi fant ut at enkelte oppgaver kanskje måtte settes litt på vent, slik at vi kunne fokusere på de viktige elementene som brukertyper og godkjenningsprosessen av ett emne. Etter møtet implementerte jeg kode for å oppdatere anbefaltforbrukskrav i updateEmne, dette gikk kjapt da det i hovedsak var veldig likt forkunnskapskrav. Jeg endte dagen med å sette brukertyper litt i bruk, i visEmne siden vår der vi presenterer ett emne. Man får nå kun opp diverse knapper dersom man har de rette rettighetene.
</t>
    </r>
    <r>
      <rPr>
        <b/>
        <sz val="12"/>
        <color theme="1"/>
        <rFont val="Calibri"/>
        <family val="2"/>
        <scheme val="minor"/>
      </rPr>
      <t>Fredag</t>
    </r>
    <r>
      <rPr>
        <sz val="12"/>
        <color theme="1"/>
        <rFont val="Calibri"/>
        <family val="2"/>
        <scheme val="minor"/>
      </rPr>
      <t xml:space="preserve">: Implementerte tabellene Ansvarlig og Ansvarlig_has_Emne i opprettingen av ett emne. Var egentlig ganske tricky å få dette til å fungere da ett emne i utgangspunktet skal kunne ha flere en en person som emneansvarlig. Foreløbig kan kun en person være Emneansvarlig, må nok endres senere dersom vi har tid igjen. Nå knyttes ivertfall ett emne som opprettes til en ansvarlig person. Etter dette var på plass gjorde jeg slik at kun emneansvarlig for ett emne har muligheten til å endre på det.
</t>
    </r>
    <r>
      <rPr>
        <b/>
        <sz val="12"/>
        <color theme="1"/>
        <rFont val="Calibri"/>
        <family val="2"/>
        <scheme val="minor"/>
      </rPr>
      <t xml:space="preserve">Lørdag: </t>
    </r>
    <r>
      <rPr>
        <sz val="12"/>
        <color theme="1"/>
        <rFont val="Calibri"/>
        <family val="2"/>
        <scheme val="minor"/>
      </rPr>
      <t xml:space="preserve">Vi hadde scrum møte og vi viste frem progresjon siden sist. Etter møtet satte jeg igang arbeid med å implementere valg av StudieRetning i opprettelse av ett emne. Først brukte jeg en enkel dropdown meny hvor bruker kunne velge Studieretning, men med tanke på at det kommer til å være utrolig mange studieretninger å velge mellom måtte jeg implementere en søkefunksjon i dropdown menyen. Prøvde meg frem med ajax-search uten at jeg fikk det til å fungere helt slik jeg hadde sett for meg. Endte opp med å bruke en datalist istede, og det fungere greit. Det er muligens slik at det ikke fungerer bra på ulike nettlesere, må teste dette. Men dersom vi får tid blir vi nok å bruke ajax-search her.
</t>
    </r>
    <r>
      <rPr>
        <b/>
        <sz val="12"/>
        <color theme="1"/>
        <rFont val="Calibri"/>
        <family val="2"/>
        <scheme val="minor"/>
      </rPr>
      <t>Søndag:</t>
    </r>
    <r>
      <rPr>
        <sz val="12"/>
        <color theme="1"/>
        <rFont val="Calibri"/>
        <family val="2"/>
        <scheme val="minor"/>
      </rPr>
      <t xml:space="preserve"> Fortsatte arbeidet med StudieRetning. Brukte JavaScript og gjorde slik at bruker kun kan sende inn data dersom det ligger i datalisten. Med det var jeg stort sett ferdig, fikk implementert dette i endringAvEmne også, samt å vise variablene i forhåndsvisningen. Tilslutt har jeg gjort timelisten klar til å innleveres, måtte levere for forrige uke også.</t>
    </r>
  </si>
  <si>
    <r>
      <t xml:space="preserve">Utvikling: </t>
    </r>
    <r>
      <rPr>
        <sz val="12"/>
        <color theme="1"/>
        <rFont val="Calibri"/>
        <family val="2"/>
        <scheme val="minor"/>
      </rPr>
      <t>Endret design i  endringAvEmne.</t>
    </r>
  </si>
  <si>
    <t>8.2</t>
  </si>
  <si>
    <r>
      <rPr>
        <b/>
        <sz val="12"/>
        <color theme="1"/>
        <rFont val="Calibri"/>
        <family val="2"/>
        <scheme val="minor"/>
      </rPr>
      <t>Logg/Oppgaver:</t>
    </r>
    <r>
      <rPr>
        <sz val="12"/>
        <color theme="1"/>
        <rFont val="Calibri"/>
        <family val="2"/>
        <scheme val="minor"/>
      </rPr>
      <t xml:space="preserve"> Planlegging</t>
    </r>
  </si>
  <si>
    <r>
      <t xml:space="preserve">Utvikling: </t>
    </r>
    <r>
      <rPr>
        <sz val="12"/>
        <color theme="1"/>
        <rFont val="Calibri"/>
        <family val="2"/>
        <scheme val="minor"/>
      </rPr>
      <t>Studieretning</t>
    </r>
  </si>
  <si>
    <r>
      <rPr>
        <b/>
        <sz val="12"/>
        <color theme="1"/>
        <rFont val="Calibri"/>
        <family val="2"/>
        <scheme val="minor"/>
      </rPr>
      <t>Utvikling:</t>
    </r>
    <r>
      <rPr>
        <sz val="12"/>
        <color theme="1"/>
        <rFont val="Calibri"/>
        <family val="2"/>
        <scheme val="minor"/>
      </rPr>
      <t xml:space="preserve"> Arbeidskrav, JavaScript</t>
    </r>
  </si>
  <si>
    <r>
      <rPr>
        <b/>
        <sz val="12"/>
        <color theme="1"/>
        <rFont val="Calibri"/>
        <family val="2"/>
        <scheme val="minor"/>
      </rPr>
      <t>Utvikling:</t>
    </r>
    <r>
      <rPr>
        <sz val="12"/>
        <color theme="1"/>
        <rFont val="Calibri"/>
        <family val="2"/>
        <scheme val="minor"/>
      </rPr>
      <t xml:space="preserve"> Arbeidskrav</t>
    </r>
  </si>
  <si>
    <r>
      <rPr>
        <b/>
        <sz val="12"/>
        <color theme="1"/>
        <rFont val="Calibri"/>
        <family val="2"/>
        <scheme val="minor"/>
      </rPr>
      <t>Utvikling</t>
    </r>
    <r>
      <rPr>
        <sz val="12"/>
        <color theme="1"/>
        <rFont val="Calibri"/>
        <family val="2"/>
        <scheme val="minor"/>
      </rPr>
      <t>: Arbeidskrav, bruker kan nå legge til flere arbeidskrav.</t>
    </r>
  </si>
  <si>
    <r>
      <rPr>
        <b/>
        <sz val="12"/>
        <color theme="1"/>
        <rFont val="Calibri"/>
        <family val="2"/>
        <scheme val="minor"/>
      </rPr>
      <t xml:space="preserve">Utvikling: </t>
    </r>
    <r>
      <rPr>
        <sz val="12"/>
        <color theme="1"/>
        <rFont val="Calibri"/>
        <family val="2"/>
        <scheme val="minor"/>
      </rPr>
      <t>Arbeidskrav, forhåndsvisning.</t>
    </r>
  </si>
  <si>
    <r>
      <rPr>
        <b/>
        <sz val="12"/>
        <color theme="1"/>
        <rFont val="Calibri"/>
        <family val="2"/>
        <scheme val="minor"/>
      </rPr>
      <t>Utvikling:</t>
    </r>
    <r>
      <rPr>
        <sz val="12"/>
        <color theme="1"/>
        <rFont val="Calibri"/>
        <family val="2"/>
        <scheme val="minor"/>
      </rPr>
      <t xml:space="preserve"> Arbeidskrav, ferdig med forhåndsvisning.</t>
    </r>
  </si>
  <si>
    <r>
      <rPr>
        <b/>
        <sz val="12"/>
        <color theme="1"/>
        <rFont val="Calibri"/>
        <family val="2"/>
        <scheme val="minor"/>
      </rPr>
      <t>Logg/Oppgaver:</t>
    </r>
    <r>
      <rPr>
        <sz val="12"/>
        <color theme="1"/>
        <rFont val="Calibri"/>
        <family val="2"/>
        <scheme val="minor"/>
      </rPr>
      <t xml:space="preserve"> Sakspapirer Sprint 5 Review &amp; Planlegging.</t>
    </r>
  </si>
  <si>
    <r>
      <rPr>
        <b/>
        <sz val="12"/>
        <color theme="1"/>
        <rFont val="Calibri"/>
        <family val="2"/>
        <scheme val="minor"/>
      </rPr>
      <t>Utvikling:</t>
    </r>
    <r>
      <rPr>
        <sz val="12"/>
        <color theme="1"/>
        <rFont val="Calibri"/>
        <family val="2"/>
        <scheme val="minor"/>
      </rPr>
      <t xml:space="preserve"> Arbeidskrav, fått lagt til fjerne knapp.</t>
    </r>
  </si>
  <si>
    <r>
      <rPr>
        <b/>
        <sz val="12"/>
        <color theme="1"/>
        <rFont val="Calibri"/>
        <family val="2"/>
        <scheme val="minor"/>
      </rPr>
      <t>Utvikling:</t>
    </r>
    <r>
      <rPr>
        <sz val="12"/>
        <color theme="1"/>
        <rFont val="Calibri"/>
        <family val="2"/>
        <scheme val="minor"/>
      </rPr>
      <t xml:space="preserve"> Arbeidskrav i endringAvEmne.twig.</t>
    </r>
  </si>
  <si>
    <r>
      <rPr>
        <b/>
        <sz val="12"/>
        <color theme="1"/>
        <rFont val="Calibri"/>
        <family val="2"/>
        <scheme val="minor"/>
      </rPr>
      <t>Utvikling:</t>
    </r>
    <r>
      <rPr>
        <sz val="12"/>
        <color theme="1"/>
        <rFont val="Calibri"/>
        <family val="2"/>
        <scheme val="minor"/>
      </rPr>
      <t xml:space="preserve"> Arbeidskrav, ferdig i endringAvEmne.twig.</t>
    </r>
  </si>
  <si>
    <r>
      <rPr>
        <b/>
        <sz val="12"/>
        <color theme="1"/>
        <rFont val="Calibri"/>
        <family val="2"/>
        <scheme val="minor"/>
      </rPr>
      <t>Utvikling:</t>
    </r>
    <r>
      <rPr>
        <sz val="12"/>
        <color theme="1"/>
        <rFont val="Calibri"/>
        <family val="2"/>
        <scheme val="minor"/>
      </rPr>
      <t xml:space="preserve"> Arbeidskrav, PHP.</t>
    </r>
  </si>
  <si>
    <r>
      <rPr>
        <b/>
        <sz val="12"/>
        <color theme="1"/>
        <rFont val="Calibri"/>
        <family val="2"/>
        <scheme val="minor"/>
      </rPr>
      <t>Utvikling:</t>
    </r>
    <r>
      <rPr>
        <sz val="12"/>
        <color theme="1"/>
        <rFont val="Calibri"/>
        <family val="2"/>
        <scheme val="minor"/>
      </rPr>
      <t xml:space="preserve"> Arbeidskrav, ble ferdig.</t>
    </r>
  </si>
  <si>
    <r>
      <rPr>
        <b/>
        <sz val="12"/>
        <color theme="1"/>
        <rFont val="Calibri"/>
        <family val="2"/>
        <scheme val="minor"/>
      </rPr>
      <t>Utvikling:</t>
    </r>
    <r>
      <rPr>
        <sz val="12"/>
        <color theme="1"/>
        <rFont val="Calibri"/>
        <family val="2"/>
        <scheme val="minor"/>
      </rPr>
      <t xml:space="preserve"> Design og opprydding i kode.</t>
    </r>
  </si>
  <si>
    <r>
      <t>Administrativt:</t>
    </r>
    <r>
      <rPr>
        <sz val="12"/>
        <color theme="1"/>
        <rFont val="Calibri"/>
        <family val="2"/>
        <scheme val="minor"/>
      </rPr>
      <t xml:space="preserve"> Møte.</t>
    </r>
  </si>
  <si>
    <r>
      <t>Utvikling:</t>
    </r>
    <r>
      <rPr>
        <sz val="12"/>
        <color theme="1"/>
        <rFont val="Calibri"/>
        <family val="2"/>
        <scheme val="minor"/>
      </rPr>
      <t xml:space="preserve"> Merging.</t>
    </r>
  </si>
  <si>
    <r>
      <rPr>
        <b/>
        <sz val="12"/>
        <color theme="1"/>
        <rFont val="Calibri"/>
        <family val="2"/>
        <scheme val="minor"/>
      </rPr>
      <t>Utvikling:</t>
    </r>
    <r>
      <rPr>
        <sz val="12"/>
        <color theme="1"/>
        <rFont val="Calibri"/>
        <family val="2"/>
        <scheme val="minor"/>
      </rPr>
      <t xml:space="preserve"> Opprydding av kode i DatabaseQuery.php.</t>
    </r>
  </si>
  <si>
    <r>
      <t xml:space="preserve">Logg/Oppgaver: </t>
    </r>
    <r>
      <rPr>
        <sz val="12"/>
        <color theme="1"/>
        <rFont val="Calibri"/>
        <family val="2"/>
        <scheme val="minor"/>
      </rPr>
      <t>Gruppemøte, med hovedfokus på oppdatering av Product Backlog &amp; Sprint 5 Backlog.</t>
    </r>
  </si>
  <si>
    <t>38.1</t>
  </si>
  <si>
    <t>Timeliste</t>
  </si>
  <si>
    <r>
      <t>Utvikling:</t>
    </r>
    <r>
      <rPr>
        <sz val="12"/>
        <color theme="1"/>
        <rFont val="Calibri"/>
        <family val="2"/>
        <scheme val="minor"/>
      </rPr>
      <t xml:space="preserve"> Design oppretteEmne &amp; endringAvEmne</t>
    </r>
  </si>
  <si>
    <r>
      <t>Logg/Oppgaver:</t>
    </r>
    <r>
      <rPr>
        <sz val="12"/>
        <color theme="1"/>
        <rFont val="Calibri"/>
        <family val="2"/>
        <scheme val="minor"/>
      </rPr>
      <t xml:space="preserve"> Innlevering til ikveld</t>
    </r>
  </si>
  <si>
    <r>
      <rPr>
        <b/>
        <sz val="12"/>
        <color theme="1"/>
        <rFont val="Calibri"/>
        <family val="2"/>
        <scheme val="minor"/>
      </rPr>
      <t xml:space="preserve">Gjennomsnittlig arbeidstimer i prosjektet denne uken: </t>
    </r>
    <r>
      <rPr>
        <sz val="12"/>
        <color theme="1"/>
        <rFont val="Calibri"/>
        <family val="2"/>
        <scheme val="minor"/>
      </rPr>
      <t xml:space="preserve">
</t>
    </r>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Uke 19:</t>
    </r>
    <r>
      <rPr>
        <sz val="12"/>
        <color theme="1"/>
        <rFont val="Calibri"/>
        <family val="2"/>
        <scheme val="minor"/>
      </rPr>
      <t xml:space="preserve"> Vegard Simonsen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Mandag:</t>
    </r>
    <r>
      <rPr>
        <sz val="12"/>
        <color theme="1"/>
        <rFont val="Calibri"/>
        <family val="2"/>
        <scheme val="minor"/>
      </rPr>
      <t xml:space="preserve"> Uken startet med et Scrum-møte for min del. Her fikk alle vise frem hva de hadde gjort siden sist. Etter at møtet var 'slutt' diskuterte vi endel hvordan vi skulle jobbe den siste uken, var veldig greit å planlegge litt.
</t>
    </r>
    <r>
      <rPr>
        <b/>
        <sz val="12"/>
        <color theme="1"/>
        <rFont val="Calibri"/>
        <family val="2"/>
        <scheme val="minor"/>
      </rPr>
      <t>Tirsdag:</t>
    </r>
    <r>
      <rPr>
        <sz val="12"/>
        <color theme="1"/>
        <rFont val="Calibri"/>
        <family val="2"/>
        <scheme val="minor"/>
      </rPr>
      <t xml:space="preserve"> Begynte på funksjonalitet for å kunne legge til flere arbeidskrav under opprettelsen av ett emne. Brukte JavaScript her, ved trykk på en knapp legges det til en ekstra tekstboks som bruker kan fylle inn. Satt en grense på maks antall arbeidskrav til 5, og fikk begynt arbeid på forhåndsvisning av arbeidskravene.
</t>
    </r>
    <r>
      <rPr>
        <b/>
        <sz val="12"/>
        <color theme="1"/>
        <rFont val="Calibri"/>
        <family val="2"/>
        <scheme val="minor"/>
      </rPr>
      <t>Onsdag:</t>
    </r>
    <r>
      <rPr>
        <sz val="12"/>
        <color theme="1"/>
        <rFont val="Calibri"/>
        <family val="2"/>
        <scheme val="minor"/>
      </rPr>
      <t xml:space="preserve"> Ble ferdig med forhåndsvisning av arbeidskrav i oppretteEmne. Vi hadde deretter det vanlige Scrum-møte hvor folk viste frem arbeid siden sist. Etter møtet gjorde jeg sakspapirene for innkalling til Sprint Review klar og fikk sendt ut invitasjoner. Senere på dagen fortsatte jeg på arbeidskrav, og fikk lagt til en Fjerne knapp. Denne brukes dersom brukes feks har lagt til ett arbeidskrav for mye, og ikke ønsker å benytte seg av det. Fjerne knappen lages i JavaScript sammen med selve tekstboksen.
</t>
    </r>
    <r>
      <rPr>
        <b/>
        <sz val="12"/>
        <color theme="1"/>
        <rFont val="Calibri"/>
        <family val="2"/>
        <scheme val="minor"/>
      </rPr>
      <t>Torsdag:</t>
    </r>
    <r>
      <rPr>
        <sz val="12"/>
        <color theme="1"/>
        <rFont val="Calibri"/>
        <family val="2"/>
        <scheme val="minor"/>
      </rPr>
      <t xml:space="preserve"> Begynte å implementere arbeidskrav i endringAvEmne.twig. Dette gikk relativt kjapt da jeg allerede hadde fått det til å fungere i oppretteEmne, eneste forskjell var at dersom ett emne allerede har flere arbeidskrav skal de lastes inn sammen med siden. Da alt var på plass begynte jeg å jobbe i PHP, her måtte jeg hente alle verdiene og putte dem i ett array. Fikk alt til å fungere nesten med en gang, men brukte ganske lang tid på å optimalisere koden. Ønsket feks å gjøre at dersom ett arbeidskrav som ble sendt inn allerede var i databasen, skulle det ignoreres. Løsningen jeg kom opp med helt først involverte å slette tidligere verdier for så å legge til nye, uansett innhold. Dette var veldig unødvendig.
</t>
    </r>
    <r>
      <rPr>
        <b/>
        <sz val="12"/>
        <color theme="1"/>
        <rFont val="Calibri"/>
        <family val="2"/>
        <scheme val="minor"/>
      </rPr>
      <t>Fredag:</t>
    </r>
    <r>
      <rPr>
        <sz val="12"/>
        <color theme="1"/>
        <rFont val="Calibri"/>
        <family val="2"/>
        <scheme val="minor"/>
      </rPr>
      <t xml:space="preserve"> Startet dagen med å gjøre koden for innsetting/endring av arbeidskrav enda mer effektiv, ble tilslutt fornøyd med resultatet. Etterpå hadde vi Scrum møte, og folk viste frem arbeids som var blitt gjort siden sist. Etter møtet gikk jeg over litt kode og ga variabler mere forståelige navn, endret litt design etc.
</t>
    </r>
    <r>
      <rPr>
        <b/>
        <sz val="12"/>
        <color theme="1"/>
        <rFont val="Calibri"/>
        <family val="2"/>
        <scheme val="minor"/>
      </rPr>
      <t>Lørdag:</t>
    </r>
    <r>
      <rPr>
        <sz val="12"/>
        <color theme="1"/>
        <rFont val="Calibri"/>
        <family val="2"/>
        <scheme val="minor"/>
      </rPr>
      <t xml:space="preserve"> Vi skulle egentlig ha ett møte med fokus på innleveringen til søndag, men det var veldig dårlig oppmøte av en eller annen grunn. Kanskje pga. vi hadde endret møtetidspunkt 1 time tidligere enn vanlig. Uansett så ble møtet utsatt til senere på dagen. Etter dette begynte jeg å merge endringene jeg hadde med branchen vår. Vi hadde tidligere i uken fått krøll i filene våre på git, så var litt vanskelig og påse at alt ble riktig. Har dårlig erfaring så tok meg god tid slik at jeg ikke skulle ende opp med å potensielt ødelegge viktige filer/kodesnutter. Ellers så ryddet jeg litt opp i kode i DatabaseQuery.php, bl.a. gjorde endringer i koden som oppdaterer ForkunnskapsKrav og AnbefaltForkunnskapsKrav. Vi hadde så møtet der hovedfokuset var å gå gjennom product backlog og sprint 5 backlog og sørge for at de var oppdatert per.d.d.
</t>
    </r>
    <r>
      <rPr>
        <b/>
        <sz val="12"/>
        <color theme="1"/>
        <rFont val="Calibri"/>
        <family val="2"/>
        <scheme val="minor"/>
      </rPr>
      <t>Søndag:</t>
    </r>
    <r>
      <rPr>
        <sz val="12"/>
        <color theme="1"/>
        <rFont val="Calibri"/>
        <family val="2"/>
        <scheme val="minor"/>
      </rPr>
      <t xml:space="preserve"> Alex hadde begynt å forbedre designet for Arbeidskrav og det så veldig bra ut. Han sto litt fast når det gjaldt å kunne trykke for å fjerne arbeidskrav, så jeg satt meg ned og så litt på det sammen med han. Etter litt prøving og feiling fant jeg ut av det.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</si>
</sst>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hh:mm;@"/>
    <numFmt numFmtId="166" formatCode="[h]:mm"/>
    <numFmt numFmtId="167" formatCode="yyyy\-mm\-dd;@"/>
  </numFmts>
  <fonts count="23" x14ac:knownFonts="1">
    <font>
      <sz val="10"/>
      <color theme="1"/>
      <name val="Verdana"/>
      <family val="2"/>
    </font>
    <font>
      <sz val="11"/>
      <color theme="1"/>
      <name val="Calibri"/>
      <family val="2"/>
      <scheme val="minor"/>
    </font>
    <font>
      <i/>
      <sz val="10"/>
      <color theme="1"/>
      <name val="Verdana"/>
      <family val="2"/>
    </font>
    <font>
      <sz val="9"/>
      <color theme="1"/>
      <name val="Verdana"/>
      <family val="2"/>
    </font>
    <font>
      <sz val="8"/>
      <color theme="1"/>
      <name val="Verdana"/>
      <family val="2"/>
    </font>
    <font>
      <b/>
      <sz val="10"/>
      <color theme="8" tint="-0.249977111117893"/>
      <name val="Verdana"/>
      <family val="2"/>
    </font>
    <font>
      <sz val="11"/>
      <color theme="1"/>
      <name val="Verdana"/>
      <family val="2"/>
    </font>
    <font>
      <sz val="10"/>
      <color theme="1"/>
      <name val="Verdana"/>
      <family val="2"/>
    </font>
    <font>
      <sz val="20"/>
      <color theme="1"/>
      <name val="Verdana"/>
      <family val="2"/>
    </font>
    <font>
      <sz val="10"/>
      <color theme="1"/>
      <name val="Calibri"/>
      <family val="2"/>
      <scheme val="minor"/>
    </font>
    <font>
      <sz val="20"/>
      <color theme="1"/>
      <name val="Calibri"/>
      <family val="2"/>
      <scheme val="minor"/>
    </font>
    <font>
      <b/>
      <sz val="10"/>
      <color theme="8" tint="-0.249977111117893"/>
      <name val="Calibri"/>
      <family val="2"/>
      <scheme val="minor"/>
    </font>
    <font>
      <b/>
      <sz val="10"/>
      <color theme="1"/>
      <name val="Calibri"/>
      <family val="2"/>
      <scheme val="minor"/>
    </font>
    <font>
      <b/>
      <sz val="10"/>
      <color rgb="FF305496"/>
      <name val="Calibri"/>
      <family val="2"/>
    </font>
    <font>
      <b/>
      <sz val="10"/>
      <color theme="1"/>
      <name val="Calibri Light"/>
      <family val="2"/>
      <scheme val="major"/>
    </font>
    <font>
      <b/>
      <sz val="14"/>
      <color theme="1"/>
      <name val="Calibri Light"/>
      <family val="2"/>
      <scheme val="major"/>
    </font>
    <font>
      <b/>
      <sz val="12"/>
      <color theme="1"/>
      <name val="Calibri"/>
      <family val="2"/>
      <scheme val="minor"/>
    </font>
    <font>
      <sz val="12"/>
      <color theme="1"/>
      <name val="Calibri"/>
      <family val="2"/>
      <scheme val="minor"/>
    </font>
    <font>
      <b/>
      <sz val="16"/>
      <color theme="1"/>
      <name val="Calibri"/>
      <family val="2"/>
      <scheme val="minor"/>
    </font>
    <font>
      <b/>
      <sz val="12"/>
      <color theme="8" tint="-0.249977111117893"/>
      <name val="Calibri"/>
      <family val="2"/>
      <scheme val="minor"/>
    </font>
    <font>
      <sz val="12"/>
      <color theme="1"/>
      <name val="Verdana"/>
      <family val="2"/>
    </font>
    <font>
      <b/>
      <sz val="12"/>
      <color rgb="FF305496"/>
      <name val="Calibri"/>
      <family val="2"/>
    </font>
    <font>
      <b/>
      <sz val="10"/>
      <color theme="1"/>
      <name val="Verdana"/>
      <family val="2"/>
    </font>
  </fonts>
  <fills count="13">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theme="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5757"/>
        <bgColor indexed="64"/>
      </patternFill>
    </fill>
  </fills>
  <borders count="4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rgb="FF000000"/>
      </right>
      <top/>
      <bottom/>
      <diagonal/>
    </border>
    <border>
      <left/>
      <right style="medium">
        <color rgb="FF000000"/>
      </right>
      <top/>
      <bottom style="medium">
        <color indexed="64"/>
      </bottom>
      <diagonal/>
    </border>
    <border>
      <left style="medium">
        <color auto="1"/>
      </left>
      <right style="thin">
        <color indexed="64"/>
      </right>
      <top/>
      <bottom/>
      <diagonal/>
    </border>
    <border>
      <left style="medium">
        <color auto="1"/>
      </left>
      <right style="thin">
        <color indexed="64"/>
      </right>
      <top/>
      <bottom style="medium">
        <color auto="1"/>
      </bottom>
      <diagonal/>
    </border>
    <border>
      <left/>
      <right style="medium">
        <color rgb="FF000000"/>
      </right>
      <top/>
      <bottom style="thin">
        <color indexed="64"/>
      </bottom>
      <diagonal/>
    </border>
    <border>
      <left style="medium">
        <color auto="1"/>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medium">
        <color auto="1"/>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medium">
        <color auto="1"/>
      </bottom>
      <diagonal/>
    </border>
    <border>
      <left style="thin">
        <color indexed="64"/>
      </left>
      <right style="medium">
        <color indexed="64"/>
      </right>
      <top style="medium">
        <color indexed="64"/>
      </top>
      <bottom style="medium">
        <color rgb="FF000000"/>
      </bottom>
      <diagonal/>
    </border>
    <border>
      <left/>
      <right style="medium">
        <color indexed="64"/>
      </right>
      <top style="medium">
        <color rgb="FF000000"/>
      </top>
      <bottom/>
      <diagonal/>
    </border>
    <border>
      <left style="medium">
        <color rgb="FF000000"/>
      </left>
      <right style="medium">
        <color indexed="64"/>
      </right>
      <top/>
      <bottom/>
      <diagonal/>
    </border>
    <border>
      <left style="medium">
        <color rgb="FF000000"/>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rgb="FF000000"/>
      </left>
      <right style="medium">
        <color indexed="64"/>
      </right>
      <top/>
      <bottom style="thin">
        <color indexed="64"/>
      </bottom>
      <diagonal/>
    </border>
    <border>
      <left style="thin">
        <color indexed="64"/>
      </left>
      <right style="thin">
        <color indexed="64"/>
      </right>
      <top style="medium">
        <color auto="1"/>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thin">
        <color indexed="64"/>
      </right>
      <top style="medium">
        <color auto="1"/>
      </top>
      <bottom style="medium">
        <color indexed="64"/>
      </bottom>
      <diagonal/>
    </border>
    <border>
      <left/>
      <right/>
      <top style="thin">
        <color indexed="64"/>
      </top>
      <bottom/>
      <diagonal/>
    </border>
    <border>
      <left/>
      <right style="medium">
        <color rgb="FF000000"/>
      </right>
      <top style="thin">
        <color indexed="64"/>
      </top>
      <bottom/>
      <diagonal/>
    </border>
    <border>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s>
  <cellStyleXfs count="6">
    <xf numFmtId="0" fontId="0" fillId="0" borderId="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cellStyleXfs>
  <cellXfs count="440">
    <xf numFmtId="0" fontId="0" fillId="0" borderId="0" xfId="0"/>
    <xf numFmtId="0" fontId="0" fillId="0" borderId="0" xfId="0" applyAlignment="1">
      <alignment vertical="center"/>
    </xf>
    <xf numFmtId="0" fontId="0" fillId="0" borderId="1" xfId="0" applyBorder="1"/>
    <xf numFmtId="14" fontId="0" fillId="0" borderId="1" xfId="0" applyNumberFormat="1" applyBorder="1"/>
    <xf numFmtId="0" fontId="2" fillId="2" borderId="1" xfId="0" applyFont="1" applyFill="1" applyBorder="1"/>
    <xf numFmtId="164" fontId="3" fillId="3" borderId="0" xfId="0" applyNumberFormat="1" applyFont="1" applyFill="1" applyBorder="1" applyAlignment="1">
      <alignment horizontal="center"/>
    </xf>
    <xf numFmtId="0" fontId="4" fillId="3" borderId="0" xfId="0" applyFont="1" applyFill="1" applyBorder="1"/>
    <xf numFmtId="164" fontId="5" fillId="3" borderId="0" xfId="0" applyNumberFormat="1" applyFont="1" applyFill="1" applyBorder="1" applyAlignment="1">
      <alignment horizontal="center"/>
    </xf>
    <xf numFmtId="0" fontId="5" fillId="0" borderId="0" xfId="0" applyFont="1" applyBorder="1" applyAlignment="1">
      <alignment horizontal="center"/>
    </xf>
    <xf numFmtId="0" fontId="5" fillId="0" borderId="0" xfId="0" applyFont="1" applyBorder="1" applyAlignment="1">
      <alignment horizontal="right"/>
    </xf>
    <xf numFmtId="0" fontId="6" fillId="0" borderId="0" xfId="0" applyFont="1" applyAlignment="1">
      <alignment vertical="center"/>
    </xf>
    <xf numFmtId="165" fontId="0" fillId="0" borderId="0" xfId="0" applyNumberFormat="1"/>
    <xf numFmtId="165" fontId="7" fillId="0" borderId="0" xfId="0" applyNumberFormat="1" applyFont="1" applyBorder="1" applyAlignment="1"/>
    <xf numFmtId="0" fontId="7" fillId="0" borderId="0" xfId="0" applyFont="1"/>
    <xf numFmtId="0" fontId="8" fillId="3" borderId="0" xfId="2" applyFont="1" applyFill="1" applyBorder="1" applyAlignment="1">
      <alignment horizontal="centerContinuous" vertical="center"/>
    </xf>
    <xf numFmtId="0" fontId="0" fillId="0" borderId="0" xfId="0" applyBorder="1" applyAlignment="1">
      <alignment vertical="top"/>
    </xf>
    <xf numFmtId="165" fontId="0" fillId="0" borderId="0" xfId="0" applyNumberFormat="1" applyFont="1" applyAlignment="1">
      <alignment vertical="top"/>
    </xf>
    <xf numFmtId="0" fontId="0" fillId="0" borderId="0" xfId="0" applyFont="1" applyAlignment="1">
      <alignment vertical="top"/>
    </xf>
    <xf numFmtId="0" fontId="0" fillId="0" borderId="0" xfId="0" applyFont="1" applyAlignment="1">
      <alignment vertical="top" wrapText="1"/>
    </xf>
    <xf numFmtId="0" fontId="0" fillId="0" borderId="0" xfId="0" applyFont="1"/>
    <xf numFmtId="0" fontId="0" fillId="0" borderId="2" xfId="0" applyFont="1" applyBorder="1"/>
    <xf numFmtId="0" fontId="0" fillId="0" borderId="0" xfId="0" applyFont="1" applyBorder="1"/>
    <xf numFmtId="0" fontId="0" fillId="0" borderId="0" xfId="0" applyFont="1" applyBorder="1" applyAlignment="1">
      <alignment horizontal="right"/>
    </xf>
    <xf numFmtId="165" fontId="5" fillId="0" borderId="0" xfId="0" applyNumberFormat="1" applyFont="1" applyFill="1" applyBorder="1" applyAlignment="1">
      <alignment horizontal="center"/>
    </xf>
    <xf numFmtId="0" fontId="0" fillId="0" borderId="0" xfId="0" applyFont="1" applyBorder="1" applyAlignment="1">
      <alignment vertical="top" wrapText="1"/>
    </xf>
    <xf numFmtId="0" fontId="11" fillId="0" borderId="0" xfId="0" applyFont="1" applyBorder="1" applyAlignment="1">
      <alignment horizontal="left" vertical="top"/>
    </xf>
    <xf numFmtId="0" fontId="9" fillId="3" borderId="10" xfId="5" applyFont="1" applyFill="1" applyBorder="1" applyAlignment="1">
      <alignment horizontal="left" vertical="top" wrapText="1"/>
    </xf>
    <xf numFmtId="0" fontId="9" fillId="3" borderId="11" xfId="5" applyFont="1" applyFill="1" applyBorder="1" applyAlignment="1">
      <alignment horizontal="left" vertical="top" wrapText="1"/>
    </xf>
    <xf numFmtId="0" fontId="15" fillId="0" borderId="2" xfId="0" applyFont="1" applyBorder="1" applyAlignment="1">
      <alignment horizontal="left" vertical="top"/>
    </xf>
    <xf numFmtId="0" fontId="14" fillId="0" borderId="2" xfId="0" applyFont="1" applyBorder="1" applyAlignment="1">
      <alignment vertical="top"/>
    </xf>
    <xf numFmtId="0" fontId="0" fillId="0" borderId="2" xfId="0" applyFont="1" applyBorder="1" applyAlignment="1">
      <alignment vertical="top"/>
    </xf>
    <xf numFmtId="14" fontId="12" fillId="0" borderId="2" xfId="0" applyNumberFormat="1" applyFont="1" applyBorder="1" applyAlignment="1">
      <alignment horizontal="left" vertical="top"/>
    </xf>
    <xf numFmtId="0" fontId="9" fillId="0" borderId="2" xfId="0" applyFont="1" applyBorder="1" applyAlignment="1">
      <alignment vertical="top"/>
    </xf>
    <xf numFmtId="165" fontId="12" fillId="0" borderId="0" xfId="0" applyNumberFormat="1" applyFont="1" applyBorder="1" applyAlignment="1">
      <alignment horizontal="center" vertical="top"/>
    </xf>
    <xf numFmtId="165" fontId="12" fillId="0" borderId="2" xfId="0" applyNumberFormat="1" applyFont="1" applyBorder="1" applyAlignment="1">
      <alignment vertical="top"/>
    </xf>
    <xf numFmtId="0" fontId="9" fillId="0" borderId="2" xfId="0" applyFont="1" applyBorder="1" applyAlignment="1">
      <alignment vertical="top" wrapText="1"/>
    </xf>
    <xf numFmtId="165" fontId="12" fillId="0" borderId="2" xfId="0" applyNumberFormat="1" applyFont="1" applyBorder="1" applyAlignment="1" applyProtection="1">
      <alignment horizontal="center" vertical="top"/>
    </xf>
    <xf numFmtId="0" fontId="2" fillId="0" borderId="0" xfId="0" applyFont="1" applyAlignment="1">
      <alignment vertical="top"/>
    </xf>
    <xf numFmtId="166" fontId="12" fillId="0" borderId="2" xfId="0" applyNumberFormat="1" applyFont="1" applyBorder="1" applyAlignment="1">
      <alignment horizontal="left" vertical="top" wrapText="1"/>
    </xf>
    <xf numFmtId="14" fontId="9" fillId="0" borderId="12" xfId="2" applyNumberFormat="1" applyFont="1" applyFill="1" applyBorder="1" applyAlignment="1">
      <alignment horizontal="left" vertical="top"/>
    </xf>
    <xf numFmtId="14" fontId="9" fillId="0" borderId="13" xfId="0" applyNumberFormat="1" applyFont="1" applyBorder="1" applyAlignment="1">
      <alignment horizontal="left" vertical="top"/>
    </xf>
    <xf numFmtId="14" fontId="9" fillId="0" borderId="15" xfId="0" applyNumberFormat="1" applyFont="1" applyBorder="1" applyAlignment="1">
      <alignment horizontal="left" vertical="top"/>
    </xf>
    <xf numFmtId="14" fontId="9" fillId="3" borderId="15" xfId="2" applyNumberFormat="1" applyFont="1" applyFill="1" applyBorder="1" applyAlignment="1">
      <alignment horizontal="left" vertical="top"/>
    </xf>
    <xf numFmtId="14" fontId="9" fillId="0" borderId="15" xfId="2" applyNumberFormat="1" applyFont="1" applyFill="1" applyBorder="1" applyAlignment="1">
      <alignment horizontal="left" vertical="top"/>
    </xf>
    <xf numFmtId="0" fontId="11" fillId="0" borderId="0" xfId="0" applyFont="1" applyBorder="1" applyAlignment="1">
      <alignment horizontal="center" vertical="top"/>
    </xf>
    <xf numFmtId="0" fontId="12" fillId="4" borderId="0" xfId="1" applyFont="1" applyBorder="1" applyAlignment="1">
      <alignment horizontal="center" vertical="top"/>
    </xf>
    <xf numFmtId="0" fontId="12" fillId="7" borderId="0" xfId="4" applyFont="1" applyBorder="1" applyAlignment="1">
      <alignment horizontal="center" vertical="top"/>
    </xf>
    <xf numFmtId="0" fontId="12" fillId="9" borderId="0" xfId="3" applyFont="1" applyFill="1" applyBorder="1" applyAlignment="1">
      <alignment horizontal="center" vertical="top"/>
    </xf>
    <xf numFmtId="165" fontId="9" fillId="0" borderId="17" xfId="2" applyNumberFormat="1" applyFont="1" applyFill="1" applyBorder="1" applyAlignment="1">
      <alignment horizontal="left" vertical="top"/>
    </xf>
    <xf numFmtId="20" fontId="9" fillId="0" borderId="18" xfId="0" applyNumberFormat="1" applyFont="1" applyBorder="1" applyAlignment="1">
      <alignment horizontal="left" vertical="top"/>
    </xf>
    <xf numFmtId="165" fontId="14" fillId="9" borderId="17" xfId="1" applyNumberFormat="1" applyFont="1" applyFill="1" applyBorder="1" applyAlignment="1">
      <alignment horizontal="left" vertical="top"/>
    </xf>
    <xf numFmtId="165" fontId="14" fillId="3" borderId="17" xfId="1" applyNumberFormat="1" applyFont="1" applyFill="1" applyBorder="1" applyAlignment="1">
      <alignment horizontal="left" vertical="top"/>
    </xf>
    <xf numFmtId="165" fontId="14" fillId="3" borderId="17" xfId="5" applyNumberFormat="1" applyFont="1" applyFill="1" applyBorder="1" applyAlignment="1">
      <alignment horizontal="left" vertical="top"/>
    </xf>
    <xf numFmtId="165" fontId="14" fillId="3" borderId="18" xfId="5" applyNumberFormat="1" applyFont="1" applyFill="1" applyBorder="1" applyAlignment="1">
      <alignment horizontal="left" vertical="top"/>
    </xf>
    <xf numFmtId="165" fontId="9" fillId="0" borderId="16" xfId="2" applyNumberFormat="1" applyFont="1" applyFill="1" applyBorder="1" applyAlignment="1">
      <alignment horizontal="left" vertical="top"/>
    </xf>
    <xf numFmtId="165" fontId="14" fillId="3" borderId="16" xfId="3" applyNumberFormat="1" applyFont="1" applyFill="1" applyBorder="1" applyAlignment="1">
      <alignment horizontal="left" vertical="top"/>
    </xf>
    <xf numFmtId="165" fontId="14" fillId="3" borderId="16" xfId="1" applyNumberFormat="1" applyFont="1" applyFill="1" applyBorder="1" applyAlignment="1">
      <alignment horizontal="left" vertical="top"/>
    </xf>
    <xf numFmtId="0" fontId="2" fillId="0" borderId="2" xfId="0" applyFont="1" applyBorder="1" applyAlignment="1"/>
    <xf numFmtId="0" fontId="11" fillId="0" borderId="22" xfId="0" applyFont="1" applyBorder="1" applyAlignment="1">
      <alignment horizontal="left" vertical="top"/>
    </xf>
    <xf numFmtId="0" fontId="13" fillId="0" borderId="23" xfId="0" applyFont="1" applyBorder="1" applyAlignment="1">
      <alignment horizontal="left" vertical="top"/>
    </xf>
    <xf numFmtId="0" fontId="0" fillId="0" borderId="24" xfId="0" applyFont="1" applyBorder="1" applyAlignment="1">
      <alignment horizontal="left" vertical="top"/>
    </xf>
    <xf numFmtId="0" fontId="0" fillId="0" borderId="25" xfId="0" applyFont="1" applyBorder="1" applyAlignment="1">
      <alignment horizontal="left" vertical="top"/>
    </xf>
    <xf numFmtId="0" fontId="0" fillId="0" borderId="26" xfId="0" applyFont="1" applyBorder="1" applyAlignment="1">
      <alignment horizontal="left" vertical="top"/>
    </xf>
    <xf numFmtId="0" fontId="10" fillId="5" borderId="7" xfId="2" applyFont="1" applyBorder="1" applyAlignment="1">
      <alignment horizontal="left"/>
    </xf>
    <xf numFmtId="0" fontId="10" fillId="5" borderId="8" xfId="2" applyFont="1" applyBorder="1" applyAlignment="1">
      <alignment horizontal="center" vertical="center"/>
    </xf>
    <xf numFmtId="0" fontId="11" fillId="0" borderId="3" xfId="0" applyFont="1" applyBorder="1" applyAlignment="1">
      <alignment horizontal="left" vertical="top"/>
    </xf>
    <xf numFmtId="0" fontId="11" fillId="0" borderId="4" xfId="0" applyFont="1" applyBorder="1" applyAlignment="1">
      <alignment horizontal="center" vertical="top"/>
    </xf>
    <xf numFmtId="14" fontId="12" fillId="0" borderId="9" xfId="0" applyNumberFormat="1" applyFont="1" applyBorder="1" applyAlignment="1">
      <alignment horizontal="left" vertical="top"/>
    </xf>
    <xf numFmtId="165" fontId="12" fillId="0" borderId="4" xfId="0" applyNumberFormat="1" applyFont="1" applyBorder="1" applyAlignment="1">
      <alignment horizontal="center" vertical="top"/>
    </xf>
    <xf numFmtId="165" fontId="12" fillId="0" borderId="9" xfId="0" applyNumberFormat="1" applyFont="1" applyBorder="1" applyAlignment="1">
      <alignment horizontal="left" vertical="top"/>
    </xf>
    <xf numFmtId="165" fontId="12" fillId="0" borderId="5" xfId="0" applyNumberFormat="1" applyFont="1" applyBorder="1" applyAlignment="1" applyProtection="1">
      <alignment horizontal="center" vertical="top"/>
    </xf>
    <xf numFmtId="165" fontId="14" fillId="10" borderId="17" xfId="1" applyNumberFormat="1" applyFont="1" applyFill="1" applyBorder="1" applyAlignment="1">
      <alignment horizontal="left" vertical="top"/>
    </xf>
    <xf numFmtId="0" fontId="12" fillId="10" borderId="2" xfId="5" applyFont="1" applyFill="1" applyBorder="1" applyAlignment="1">
      <alignment horizontal="center" vertical="top"/>
    </xf>
    <xf numFmtId="0" fontId="0" fillId="0" borderId="27" xfId="0" applyFont="1" applyBorder="1" applyAlignment="1">
      <alignment horizontal="left" vertical="top"/>
    </xf>
    <xf numFmtId="0" fontId="0" fillId="0" borderId="28" xfId="0" applyFont="1" applyBorder="1" applyAlignment="1">
      <alignment horizontal="left" vertical="top"/>
    </xf>
    <xf numFmtId="0" fontId="11" fillId="0" borderId="19" xfId="0" applyFont="1" applyBorder="1" applyAlignment="1">
      <alignment horizontal="left" vertical="top"/>
    </xf>
    <xf numFmtId="165" fontId="14" fillId="2" borderId="17" xfId="1" applyNumberFormat="1" applyFont="1" applyFill="1" applyBorder="1" applyAlignment="1">
      <alignment horizontal="left" vertical="top"/>
    </xf>
    <xf numFmtId="0" fontId="11" fillId="0" borderId="6" xfId="0" applyFont="1" applyBorder="1" applyAlignment="1">
      <alignment horizontal="left" vertical="top"/>
    </xf>
    <xf numFmtId="0" fontId="11" fillId="0" borderId="29" xfId="0" applyFont="1" applyBorder="1" applyAlignment="1">
      <alignment horizontal="left" vertical="top"/>
    </xf>
    <xf numFmtId="0" fontId="13" fillId="0" borderId="20" xfId="0" applyFont="1" applyBorder="1" applyAlignment="1">
      <alignment horizontal="left" vertical="top"/>
    </xf>
    <xf numFmtId="165" fontId="14" fillId="10" borderId="29" xfId="1" applyNumberFormat="1" applyFont="1" applyFill="1" applyBorder="1" applyAlignment="1">
      <alignment horizontal="left" vertical="top"/>
    </xf>
    <xf numFmtId="0" fontId="0" fillId="0" borderId="8" xfId="0" applyFont="1" applyBorder="1" applyAlignment="1">
      <alignment horizontal="left" vertical="top"/>
    </xf>
    <xf numFmtId="165" fontId="14" fillId="10" borderId="17" xfId="5" applyNumberFormat="1" applyFont="1" applyFill="1" applyBorder="1" applyAlignment="1">
      <alignment horizontal="left" vertical="top"/>
    </xf>
    <xf numFmtId="165" fontId="9" fillId="10" borderId="29" xfId="2" applyNumberFormat="1" applyFont="1" applyFill="1" applyBorder="1" applyAlignment="1">
      <alignment horizontal="left" vertical="top"/>
    </xf>
    <xf numFmtId="165" fontId="9" fillId="10" borderId="16" xfId="2" applyNumberFormat="1" applyFont="1" applyFill="1" applyBorder="1" applyAlignment="1">
      <alignment horizontal="left" vertical="top"/>
    </xf>
    <xf numFmtId="165" fontId="14" fillId="10" borderId="16" xfId="3" applyNumberFormat="1" applyFont="1" applyFill="1" applyBorder="1" applyAlignment="1">
      <alignment horizontal="left" vertical="top"/>
    </xf>
    <xf numFmtId="165" fontId="9" fillId="10" borderId="17" xfId="2" applyNumberFormat="1" applyFont="1" applyFill="1" applyBorder="1" applyAlignment="1">
      <alignment horizontal="left" vertical="top"/>
    </xf>
    <xf numFmtId="165" fontId="14" fillId="10" borderId="16" xfId="1" applyNumberFormat="1" applyFont="1" applyFill="1" applyBorder="1" applyAlignment="1">
      <alignment horizontal="left" vertical="top"/>
    </xf>
    <xf numFmtId="165" fontId="9" fillId="9" borderId="17" xfId="2" applyNumberFormat="1" applyFont="1" applyFill="1" applyBorder="1" applyAlignment="1">
      <alignment horizontal="left" vertical="top"/>
    </xf>
    <xf numFmtId="165" fontId="9" fillId="9" borderId="16" xfId="2" applyNumberFormat="1" applyFont="1" applyFill="1" applyBorder="1" applyAlignment="1">
      <alignment horizontal="left" vertical="top"/>
    </xf>
    <xf numFmtId="165" fontId="14" fillId="9" borderId="16" xfId="1" applyNumberFormat="1" applyFont="1" applyFill="1" applyBorder="1" applyAlignment="1">
      <alignment horizontal="left" vertical="top"/>
    </xf>
    <xf numFmtId="167" fontId="9" fillId="10" borderId="30" xfId="2" applyNumberFormat="1" applyFont="1" applyFill="1" applyBorder="1" applyAlignment="1">
      <alignment horizontal="left" vertical="top"/>
    </xf>
    <xf numFmtId="167" fontId="9" fillId="10" borderId="15" xfId="0" applyNumberFormat="1" applyFont="1" applyFill="1" applyBorder="1" applyAlignment="1">
      <alignment horizontal="left" vertical="top"/>
    </xf>
    <xf numFmtId="167" fontId="9" fillId="9" borderId="12" xfId="2" applyNumberFormat="1" applyFont="1" applyFill="1" applyBorder="1" applyAlignment="1">
      <alignment horizontal="left" vertical="top"/>
    </xf>
    <xf numFmtId="167" fontId="9" fillId="9" borderId="15" xfId="2" applyNumberFormat="1" applyFont="1" applyFill="1" applyBorder="1" applyAlignment="1">
      <alignment horizontal="left" vertical="top"/>
    </xf>
    <xf numFmtId="167" fontId="9" fillId="10" borderId="12" xfId="2" applyNumberFormat="1" applyFont="1" applyFill="1" applyBorder="1" applyAlignment="1">
      <alignment horizontal="left" vertical="top"/>
    </xf>
    <xf numFmtId="167" fontId="9" fillId="10" borderId="15" xfId="2" applyNumberFormat="1" applyFont="1" applyFill="1" applyBorder="1" applyAlignment="1">
      <alignment horizontal="left" vertical="top"/>
    </xf>
    <xf numFmtId="167" fontId="12" fillId="0" borderId="9" xfId="0" applyNumberFormat="1" applyFont="1" applyBorder="1" applyAlignment="1">
      <alignment horizontal="left" vertical="top"/>
    </xf>
    <xf numFmtId="167" fontId="9" fillId="0" borderId="2" xfId="0" applyNumberFormat="1" applyFont="1" applyBorder="1" applyAlignment="1">
      <alignment vertical="top"/>
    </xf>
    <xf numFmtId="167" fontId="12" fillId="0" borderId="2" xfId="0" applyNumberFormat="1" applyFont="1" applyBorder="1" applyAlignment="1">
      <alignment horizontal="left" vertical="top"/>
    </xf>
    <xf numFmtId="0" fontId="0" fillId="0" borderId="35" xfId="0" applyFont="1" applyBorder="1" applyAlignment="1">
      <alignment horizontal="left" vertical="top"/>
    </xf>
    <xf numFmtId="0" fontId="0" fillId="0" borderId="4" xfId="0" applyFont="1" applyBorder="1" applyAlignment="1">
      <alignment horizontal="left" vertical="top"/>
    </xf>
    <xf numFmtId="0" fontId="0" fillId="0" borderId="37" xfId="0" applyBorder="1"/>
    <xf numFmtId="165" fontId="14" fillId="10" borderId="16" xfId="5" applyNumberFormat="1" applyFont="1" applyFill="1" applyBorder="1" applyAlignment="1">
      <alignment horizontal="left" vertical="top"/>
    </xf>
    <xf numFmtId="165" fontId="14" fillId="9" borderId="17" xfId="5" applyNumberFormat="1" applyFont="1" applyFill="1" applyBorder="1" applyAlignment="1">
      <alignment horizontal="left" vertical="top"/>
    </xf>
    <xf numFmtId="167" fontId="9" fillId="9" borderId="13" xfId="0" applyNumberFormat="1" applyFont="1" applyFill="1" applyBorder="1" applyAlignment="1">
      <alignment horizontal="left" vertical="top"/>
    </xf>
    <xf numFmtId="20" fontId="9" fillId="9" borderId="18" xfId="0" applyNumberFormat="1" applyFont="1" applyFill="1" applyBorder="1" applyAlignment="1">
      <alignment horizontal="left" vertical="top"/>
    </xf>
    <xf numFmtId="165" fontId="14" fillId="9" borderId="18" xfId="5" applyNumberFormat="1" applyFont="1" applyFill="1" applyBorder="1" applyAlignment="1">
      <alignment horizontal="left" vertical="top"/>
    </xf>
    <xf numFmtId="0" fontId="0" fillId="0" borderId="42" xfId="0" applyFont="1" applyBorder="1" applyAlignment="1">
      <alignment horizontal="left" vertical="top"/>
    </xf>
    <xf numFmtId="0" fontId="0" fillId="0" borderId="41" xfId="0" applyFont="1" applyBorder="1" applyAlignment="1">
      <alignment horizontal="left" vertical="top"/>
    </xf>
    <xf numFmtId="167" fontId="9" fillId="3" borderId="30" xfId="2" applyNumberFormat="1" applyFont="1" applyFill="1" applyBorder="1" applyAlignment="1">
      <alignment horizontal="left" vertical="top"/>
    </xf>
    <xf numFmtId="165" fontId="9" fillId="3" borderId="29" xfId="2" applyNumberFormat="1" applyFont="1" applyFill="1" applyBorder="1" applyAlignment="1">
      <alignment horizontal="left" vertical="top"/>
    </xf>
    <xf numFmtId="165" fontId="14" fillId="3" borderId="29" xfId="1" applyNumberFormat="1" applyFont="1" applyFill="1" applyBorder="1" applyAlignment="1">
      <alignment horizontal="left" vertical="top"/>
    </xf>
    <xf numFmtId="167" fontId="9" fillId="3" borderId="15" xfId="0" applyNumberFormat="1" applyFont="1" applyFill="1" applyBorder="1" applyAlignment="1">
      <alignment horizontal="left" vertical="top"/>
    </xf>
    <xf numFmtId="165" fontId="9" fillId="3" borderId="16" xfId="2" applyNumberFormat="1" applyFont="1" applyFill="1" applyBorder="1" applyAlignment="1">
      <alignment horizontal="left" vertical="top"/>
    </xf>
    <xf numFmtId="167" fontId="9" fillId="3" borderId="12" xfId="2" applyNumberFormat="1" applyFont="1" applyFill="1" applyBorder="1" applyAlignment="1">
      <alignment horizontal="left" vertical="top"/>
    </xf>
    <xf numFmtId="165" fontId="9" fillId="3" borderId="17" xfId="2" applyNumberFormat="1" applyFont="1" applyFill="1" applyBorder="1" applyAlignment="1">
      <alignment horizontal="left" vertical="top"/>
    </xf>
    <xf numFmtId="167" fontId="9" fillId="3" borderId="15" xfId="2" applyNumberFormat="1" applyFont="1" applyFill="1" applyBorder="1" applyAlignment="1">
      <alignment horizontal="left" vertical="top"/>
    </xf>
    <xf numFmtId="165" fontId="14" fillId="3" borderId="16" xfId="5" applyNumberFormat="1" applyFont="1" applyFill="1" applyBorder="1" applyAlignment="1">
      <alignment horizontal="left" vertical="top"/>
    </xf>
    <xf numFmtId="167" fontId="9" fillId="3" borderId="13" xfId="0" applyNumberFormat="1" applyFont="1" applyFill="1" applyBorder="1" applyAlignment="1">
      <alignment horizontal="left" vertical="top"/>
    </xf>
    <xf numFmtId="20" fontId="9" fillId="3" borderId="18" xfId="0" applyNumberFormat="1" applyFont="1" applyFill="1" applyBorder="1" applyAlignment="1">
      <alignment horizontal="left" vertical="top"/>
    </xf>
    <xf numFmtId="0" fontId="7" fillId="0" borderId="0" xfId="0" applyFont="1" applyBorder="1"/>
    <xf numFmtId="0" fontId="0" fillId="0" borderId="0" xfId="0" applyFont="1" applyBorder="1" applyAlignment="1">
      <alignment vertical="top"/>
    </xf>
    <xf numFmtId="0" fontId="2" fillId="0" borderId="0" xfId="0" applyFont="1" applyBorder="1" applyAlignment="1"/>
    <xf numFmtId="166" fontId="18" fillId="0" borderId="2" xfId="0" applyNumberFormat="1" applyFont="1" applyBorder="1" applyAlignment="1">
      <alignment horizontal="left" vertical="top" wrapText="1"/>
    </xf>
    <xf numFmtId="165" fontId="18" fillId="0" borderId="9" xfId="0" applyNumberFormat="1" applyFont="1" applyBorder="1" applyAlignment="1">
      <alignment horizontal="left" vertical="top"/>
    </xf>
    <xf numFmtId="0" fontId="16" fillId="4" borderId="17" xfId="1" applyFont="1" applyBorder="1" applyAlignment="1">
      <alignment horizontal="center" vertical="top"/>
    </xf>
    <xf numFmtId="0" fontId="16" fillId="7" borderId="17" xfId="4" applyFont="1" applyBorder="1" applyAlignment="1">
      <alignment horizontal="center" vertical="top"/>
    </xf>
    <xf numFmtId="0" fontId="16" fillId="12" borderId="17" xfId="3" applyFont="1" applyFill="1" applyBorder="1" applyAlignment="1">
      <alignment horizontal="center" vertical="top"/>
    </xf>
    <xf numFmtId="0" fontId="16" fillId="10" borderId="18" xfId="5" applyFont="1" applyFill="1" applyBorder="1" applyAlignment="1">
      <alignment horizontal="center" vertical="top"/>
    </xf>
    <xf numFmtId="0" fontId="19" fillId="0" borderId="3" xfId="0" applyFont="1" applyBorder="1" applyAlignment="1">
      <alignment horizontal="left" vertical="top"/>
    </xf>
    <xf numFmtId="0" fontId="19" fillId="0" borderId="0" xfId="0" applyFont="1" applyBorder="1" applyAlignment="1">
      <alignment horizontal="left" vertical="top"/>
    </xf>
    <xf numFmtId="167" fontId="16" fillId="0" borderId="9" xfId="0" applyNumberFormat="1" applyFont="1" applyBorder="1" applyAlignment="1">
      <alignment horizontal="left" vertical="top"/>
    </xf>
    <xf numFmtId="167" fontId="16" fillId="0" borderId="2" xfId="0" applyNumberFormat="1" applyFont="1" applyBorder="1" applyAlignment="1">
      <alignment vertical="top"/>
    </xf>
    <xf numFmtId="167" fontId="16" fillId="0" borderId="2" xfId="0" applyNumberFormat="1" applyFont="1" applyBorder="1" applyAlignment="1">
      <alignment horizontal="left" vertical="top"/>
    </xf>
    <xf numFmtId="0" fontId="19" fillId="0" borderId="43" xfId="0" applyFont="1" applyBorder="1" applyAlignment="1">
      <alignment horizontal="center" vertical="top"/>
    </xf>
    <xf numFmtId="0" fontId="19" fillId="0" borderId="0" xfId="0" applyFont="1" applyBorder="1" applyAlignment="1">
      <alignment horizontal="center" vertical="top"/>
    </xf>
    <xf numFmtId="0" fontId="19" fillId="0" borderId="4" xfId="0" applyFont="1" applyBorder="1" applyAlignment="1">
      <alignment horizontal="center" vertical="top"/>
    </xf>
    <xf numFmtId="165" fontId="16" fillId="0" borderId="0" xfId="0" applyNumberFormat="1" applyFont="1" applyBorder="1" applyAlignment="1">
      <alignment horizontal="center" vertical="top"/>
    </xf>
    <xf numFmtId="165" fontId="16" fillId="0" borderId="4" xfId="0" applyNumberFormat="1" applyFont="1" applyBorder="1" applyAlignment="1">
      <alignment horizontal="center" vertical="top"/>
    </xf>
    <xf numFmtId="165" fontId="16" fillId="0" borderId="2" xfId="0" applyNumberFormat="1" applyFont="1" applyBorder="1" applyAlignment="1" applyProtection="1">
      <alignment horizontal="center" vertical="top"/>
    </xf>
    <xf numFmtId="165" fontId="16" fillId="0" borderId="5" xfId="0" applyNumberFormat="1" applyFont="1" applyBorder="1" applyAlignment="1" applyProtection="1">
      <alignment horizontal="center" vertical="top"/>
    </xf>
    <xf numFmtId="0" fontId="21" fillId="0" borderId="2" xfId="0" applyFont="1" applyBorder="1" applyAlignment="1">
      <alignment horizontal="left" vertical="top"/>
    </xf>
    <xf numFmtId="0" fontId="20" fillId="0" borderId="0" xfId="0" applyFont="1" applyBorder="1"/>
    <xf numFmtId="165" fontId="16" fillId="10" borderId="0" xfId="2" applyNumberFormat="1" applyFont="1" applyFill="1" applyBorder="1" applyAlignment="1">
      <alignment horizontal="left" vertical="top"/>
    </xf>
    <xf numFmtId="165" fontId="16" fillId="10" borderId="0" xfId="1" applyNumberFormat="1" applyFont="1" applyFill="1" applyBorder="1" applyAlignment="1">
      <alignment horizontal="left" vertical="top"/>
    </xf>
    <xf numFmtId="167" fontId="16" fillId="12" borderId="6" xfId="2" applyNumberFormat="1" applyFont="1" applyFill="1" applyBorder="1" applyAlignment="1">
      <alignment horizontal="left" vertical="top"/>
    </xf>
    <xf numFmtId="165" fontId="16" fillId="12" borderId="7" xfId="2" applyNumberFormat="1" applyFont="1" applyFill="1" applyBorder="1" applyAlignment="1">
      <alignment horizontal="left" vertical="top"/>
    </xf>
    <xf numFmtId="165" fontId="16" fillId="12" borderId="7" xfId="1" applyNumberFormat="1" applyFont="1" applyFill="1" applyBorder="1" applyAlignment="1">
      <alignment horizontal="left" vertical="top"/>
    </xf>
    <xf numFmtId="167" fontId="16" fillId="10" borderId="3" xfId="2" applyNumberFormat="1" applyFont="1" applyFill="1" applyBorder="1" applyAlignment="1">
      <alignment horizontal="left" vertical="top"/>
    </xf>
    <xf numFmtId="167" fontId="9" fillId="10" borderId="9" xfId="2" applyNumberFormat="1" applyFont="1" applyFill="1" applyBorder="1" applyAlignment="1">
      <alignment horizontal="left" vertical="top"/>
    </xf>
    <xf numFmtId="165" fontId="9" fillId="10" borderId="2" xfId="2" applyNumberFormat="1" applyFont="1" applyFill="1" applyBorder="1" applyAlignment="1">
      <alignment horizontal="left" vertical="top"/>
    </xf>
    <xf numFmtId="165" fontId="14" fillId="10" borderId="2" xfId="1" applyNumberFormat="1" applyFont="1" applyFill="1" applyBorder="1" applyAlignment="1">
      <alignment horizontal="left" vertical="top"/>
    </xf>
    <xf numFmtId="167" fontId="9" fillId="12" borderId="9" xfId="0" applyNumberFormat="1" applyFont="1" applyFill="1" applyBorder="1" applyAlignment="1">
      <alignment horizontal="left" vertical="top"/>
    </xf>
    <xf numFmtId="165" fontId="9" fillId="12" borderId="2" xfId="2" applyNumberFormat="1" applyFont="1" applyFill="1" applyBorder="1" applyAlignment="1">
      <alignment horizontal="left" vertical="top"/>
    </xf>
    <xf numFmtId="165" fontId="12" fillId="12" borderId="2" xfId="3" applyNumberFormat="1" applyFont="1" applyFill="1" applyBorder="1" applyAlignment="1">
      <alignment horizontal="left" vertical="top"/>
    </xf>
    <xf numFmtId="167" fontId="16" fillId="10" borderId="6" xfId="2" applyNumberFormat="1" applyFont="1" applyFill="1" applyBorder="1" applyAlignment="1">
      <alignment horizontal="left" vertical="top"/>
    </xf>
    <xf numFmtId="165" fontId="16" fillId="10" borderId="7" xfId="2" applyNumberFormat="1" applyFont="1" applyFill="1" applyBorder="1" applyAlignment="1">
      <alignment horizontal="left" vertical="top"/>
    </xf>
    <xf numFmtId="165" fontId="16" fillId="10" borderId="7" xfId="1" applyNumberFormat="1" applyFont="1" applyFill="1" applyBorder="1" applyAlignment="1">
      <alignment horizontal="left" vertical="top"/>
    </xf>
    <xf numFmtId="167" fontId="16" fillId="10" borderId="9" xfId="2" applyNumberFormat="1" applyFont="1" applyFill="1" applyBorder="1" applyAlignment="1">
      <alignment horizontal="left" vertical="top"/>
    </xf>
    <xf numFmtId="165" fontId="16" fillId="10" borderId="2" xfId="2" applyNumberFormat="1" applyFont="1" applyFill="1" applyBorder="1" applyAlignment="1">
      <alignment horizontal="left" vertical="top"/>
    </xf>
    <xf numFmtId="165" fontId="16" fillId="10" borderId="2" xfId="1" applyNumberFormat="1" applyFont="1" applyFill="1" applyBorder="1" applyAlignment="1">
      <alignment horizontal="left" vertical="top"/>
    </xf>
    <xf numFmtId="167" fontId="16" fillId="11" borderId="6" xfId="2" applyNumberFormat="1" applyFont="1" applyFill="1" applyBorder="1" applyAlignment="1">
      <alignment horizontal="left" vertical="top"/>
    </xf>
    <xf numFmtId="165" fontId="16" fillId="11" borderId="7" xfId="2" applyNumberFormat="1" applyFont="1" applyFill="1" applyBorder="1" applyAlignment="1">
      <alignment horizontal="left" vertical="top"/>
    </xf>
    <xf numFmtId="165" fontId="16" fillId="11" borderId="7" xfId="1" applyNumberFormat="1" applyFont="1" applyFill="1" applyBorder="1" applyAlignment="1">
      <alignment horizontal="left" vertical="top"/>
    </xf>
    <xf numFmtId="167" fontId="16" fillId="11" borderId="9"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7" fontId="16" fillId="12" borderId="9" xfId="2" applyNumberFormat="1" applyFont="1" applyFill="1" applyBorder="1" applyAlignment="1">
      <alignment horizontal="left" vertical="top"/>
    </xf>
    <xf numFmtId="165" fontId="16" fillId="12" borderId="2" xfId="2" applyNumberFormat="1" applyFont="1" applyFill="1" applyBorder="1" applyAlignment="1">
      <alignment horizontal="left" vertical="top"/>
    </xf>
    <xf numFmtId="165" fontId="16" fillId="12" borderId="2" xfId="1" applyNumberFormat="1" applyFont="1" applyFill="1" applyBorder="1" applyAlignment="1">
      <alignment horizontal="left" vertical="top"/>
    </xf>
    <xf numFmtId="0" fontId="0" fillId="0" borderId="0" xfId="0" applyAlignment="1">
      <alignment vertical="top" wrapText="1"/>
    </xf>
    <xf numFmtId="0" fontId="0" fillId="0" borderId="0" xfId="0" applyAlignment="1">
      <alignment vertical="top"/>
    </xf>
    <xf numFmtId="0" fontId="0" fillId="0" borderId="41" xfId="0" applyFont="1" applyBorder="1" applyAlignment="1">
      <alignment horizontal="center" vertical="top"/>
    </xf>
    <xf numFmtId="0" fontId="0" fillId="0" borderId="42" xfId="0" applyFont="1" applyBorder="1" applyAlignment="1">
      <alignment horizontal="center" vertical="top"/>
    </xf>
    <xf numFmtId="167" fontId="16" fillId="12" borderId="3" xfId="2" applyNumberFormat="1" applyFont="1" applyFill="1" applyBorder="1" applyAlignment="1">
      <alignment horizontal="left" vertical="top"/>
    </xf>
    <xf numFmtId="165" fontId="16" fillId="12" borderId="0" xfId="2" applyNumberFormat="1" applyFont="1" applyFill="1" applyBorder="1" applyAlignment="1">
      <alignment horizontal="left" vertical="top"/>
    </xf>
    <xf numFmtId="165" fontId="16" fillId="12" borderId="0" xfId="1" applyNumberFormat="1" applyFont="1" applyFill="1" applyBorder="1" applyAlignment="1">
      <alignment horizontal="left" vertical="top"/>
    </xf>
    <xf numFmtId="0" fontId="0" fillId="0" borderId="0" xfId="0" applyBorder="1"/>
    <xf numFmtId="0" fontId="0" fillId="0" borderId="7" xfId="0" applyBorder="1"/>
    <xf numFmtId="49" fontId="0" fillId="0" borderId="41" xfId="0" applyNumberFormat="1" applyFont="1" applyBorder="1" applyAlignment="1">
      <alignment horizontal="center" vertical="top"/>
    </xf>
    <xf numFmtId="165" fontId="16" fillId="11" borderId="0" xfId="2" applyNumberFormat="1" applyFont="1" applyFill="1" applyBorder="1" applyAlignment="1">
      <alignment horizontal="left" vertical="top"/>
    </xf>
    <xf numFmtId="165" fontId="16" fillId="11" borderId="0" xfId="1" applyNumberFormat="1" applyFont="1" applyFill="1" applyBorder="1" applyAlignment="1">
      <alignment horizontal="left" vertical="top"/>
    </xf>
    <xf numFmtId="167" fontId="16" fillId="11" borderId="3" xfId="2" applyNumberFormat="1" applyFont="1" applyFill="1" applyBorder="1" applyAlignment="1">
      <alignment horizontal="left" vertical="top"/>
    </xf>
    <xf numFmtId="49" fontId="0" fillId="0" borderId="42" xfId="0" applyNumberFormat="1" applyFont="1" applyBorder="1" applyAlignment="1">
      <alignment horizontal="center" vertical="top"/>
    </xf>
    <xf numFmtId="49" fontId="22" fillId="0" borderId="42" xfId="0" applyNumberFormat="1" applyFont="1" applyBorder="1" applyAlignment="1">
      <alignment horizontal="center" vertical="top"/>
    </xf>
    <xf numFmtId="49" fontId="0" fillId="0" borderId="44" xfId="0" applyNumberFormat="1" applyFont="1" applyBorder="1" applyAlignment="1">
      <alignment horizontal="center" vertical="top"/>
    </xf>
    <xf numFmtId="49" fontId="0" fillId="0" borderId="41" xfId="0" applyNumberFormat="1" applyFont="1" applyBorder="1" applyAlignment="1">
      <alignment horizontal="center" vertical="top"/>
    </xf>
    <xf numFmtId="49" fontId="22" fillId="0" borderId="44" xfId="0" applyNumberFormat="1" applyFont="1" applyBorder="1" applyAlignment="1">
      <alignment horizontal="center" vertical="top"/>
    </xf>
    <xf numFmtId="0" fontId="0" fillId="11" borderId="9" xfId="0" applyFill="1" applyBorder="1"/>
    <xf numFmtId="0" fontId="0" fillId="11" borderId="2" xfId="0" applyFill="1" applyBorder="1"/>
    <xf numFmtId="0" fontId="0" fillId="11" borderId="0" xfId="0" applyFill="1"/>
    <xf numFmtId="0" fontId="0" fillId="0" borderId="41" xfId="0" applyBorder="1"/>
    <xf numFmtId="49" fontId="20" fillId="0" borderId="42" xfId="0" applyNumberFormat="1" applyFont="1" applyBorder="1" applyAlignment="1">
      <alignment horizontal="center" vertical="top"/>
    </xf>
    <xf numFmtId="49" fontId="20" fillId="0" borderId="41" xfId="0" applyNumberFormat="1" applyFont="1" applyBorder="1" applyAlignment="1">
      <alignment horizontal="center" vertical="top"/>
    </xf>
    <xf numFmtId="49" fontId="0" fillId="0" borderId="44" xfId="0" applyNumberFormat="1" applyFont="1" applyBorder="1" applyAlignment="1">
      <alignment horizontal="center" vertical="top"/>
    </xf>
    <xf numFmtId="49" fontId="0" fillId="0" borderId="41" xfId="0" applyNumberFormat="1" applyFont="1" applyBorder="1" applyAlignment="1">
      <alignment horizontal="center" vertical="top"/>
    </xf>
    <xf numFmtId="49" fontId="22" fillId="0" borderId="44" xfId="0" applyNumberFormat="1" applyFont="1" applyBorder="1" applyAlignment="1">
      <alignment horizontal="center" vertical="top"/>
    </xf>
    <xf numFmtId="49" fontId="0" fillId="0" borderId="41" xfId="0" applyNumberFormat="1" applyFont="1" applyBorder="1" applyAlignment="1">
      <alignment horizontal="center" vertical="top"/>
    </xf>
    <xf numFmtId="49" fontId="22" fillId="0" borderId="44" xfId="0" applyNumberFormat="1" applyFont="1" applyBorder="1" applyAlignment="1">
      <alignment horizontal="center" vertical="center"/>
    </xf>
    <xf numFmtId="49" fontId="22" fillId="0" borderId="41" xfId="0" applyNumberFormat="1" applyFont="1" applyBorder="1" applyAlignment="1">
      <alignment horizontal="center" vertical="center"/>
    </xf>
    <xf numFmtId="166" fontId="16" fillId="0" borderId="4" xfId="0" applyNumberFormat="1" applyFont="1" applyBorder="1" applyAlignment="1">
      <alignment horizontal="center" vertical="top"/>
    </xf>
    <xf numFmtId="166" fontId="16" fillId="0" borderId="5" xfId="0" applyNumberFormat="1" applyFont="1" applyBorder="1" applyAlignment="1" applyProtection="1">
      <alignment horizontal="center" vertical="top"/>
    </xf>
    <xf numFmtId="49" fontId="0" fillId="0" borderId="41" xfId="0" applyNumberFormat="1" applyFont="1" applyBorder="1" applyAlignment="1">
      <alignment horizontal="center" vertical="top"/>
    </xf>
    <xf numFmtId="167" fontId="9" fillId="11" borderId="9" xfId="0" applyNumberFormat="1" applyFont="1" applyFill="1" applyBorder="1" applyAlignment="1">
      <alignment horizontal="left" vertical="top"/>
    </xf>
    <xf numFmtId="165" fontId="9" fillId="11" borderId="2" xfId="2" applyNumberFormat="1" applyFont="1" applyFill="1" applyBorder="1" applyAlignment="1">
      <alignment horizontal="left" vertical="top"/>
    </xf>
    <xf numFmtId="165" fontId="12" fillId="11" borderId="2" xfId="3" applyNumberFormat="1" applyFont="1" applyFill="1" applyBorder="1" applyAlignment="1">
      <alignment horizontal="left" vertical="top"/>
    </xf>
    <xf numFmtId="49" fontId="22" fillId="0" borderId="44" xfId="0" applyNumberFormat="1" applyFont="1" applyBorder="1" applyAlignment="1">
      <alignment horizontal="center" vertical="top"/>
    </xf>
    <xf numFmtId="49" fontId="0" fillId="0" borderId="41" xfId="0" applyNumberFormat="1" applyFont="1" applyBorder="1" applyAlignment="1">
      <alignment horizontal="center" vertical="top"/>
    </xf>
    <xf numFmtId="49" fontId="22" fillId="0" borderId="44" xfId="0" applyNumberFormat="1" applyFont="1" applyBorder="1" applyAlignment="1">
      <alignment horizontal="center" vertical="center"/>
    </xf>
    <xf numFmtId="49" fontId="22" fillId="0" borderId="41" xfId="0" applyNumberFormat="1" applyFont="1" applyBorder="1" applyAlignment="1">
      <alignment horizontal="center" vertical="center"/>
    </xf>
    <xf numFmtId="165" fontId="16" fillId="11" borderId="2" xfId="1"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7" fontId="16" fillId="11" borderId="6" xfId="2" applyNumberFormat="1" applyFont="1" applyFill="1" applyBorder="1" applyAlignment="1">
      <alignment horizontal="left" vertical="top"/>
    </xf>
    <xf numFmtId="167" fontId="16" fillId="10" borderId="6" xfId="2" applyNumberFormat="1" applyFont="1" applyFill="1" applyBorder="1" applyAlignment="1">
      <alignment horizontal="left" vertical="top"/>
    </xf>
    <xf numFmtId="167" fontId="16" fillId="10" borderId="6" xfId="2" applyNumberFormat="1" applyFont="1" applyFill="1" applyBorder="1" applyAlignment="1">
      <alignment horizontal="left" vertical="top"/>
    </xf>
    <xf numFmtId="167" fontId="16" fillId="10" borderId="9" xfId="2" applyNumberFormat="1" applyFont="1" applyFill="1" applyBorder="1" applyAlignment="1">
      <alignment horizontal="left" vertical="top"/>
    </xf>
    <xf numFmtId="167" fontId="16" fillId="10" borderId="9"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7" fontId="16" fillId="10" borderId="6" xfId="2" applyNumberFormat="1" applyFont="1" applyFill="1" applyBorder="1" applyAlignment="1">
      <alignment horizontal="left" vertical="top"/>
    </xf>
    <xf numFmtId="49" fontId="0" fillId="0" borderId="44" xfId="0" applyNumberFormat="1" applyFont="1" applyBorder="1" applyAlignment="1">
      <alignment horizontal="center" vertical="top"/>
    </xf>
    <xf numFmtId="49" fontId="0" fillId="0" borderId="41" xfId="0" applyNumberFormat="1" applyFont="1" applyBorder="1" applyAlignment="1">
      <alignment horizontal="center" vertical="top"/>
    </xf>
    <xf numFmtId="49" fontId="22" fillId="0" borderId="44" xfId="0" applyNumberFormat="1" applyFont="1" applyBorder="1" applyAlignment="1">
      <alignment horizontal="center" vertical="top"/>
    </xf>
    <xf numFmtId="49" fontId="22" fillId="0" borderId="44" xfId="0" applyNumberFormat="1" applyFont="1" applyBorder="1" applyAlignment="1">
      <alignment horizontal="center" vertical="center"/>
    </xf>
    <xf numFmtId="49" fontId="22" fillId="0" borderId="41" xfId="0" applyNumberFormat="1" applyFont="1" applyBorder="1" applyAlignment="1">
      <alignment horizontal="center" vertical="center"/>
    </xf>
    <xf numFmtId="167" fontId="16" fillId="11" borderId="6" xfId="2" applyNumberFormat="1" applyFont="1" applyFill="1" applyBorder="1" applyAlignment="1">
      <alignment horizontal="left" vertical="top"/>
    </xf>
    <xf numFmtId="165" fontId="16" fillId="11" borderId="7" xfId="2" applyNumberFormat="1" applyFont="1" applyFill="1" applyBorder="1" applyAlignment="1">
      <alignment horizontal="left" vertical="top"/>
    </xf>
    <xf numFmtId="165" fontId="16" fillId="11" borderId="7" xfId="1" applyNumberFormat="1" applyFont="1" applyFill="1" applyBorder="1" applyAlignment="1">
      <alignment horizontal="left" vertical="top"/>
    </xf>
    <xf numFmtId="165" fontId="16" fillId="11" borderId="7"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7" xfId="1"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7" fontId="16" fillId="11" borderId="6" xfId="2" applyNumberFormat="1" applyFont="1" applyFill="1" applyBorder="1" applyAlignment="1">
      <alignment horizontal="left" vertical="top"/>
    </xf>
    <xf numFmtId="167" fontId="9" fillId="11" borderId="9" xfId="2" applyNumberFormat="1" applyFont="1" applyFill="1" applyBorder="1" applyAlignment="1">
      <alignment horizontal="left" vertical="top"/>
    </xf>
    <xf numFmtId="165" fontId="14" fillId="11" borderId="2" xfId="1" applyNumberFormat="1" applyFont="1" applyFill="1" applyBorder="1" applyAlignment="1">
      <alignment horizontal="left" vertical="top"/>
    </xf>
    <xf numFmtId="167" fontId="16" fillId="11" borderId="9" xfId="2" applyNumberFormat="1" applyFont="1" applyFill="1" applyBorder="1" applyAlignment="1">
      <alignment horizontal="left" vertical="top"/>
    </xf>
    <xf numFmtId="165" fontId="16" fillId="11" borderId="7"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7" xfId="1"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7" fontId="16" fillId="11" borderId="6" xfId="2" applyNumberFormat="1" applyFont="1" applyFill="1" applyBorder="1" applyAlignment="1">
      <alignment horizontal="left" vertical="top"/>
    </xf>
    <xf numFmtId="167" fontId="16" fillId="11" borderId="9" xfId="2" applyNumberFormat="1" applyFont="1" applyFill="1" applyBorder="1" applyAlignment="1">
      <alignment horizontal="left" vertical="top"/>
    </xf>
    <xf numFmtId="165" fontId="16" fillId="11" borderId="7"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7" xfId="1"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7" fontId="16" fillId="10" borderId="6" xfId="2" applyNumberFormat="1" applyFont="1" applyFill="1" applyBorder="1" applyAlignment="1">
      <alignment horizontal="left" vertical="top"/>
    </xf>
    <xf numFmtId="167" fontId="16" fillId="10" borderId="9" xfId="2" applyNumberFormat="1" applyFont="1" applyFill="1" applyBorder="1" applyAlignment="1">
      <alignment horizontal="left" vertical="top"/>
    </xf>
    <xf numFmtId="49" fontId="0" fillId="0" borderId="41" xfId="0" applyNumberFormat="1" applyFont="1" applyBorder="1" applyAlignment="1">
      <alignment horizontal="center" vertical="top"/>
    </xf>
    <xf numFmtId="49" fontId="22" fillId="0" borderId="44" xfId="0" applyNumberFormat="1" applyFont="1" applyBorder="1" applyAlignment="1">
      <alignment horizontal="center" vertical="top"/>
    </xf>
    <xf numFmtId="49" fontId="22" fillId="0" borderId="44" xfId="0" applyNumberFormat="1" applyFont="1" applyBorder="1" applyAlignment="1">
      <alignment horizontal="center" vertical="center"/>
    </xf>
    <xf numFmtId="49" fontId="22" fillId="0" borderId="41" xfId="0" applyNumberFormat="1" applyFont="1" applyBorder="1" applyAlignment="1">
      <alignment horizontal="center" vertical="center"/>
    </xf>
    <xf numFmtId="165" fontId="16" fillId="11" borderId="7"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7" xfId="1"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49" fontId="22" fillId="0" borderId="41" xfId="0" applyNumberFormat="1" applyFont="1" applyBorder="1" applyAlignment="1">
      <alignment horizontal="center" vertical="top"/>
    </xf>
    <xf numFmtId="49" fontId="22" fillId="0" borderId="44" xfId="0" applyNumberFormat="1" applyFont="1" applyBorder="1" applyAlignment="1">
      <alignment horizontal="center" vertical="top"/>
    </xf>
    <xf numFmtId="167" fontId="16" fillId="11" borderId="6" xfId="2" applyNumberFormat="1" applyFont="1" applyFill="1" applyBorder="1" applyAlignment="1">
      <alignment horizontal="left" vertical="top"/>
    </xf>
    <xf numFmtId="167" fontId="16" fillId="11" borderId="9" xfId="2" applyNumberFormat="1" applyFont="1" applyFill="1" applyBorder="1" applyAlignment="1">
      <alignment horizontal="left" vertical="top"/>
    </xf>
    <xf numFmtId="165" fontId="16" fillId="11" borderId="7"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7" xfId="1"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7" fontId="16" fillId="10" borderId="6" xfId="2" applyNumberFormat="1" applyFont="1" applyFill="1" applyBorder="1" applyAlignment="1">
      <alignment horizontal="left" vertical="top"/>
    </xf>
    <xf numFmtId="167" fontId="16" fillId="10" borderId="9" xfId="2" applyNumberFormat="1" applyFont="1" applyFill="1" applyBorder="1" applyAlignment="1">
      <alignment horizontal="left" vertical="top"/>
    </xf>
    <xf numFmtId="49" fontId="22" fillId="0" borderId="41" xfId="0" applyNumberFormat="1" applyFont="1" applyBorder="1" applyAlignment="1">
      <alignment horizontal="center" vertical="top"/>
    </xf>
    <xf numFmtId="166" fontId="18" fillId="0" borderId="9" xfId="0" applyNumberFormat="1" applyFont="1" applyBorder="1" applyAlignment="1">
      <alignment horizontal="left" vertical="top"/>
    </xf>
    <xf numFmtId="167" fontId="16" fillId="11" borderId="6" xfId="2" applyNumberFormat="1" applyFont="1" applyFill="1" applyBorder="1" applyAlignment="1">
      <alignment horizontal="left" vertical="top"/>
    </xf>
    <xf numFmtId="167" fontId="16" fillId="11" borderId="9"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7" fontId="16" fillId="10" borderId="6" xfId="2" applyNumberFormat="1" applyFont="1" applyFill="1" applyBorder="1" applyAlignment="1">
      <alignment horizontal="left" vertical="top"/>
    </xf>
    <xf numFmtId="167" fontId="16" fillId="10" borderId="9" xfId="2" applyNumberFormat="1" applyFont="1" applyFill="1" applyBorder="1" applyAlignment="1">
      <alignment horizontal="left" vertical="top"/>
    </xf>
    <xf numFmtId="49" fontId="22" fillId="0" borderId="41" xfId="0" applyNumberFormat="1" applyFont="1" applyBorder="1" applyAlignment="1">
      <alignment horizontal="center" vertical="top"/>
    </xf>
    <xf numFmtId="49" fontId="22" fillId="0" borderId="42" xfId="0" applyNumberFormat="1" applyFont="1" applyBorder="1" applyAlignment="1">
      <alignment horizontal="center" vertical="top"/>
    </xf>
    <xf numFmtId="0" fontId="9" fillId="3" borderId="33" xfId="5" applyFont="1" applyFill="1" applyBorder="1" applyAlignment="1">
      <alignment vertical="top" wrapText="1"/>
    </xf>
    <xf numFmtId="0" fontId="9" fillId="3" borderId="38" xfId="5" applyFont="1" applyFill="1" applyBorder="1" applyAlignment="1">
      <alignment vertical="top" wrapText="1"/>
    </xf>
    <xf numFmtId="0" fontId="9" fillId="3" borderId="34" xfId="5" applyFont="1" applyFill="1" applyBorder="1" applyAlignment="1">
      <alignment vertical="top" wrapText="1"/>
    </xf>
    <xf numFmtId="0" fontId="9" fillId="3" borderId="2" xfId="5" applyFont="1" applyFill="1" applyBorder="1" applyAlignment="1">
      <alignment vertical="top" wrapText="1"/>
    </xf>
    <xf numFmtId="0" fontId="9" fillId="0" borderId="6" xfId="0" applyFont="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9" fillId="0" borderId="3" xfId="0" applyFont="1" applyBorder="1" applyAlignment="1">
      <alignment horizontal="left" vertical="top" wrapText="1"/>
    </xf>
    <xf numFmtId="0" fontId="9" fillId="0" borderId="0" xfId="0" applyFont="1" applyBorder="1" applyAlignment="1">
      <alignment horizontal="left" vertical="top" wrapText="1"/>
    </xf>
    <xf numFmtId="0" fontId="9" fillId="0" borderId="4" xfId="0" applyFont="1" applyBorder="1" applyAlignment="1">
      <alignment horizontal="left" vertical="top" wrapText="1"/>
    </xf>
    <xf numFmtId="0" fontId="9" fillId="0" borderId="9" xfId="0" applyFont="1" applyBorder="1" applyAlignment="1">
      <alignment horizontal="left" vertical="top" wrapText="1"/>
    </xf>
    <xf numFmtId="0" fontId="9" fillId="0" borderId="2" xfId="0" applyFont="1" applyBorder="1" applyAlignment="1">
      <alignment horizontal="left" vertical="top" wrapText="1"/>
    </xf>
    <xf numFmtId="0" fontId="9" fillId="0" borderId="5" xfId="0" applyFont="1" applyBorder="1" applyAlignment="1">
      <alignment horizontal="left" vertical="top" wrapText="1"/>
    </xf>
    <xf numFmtId="0" fontId="9" fillId="3" borderId="33" xfId="3" applyFont="1" applyFill="1" applyBorder="1" applyAlignment="1">
      <alignment vertical="top" wrapText="1"/>
    </xf>
    <xf numFmtId="0" fontId="9" fillId="3" borderId="39" xfId="3" applyFont="1" applyFill="1" applyBorder="1" applyAlignment="1">
      <alignment vertical="top" wrapText="1"/>
    </xf>
    <xf numFmtId="0" fontId="9" fillId="3" borderId="32" xfId="3" applyFont="1" applyFill="1" applyBorder="1" applyAlignment="1">
      <alignment vertical="top" wrapText="1"/>
    </xf>
    <xf numFmtId="0" fontId="9" fillId="3" borderId="14" xfId="3" applyFont="1" applyFill="1" applyBorder="1" applyAlignment="1">
      <alignment vertical="top" wrapText="1"/>
    </xf>
    <xf numFmtId="0" fontId="9" fillId="3" borderId="33" xfId="3" applyFont="1" applyFill="1" applyBorder="1" applyAlignment="1">
      <alignment horizontal="left" vertical="top" wrapText="1"/>
    </xf>
    <xf numFmtId="0" fontId="9" fillId="3" borderId="39" xfId="3" applyFont="1" applyFill="1" applyBorder="1" applyAlignment="1">
      <alignment horizontal="left" vertical="top" wrapText="1"/>
    </xf>
    <xf numFmtId="0" fontId="9" fillId="3" borderId="32" xfId="3" applyFont="1" applyFill="1" applyBorder="1" applyAlignment="1">
      <alignment horizontal="left" vertical="top" wrapText="1"/>
    </xf>
    <xf numFmtId="0" fontId="9" fillId="3" borderId="14" xfId="3" applyFont="1" applyFill="1" applyBorder="1" applyAlignment="1">
      <alignment horizontal="left" vertical="top" wrapText="1"/>
    </xf>
    <xf numFmtId="0" fontId="9" fillId="3" borderId="33" xfId="3" applyFont="1" applyFill="1" applyBorder="1" applyAlignment="1">
      <alignment horizontal="left" vertical="top"/>
    </xf>
    <xf numFmtId="0" fontId="9" fillId="3" borderId="39" xfId="3" applyFont="1" applyFill="1" applyBorder="1" applyAlignment="1">
      <alignment horizontal="left" vertical="top"/>
    </xf>
    <xf numFmtId="0" fontId="9" fillId="3" borderId="32" xfId="3" applyFont="1" applyFill="1" applyBorder="1" applyAlignment="1">
      <alignment horizontal="left" vertical="top"/>
    </xf>
    <xf numFmtId="0" fontId="9" fillId="3" borderId="14" xfId="3" applyFont="1" applyFill="1" applyBorder="1" applyAlignment="1">
      <alignment horizontal="left" vertical="top"/>
    </xf>
    <xf numFmtId="0" fontId="9" fillId="3" borderId="33" xfId="5" applyFont="1" applyFill="1" applyBorder="1" applyAlignment="1">
      <alignment horizontal="left" vertical="top" wrapText="1"/>
    </xf>
    <xf numFmtId="0" fontId="9" fillId="3" borderId="36" xfId="5" applyFont="1" applyFill="1" applyBorder="1" applyAlignment="1">
      <alignment horizontal="left" vertical="top" wrapText="1"/>
    </xf>
    <xf numFmtId="0" fontId="9" fillId="3" borderId="32" xfId="5" applyFont="1" applyFill="1" applyBorder="1" applyAlignment="1">
      <alignment horizontal="left" vertical="top" wrapText="1"/>
    </xf>
    <xf numFmtId="0" fontId="9" fillId="3" borderId="40" xfId="5" applyFont="1" applyFill="1" applyBorder="1" applyAlignment="1">
      <alignment horizontal="left" vertical="top" wrapText="1"/>
    </xf>
    <xf numFmtId="0" fontId="9" fillId="3" borderId="36" xfId="3" applyFont="1" applyFill="1" applyBorder="1" applyAlignment="1">
      <alignment vertical="top" wrapText="1"/>
    </xf>
    <xf numFmtId="0" fontId="9" fillId="3" borderId="35" xfId="3" applyFont="1" applyFill="1" applyBorder="1" applyAlignment="1">
      <alignment vertical="top" wrapText="1"/>
    </xf>
    <xf numFmtId="0" fontId="10" fillId="5" borderId="6" xfId="2" applyFont="1" applyBorder="1" applyAlignment="1">
      <alignment horizontal="right"/>
    </xf>
    <xf numFmtId="0" fontId="10" fillId="5" borderId="7" xfId="2" applyFont="1" applyBorder="1" applyAlignment="1">
      <alignment horizontal="right"/>
    </xf>
    <xf numFmtId="0" fontId="9" fillId="3" borderId="31" xfId="1" applyFont="1" applyFill="1" applyBorder="1" applyAlignment="1">
      <alignment horizontal="left" vertical="top"/>
    </xf>
    <xf numFmtId="0" fontId="9" fillId="3" borderId="8" xfId="1" applyFont="1" applyFill="1" applyBorder="1" applyAlignment="1">
      <alignment horizontal="left" vertical="top"/>
    </xf>
    <xf numFmtId="0" fontId="9" fillId="3" borderId="32" xfId="1" applyFont="1" applyFill="1" applyBorder="1" applyAlignment="1">
      <alignment horizontal="left" vertical="top"/>
    </xf>
    <xf numFmtId="0" fontId="9" fillId="3" borderId="35" xfId="1" applyFont="1" applyFill="1" applyBorder="1" applyAlignment="1">
      <alignment horizontal="left" vertical="top"/>
    </xf>
    <xf numFmtId="0" fontId="9" fillId="3" borderId="10" xfId="3" applyFont="1" applyFill="1" applyBorder="1" applyAlignment="1">
      <alignment horizontal="left" vertical="top" wrapText="1"/>
    </xf>
    <xf numFmtId="0" fontId="9" fillId="3" borderId="20" xfId="1" applyFont="1" applyFill="1" applyBorder="1" applyAlignment="1">
      <alignment horizontal="left" vertical="top"/>
    </xf>
    <xf numFmtId="0" fontId="9" fillId="3" borderId="21" xfId="1" applyFont="1" applyFill="1" applyBorder="1" applyAlignment="1">
      <alignment horizontal="left" vertical="top"/>
    </xf>
    <xf numFmtId="0" fontId="9" fillId="10" borderId="33" xfId="3" applyFont="1" applyFill="1" applyBorder="1" applyAlignment="1">
      <alignment vertical="top" wrapText="1"/>
    </xf>
    <xf numFmtId="0" fontId="9" fillId="10" borderId="36" xfId="3" applyFont="1" applyFill="1" applyBorder="1" applyAlignment="1">
      <alignment vertical="top" wrapText="1"/>
    </xf>
    <xf numFmtId="0" fontId="9" fillId="10" borderId="32" xfId="3" applyFont="1" applyFill="1" applyBorder="1" applyAlignment="1">
      <alignment vertical="top" wrapText="1"/>
    </xf>
    <xf numFmtId="0" fontId="9" fillId="10" borderId="35" xfId="3" applyFont="1" applyFill="1" applyBorder="1" applyAlignment="1">
      <alignment vertical="top" wrapText="1"/>
    </xf>
    <xf numFmtId="0" fontId="9" fillId="9" borderId="33" xfId="3" applyFont="1" applyFill="1" applyBorder="1" applyAlignment="1">
      <alignment horizontal="left" vertical="top" wrapText="1"/>
    </xf>
    <xf numFmtId="0" fontId="9" fillId="9" borderId="39" xfId="3" applyFont="1" applyFill="1" applyBorder="1" applyAlignment="1">
      <alignment horizontal="left" vertical="top" wrapText="1"/>
    </xf>
    <xf numFmtId="0" fontId="9" fillId="9" borderId="32" xfId="3" applyFont="1" applyFill="1" applyBorder="1" applyAlignment="1">
      <alignment horizontal="left" vertical="top" wrapText="1"/>
    </xf>
    <xf numFmtId="0" fontId="9" fillId="9" borderId="14" xfId="3" applyFont="1" applyFill="1" applyBorder="1" applyAlignment="1">
      <alignment horizontal="left" vertical="top" wrapText="1"/>
    </xf>
    <xf numFmtId="0" fontId="9" fillId="10" borderId="33" xfId="3" applyFont="1" applyFill="1" applyBorder="1" applyAlignment="1">
      <alignment horizontal="left" vertical="top" wrapText="1"/>
    </xf>
    <xf numFmtId="0" fontId="9" fillId="10" borderId="39" xfId="3" applyFont="1" applyFill="1" applyBorder="1" applyAlignment="1">
      <alignment horizontal="left" vertical="top" wrapText="1"/>
    </xf>
    <xf numFmtId="0" fontId="9" fillId="10" borderId="32" xfId="3" applyFont="1" applyFill="1" applyBorder="1" applyAlignment="1">
      <alignment horizontal="left" vertical="top" wrapText="1"/>
    </xf>
    <xf numFmtId="0" fontId="9" fillId="10" borderId="14" xfId="3" applyFont="1" applyFill="1" applyBorder="1" applyAlignment="1">
      <alignment horizontal="left" vertical="top" wrapText="1"/>
    </xf>
    <xf numFmtId="0" fontId="9" fillId="10" borderId="31" xfId="1" applyFont="1" applyFill="1" applyBorder="1" applyAlignment="1">
      <alignment horizontal="left" vertical="top"/>
    </xf>
    <xf numFmtId="0" fontId="9" fillId="10" borderId="8" xfId="1" applyFont="1" applyFill="1" applyBorder="1" applyAlignment="1">
      <alignment horizontal="left" vertical="top"/>
    </xf>
    <xf numFmtId="0" fontId="9" fillId="10" borderId="32" xfId="1" applyFont="1" applyFill="1" applyBorder="1" applyAlignment="1">
      <alignment horizontal="left" vertical="top"/>
    </xf>
    <xf numFmtId="0" fontId="9" fillId="10" borderId="35" xfId="1" applyFont="1" applyFill="1" applyBorder="1" applyAlignment="1">
      <alignment horizontal="left" vertical="top"/>
    </xf>
    <xf numFmtId="0" fontId="9" fillId="9" borderId="33" xfId="3" applyFont="1" applyFill="1" applyBorder="1" applyAlignment="1">
      <alignment vertical="top" wrapText="1"/>
    </xf>
    <xf numFmtId="0" fontId="9" fillId="9" borderId="39" xfId="3" applyFont="1" applyFill="1" applyBorder="1" applyAlignment="1">
      <alignment vertical="top" wrapText="1"/>
    </xf>
    <xf numFmtId="0" fontId="9" fillId="9" borderId="32" xfId="3" applyFont="1" applyFill="1" applyBorder="1" applyAlignment="1">
      <alignment vertical="top" wrapText="1"/>
    </xf>
    <xf numFmtId="0" fontId="9" fillId="9" borderId="14" xfId="3" applyFont="1" applyFill="1" applyBorder="1" applyAlignment="1">
      <alignment vertical="top" wrapText="1"/>
    </xf>
    <xf numFmtId="0" fontId="9" fillId="10" borderId="33" xfId="3" applyFont="1" applyFill="1" applyBorder="1" applyAlignment="1">
      <alignment horizontal="left" vertical="top"/>
    </xf>
    <xf numFmtId="0" fontId="9" fillId="10" borderId="39" xfId="3" applyFont="1" applyFill="1" applyBorder="1" applyAlignment="1">
      <alignment horizontal="left" vertical="top"/>
    </xf>
    <xf numFmtId="0" fontId="9" fillId="10" borderId="32" xfId="3" applyFont="1" applyFill="1" applyBorder="1" applyAlignment="1">
      <alignment horizontal="left" vertical="top"/>
    </xf>
    <xf numFmtId="0" fontId="9" fillId="10" borderId="14" xfId="3" applyFont="1" applyFill="1" applyBorder="1" applyAlignment="1">
      <alignment horizontal="left" vertical="top"/>
    </xf>
    <xf numFmtId="0" fontId="9" fillId="10" borderId="33" xfId="5" applyFont="1" applyFill="1" applyBorder="1" applyAlignment="1">
      <alignment horizontal="left" vertical="top" wrapText="1"/>
    </xf>
    <xf numFmtId="0" fontId="9" fillId="10" borderId="36" xfId="5" applyFont="1" applyFill="1" applyBorder="1" applyAlignment="1">
      <alignment horizontal="left" vertical="top" wrapText="1"/>
    </xf>
    <xf numFmtId="0" fontId="9" fillId="10" borderId="32" xfId="5" applyFont="1" applyFill="1" applyBorder="1" applyAlignment="1">
      <alignment horizontal="left" vertical="top" wrapText="1"/>
    </xf>
    <xf numFmtId="0" fontId="9" fillId="10" borderId="40" xfId="5" applyFont="1" applyFill="1" applyBorder="1" applyAlignment="1">
      <alignment horizontal="left" vertical="top" wrapText="1"/>
    </xf>
    <xf numFmtId="0" fontId="9" fillId="9" borderId="33" xfId="5" applyFont="1" applyFill="1" applyBorder="1" applyAlignment="1">
      <alignment vertical="top" wrapText="1"/>
    </xf>
    <xf numFmtId="0" fontId="9" fillId="9" borderId="38" xfId="5" applyFont="1" applyFill="1" applyBorder="1" applyAlignment="1">
      <alignment vertical="top" wrapText="1"/>
    </xf>
    <xf numFmtId="0" fontId="9" fillId="9" borderId="34" xfId="5" applyFont="1" applyFill="1" applyBorder="1" applyAlignment="1">
      <alignment vertical="top" wrapText="1"/>
    </xf>
    <xf numFmtId="0" fontId="9" fillId="9" borderId="2" xfId="5" applyFont="1" applyFill="1" applyBorder="1" applyAlignment="1">
      <alignment vertical="top" wrapText="1"/>
    </xf>
    <xf numFmtId="0" fontId="9" fillId="10" borderId="39" xfId="3" applyFont="1" applyFill="1" applyBorder="1" applyAlignment="1">
      <alignment vertical="top" wrapText="1"/>
    </xf>
    <xf numFmtId="0" fontId="9" fillId="10" borderId="14" xfId="3" applyFont="1" applyFill="1" applyBorder="1" applyAlignment="1">
      <alignment vertical="top" wrapText="1"/>
    </xf>
    <xf numFmtId="0" fontId="0" fillId="0" borderId="44" xfId="0" applyFont="1" applyBorder="1" applyAlignment="1">
      <alignment horizontal="center" vertical="top"/>
    </xf>
    <xf numFmtId="0" fontId="0" fillId="0" borderId="41" xfId="0" applyFont="1" applyBorder="1" applyAlignment="1">
      <alignment horizontal="center" vertical="top"/>
    </xf>
    <xf numFmtId="0" fontId="17" fillId="0" borderId="6" xfId="0" applyFont="1" applyBorder="1" applyAlignment="1">
      <alignment horizontal="left" vertical="top" wrapText="1"/>
    </xf>
    <xf numFmtId="0" fontId="17" fillId="0" borderId="7" xfId="0" applyFont="1" applyBorder="1" applyAlignment="1">
      <alignment horizontal="left" vertical="top" wrapText="1"/>
    </xf>
    <xf numFmtId="0" fontId="17" fillId="0" borderId="8" xfId="0" applyFont="1" applyBorder="1" applyAlignment="1">
      <alignment horizontal="left" vertical="top" wrapText="1"/>
    </xf>
    <xf numFmtId="0" fontId="17" fillId="0" borderId="3" xfId="0" applyFont="1" applyBorder="1" applyAlignment="1">
      <alignment horizontal="left" vertical="top" wrapText="1"/>
    </xf>
    <xf numFmtId="0" fontId="17" fillId="0" borderId="0" xfId="0" applyFont="1" applyBorder="1" applyAlignment="1">
      <alignment horizontal="left" vertical="top" wrapText="1"/>
    </xf>
    <xf numFmtId="0" fontId="17" fillId="0" borderId="4" xfId="0" applyFont="1" applyBorder="1" applyAlignment="1">
      <alignment horizontal="left" vertical="top" wrapText="1"/>
    </xf>
    <xf numFmtId="0" fontId="17" fillId="0" borderId="9" xfId="0" applyFont="1" applyBorder="1" applyAlignment="1">
      <alignment horizontal="left" vertical="top" wrapText="1"/>
    </xf>
    <xf numFmtId="0" fontId="17" fillId="0" borderId="2" xfId="0" applyFont="1" applyBorder="1" applyAlignment="1">
      <alignment horizontal="left" vertical="top" wrapText="1"/>
    </xf>
    <xf numFmtId="0" fontId="17" fillId="0" borderId="5" xfId="0" applyFont="1" applyBorder="1" applyAlignment="1">
      <alignment horizontal="left" vertical="top" wrapText="1"/>
    </xf>
    <xf numFmtId="0" fontId="10" fillId="5" borderId="6" xfId="2" applyFont="1" applyBorder="1" applyAlignment="1">
      <alignment horizontal="center"/>
    </xf>
    <xf numFmtId="0" fontId="10" fillId="5" borderId="7" xfId="2" applyFont="1" applyBorder="1" applyAlignment="1">
      <alignment horizontal="center"/>
    </xf>
    <xf numFmtId="0" fontId="17" fillId="12" borderId="7" xfId="1" applyFont="1" applyFill="1" applyBorder="1" applyAlignment="1">
      <alignment horizontal="left" vertical="top" wrapText="1"/>
    </xf>
    <xf numFmtId="0" fontId="17" fillId="12" borderId="8" xfId="1" applyFont="1" applyFill="1" applyBorder="1" applyAlignment="1">
      <alignment horizontal="left" vertical="top"/>
    </xf>
    <xf numFmtId="0" fontId="17" fillId="12" borderId="2" xfId="1" applyFont="1" applyFill="1" applyBorder="1" applyAlignment="1">
      <alignment horizontal="left" vertical="top"/>
    </xf>
    <xf numFmtId="0" fontId="17" fillId="12" borderId="5" xfId="1" applyFont="1" applyFill="1" applyBorder="1" applyAlignment="1">
      <alignment horizontal="left" vertical="top"/>
    </xf>
    <xf numFmtId="0" fontId="17" fillId="10" borderId="7" xfId="3" applyFont="1" applyFill="1" applyBorder="1" applyAlignment="1">
      <alignment vertical="top" wrapText="1"/>
    </xf>
    <xf numFmtId="0" fontId="17" fillId="10" borderId="8" xfId="3" applyFont="1" applyFill="1" applyBorder="1" applyAlignment="1">
      <alignment vertical="top" wrapText="1"/>
    </xf>
    <xf numFmtId="0" fontId="17" fillId="10" borderId="2" xfId="3" applyFont="1" applyFill="1" applyBorder="1" applyAlignment="1">
      <alignment vertical="top" wrapText="1"/>
    </xf>
    <xf numFmtId="0" fontId="17" fillId="10" borderId="5" xfId="3" applyFont="1" applyFill="1" applyBorder="1" applyAlignment="1">
      <alignment vertical="top" wrapText="1"/>
    </xf>
    <xf numFmtId="0" fontId="17" fillId="12" borderId="7" xfId="3" applyFont="1" applyFill="1" applyBorder="1" applyAlignment="1">
      <alignment vertical="top" wrapText="1"/>
    </xf>
    <xf numFmtId="0" fontId="17" fillId="12" borderId="8" xfId="3" applyFont="1" applyFill="1" applyBorder="1" applyAlignment="1">
      <alignment vertical="top" wrapText="1"/>
    </xf>
    <xf numFmtId="0" fontId="17" fillId="12" borderId="2" xfId="3" applyFont="1" applyFill="1" applyBorder="1" applyAlignment="1">
      <alignment vertical="top" wrapText="1"/>
    </xf>
    <xf numFmtId="0" fontId="17" fillId="12" borderId="5" xfId="3" applyFont="1" applyFill="1" applyBorder="1" applyAlignment="1">
      <alignment vertical="top" wrapText="1"/>
    </xf>
    <xf numFmtId="0" fontId="17" fillId="10" borderId="0" xfId="3" applyFont="1" applyFill="1" applyBorder="1" applyAlignment="1">
      <alignment horizontal="left" vertical="top" wrapText="1"/>
    </xf>
    <xf numFmtId="0" fontId="17" fillId="10" borderId="4" xfId="3" applyFont="1" applyFill="1" applyBorder="1" applyAlignment="1">
      <alignment horizontal="left" vertical="top" wrapText="1"/>
    </xf>
    <xf numFmtId="0" fontId="17" fillId="10" borderId="2" xfId="3" applyFont="1" applyFill="1" applyBorder="1" applyAlignment="1">
      <alignment horizontal="left" vertical="top" wrapText="1"/>
    </xf>
    <xf numFmtId="0" fontId="17" fillId="10" borderId="5" xfId="3" applyFont="1" applyFill="1" applyBorder="1" applyAlignment="1">
      <alignment horizontal="left" vertical="top" wrapText="1"/>
    </xf>
    <xf numFmtId="0" fontId="17" fillId="11" borderId="7" xfId="3" applyFont="1" applyFill="1" applyBorder="1" applyAlignment="1">
      <alignment vertical="top" wrapText="1"/>
    </xf>
    <xf numFmtId="0" fontId="17" fillId="11" borderId="8" xfId="3" applyFont="1" applyFill="1" applyBorder="1" applyAlignment="1">
      <alignment vertical="top" wrapText="1"/>
    </xf>
    <xf numFmtId="0" fontId="17" fillId="11" borderId="2" xfId="3" applyFont="1" applyFill="1" applyBorder="1" applyAlignment="1">
      <alignment vertical="top" wrapText="1"/>
    </xf>
    <xf numFmtId="0" fontId="17" fillId="11" borderId="5" xfId="3" applyFont="1" applyFill="1" applyBorder="1" applyAlignment="1">
      <alignment vertical="top" wrapText="1"/>
    </xf>
    <xf numFmtId="0" fontId="22" fillId="0" borderId="44" xfId="0" applyFont="1" applyBorder="1" applyAlignment="1">
      <alignment horizontal="center" vertical="center"/>
    </xf>
    <xf numFmtId="0" fontId="22" fillId="0" borderId="41" xfId="0" applyFont="1" applyBorder="1" applyAlignment="1">
      <alignment horizontal="center" vertical="center"/>
    </xf>
    <xf numFmtId="0" fontId="17" fillId="10" borderId="7" xfId="3" applyFont="1" applyFill="1" applyBorder="1" applyAlignment="1">
      <alignment horizontal="left" vertical="top" wrapText="1"/>
    </xf>
    <xf numFmtId="0" fontId="17" fillId="10" borderId="8" xfId="3" applyFont="1" applyFill="1" applyBorder="1" applyAlignment="1">
      <alignment horizontal="left" vertical="top" wrapText="1"/>
    </xf>
    <xf numFmtId="0" fontId="17" fillId="12" borderId="7" xfId="3" applyFont="1" applyFill="1" applyBorder="1" applyAlignment="1">
      <alignment horizontal="left" vertical="top" wrapText="1"/>
    </xf>
    <xf numFmtId="0" fontId="17" fillId="12" borderId="8" xfId="3" applyFont="1" applyFill="1" applyBorder="1" applyAlignment="1">
      <alignment horizontal="left" vertical="top" wrapText="1"/>
    </xf>
    <xf numFmtId="0" fontId="17" fillId="12" borderId="2" xfId="3" applyFont="1" applyFill="1" applyBorder="1" applyAlignment="1">
      <alignment horizontal="left" vertical="top" wrapText="1"/>
    </xf>
    <xf numFmtId="0" fontId="17" fillId="12" borderId="5" xfId="3" applyFont="1" applyFill="1" applyBorder="1" applyAlignment="1">
      <alignment horizontal="left" vertical="top" wrapText="1"/>
    </xf>
    <xf numFmtId="0" fontId="17" fillId="11" borderId="7" xfId="3" applyFont="1" applyFill="1" applyBorder="1" applyAlignment="1">
      <alignment horizontal="left" vertical="top" wrapText="1"/>
    </xf>
    <xf numFmtId="0" fontId="17" fillId="11" borderId="8" xfId="3" applyFont="1" applyFill="1" applyBorder="1" applyAlignment="1">
      <alignment horizontal="left" vertical="top" wrapText="1"/>
    </xf>
    <xf numFmtId="0" fontId="17" fillId="11" borderId="2" xfId="3" applyFont="1" applyFill="1" applyBorder="1" applyAlignment="1">
      <alignment horizontal="left" vertical="top" wrapText="1"/>
    </xf>
    <xf numFmtId="0" fontId="17" fillId="11" borderId="5" xfId="3" applyFont="1" applyFill="1" applyBorder="1" applyAlignment="1">
      <alignment horizontal="left" vertical="top" wrapText="1"/>
    </xf>
    <xf numFmtId="49" fontId="0" fillId="0" borderId="44" xfId="0" applyNumberFormat="1" applyFont="1" applyBorder="1" applyAlignment="1">
      <alignment horizontal="center" vertical="top"/>
    </xf>
    <xf numFmtId="49" fontId="0" fillId="0" borderId="41" xfId="0" applyNumberFormat="1" applyFont="1" applyBorder="1" applyAlignment="1">
      <alignment horizontal="center" vertical="top"/>
    </xf>
    <xf numFmtId="0" fontId="17" fillId="12" borderId="0" xfId="3" applyFont="1" applyFill="1" applyBorder="1" applyAlignment="1">
      <alignment horizontal="left" vertical="top" wrapText="1"/>
    </xf>
    <xf numFmtId="0" fontId="17" fillId="12" borderId="4" xfId="3" applyFont="1" applyFill="1" applyBorder="1" applyAlignment="1">
      <alignment horizontal="left" vertical="top" wrapText="1"/>
    </xf>
    <xf numFmtId="49" fontId="22" fillId="0" borderId="44" xfId="0" applyNumberFormat="1" applyFont="1" applyBorder="1" applyAlignment="1">
      <alignment horizontal="center" vertical="top"/>
    </xf>
    <xf numFmtId="0" fontId="16" fillId="10" borderId="7" xfId="3" applyFont="1" applyFill="1" applyBorder="1" applyAlignment="1">
      <alignment horizontal="left" vertical="top" wrapText="1"/>
    </xf>
    <xf numFmtId="0" fontId="16" fillId="12" borderId="7" xfId="1" applyFont="1" applyFill="1" applyBorder="1" applyAlignment="1">
      <alignment horizontal="left" vertical="top" wrapText="1"/>
    </xf>
    <xf numFmtId="49" fontId="22" fillId="0" borderId="44" xfId="0" applyNumberFormat="1" applyFont="1" applyBorder="1" applyAlignment="1">
      <alignment horizontal="center" vertical="center"/>
    </xf>
    <xf numFmtId="49" fontId="22" fillId="0" borderId="41" xfId="0" applyNumberFormat="1" applyFont="1" applyBorder="1" applyAlignment="1">
      <alignment horizontal="center" vertical="center"/>
    </xf>
    <xf numFmtId="0" fontId="16" fillId="12" borderId="7" xfId="3" applyFont="1" applyFill="1" applyBorder="1" applyAlignment="1">
      <alignment horizontal="left" vertical="top" wrapText="1"/>
    </xf>
    <xf numFmtId="0" fontId="16" fillId="12" borderId="8" xfId="3" applyFont="1" applyFill="1" applyBorder="1" applyAlignment="1">
      <alignment horizontal="left" vertical="top" wrapText="1"/>
    </xf>
    <xf numFmtId="0" fontId="16" fillId="12" borderId="2" xfId="3" applyFont="1" applyFill="1" applyBorder="1" applyAlignment="1">
      <alignment horizontal="left" vertical="top" wrapText="1"/>
    </xf>
    <xf numFmtId="0" fontId="16" fillId="12" borderId="5" xfId="3" applyFont="1" applyFill="1" applyBorder="1" applyAlignment="1">
      <alignment horizontal="left" vertical="top" wrapText="1"/>
    </xf>
    <xf numFmtId="0" fontId="17" fillId="11" borderId="0" xfId="3" applyFont="1" applyFill="1" applyBorder="1" applyAlignment="1">
      <alignment horizontal="left" vertical="top" wrapText="1"/>
    </xf>
    <xf numFmtId="0" fontId="17" fillId="11" borderId="4" xfId="3" applyFont="1" applyFill="1" applyBorder="1" applyAlignment="1">
      <alignment horizontal="left" vertical="top" wrapText="1"/>
    </xf>
    <xf numFmtId="0" fontId="16" fillId="11" borderId="7" xfId="3" applyFont="1" applyFill="1" applyBorder="1" applyAlignment="1">
      <alignment horizontal="left" vertical="top" wrapText="1"/>
    </xf>
    <xf numFmtId="0" fontId="16" fillId="11" borderId="8" xfId="3" applyFont="1" applyFill="1" applyBorder="1" applyAlignment="1">
      <alignment horizontal="left" vertical="top" wrapText="1"/>
    </xf>
    <xf numFmtId="0" fontId="16" fillId="11" borderId="2" xfId="3" applyFont="1" applyFill="1" applyBorder="1" applyAlignment="1">
      <alignment horizontal="left" vertical="top" wrapText="1"/>
    </xf>
    <xf numFmtId="0" fontId="16" fillId="11" borderId="5" xfId="3" applyFont="1" applyFill="1" applyBorder="1" applyAlignment="1">
      <alignment horizontal="left" vertical="top" wrapText="1"/>
    </xf>
    <xf numFmtId="0" fontId="16" fillId="10" borderId="8" xfId="3" applyFont="1" applyFill="1" applyBorder="1" applyAlignment="1">
      <alignment horizontal="left" vertical="top" wrapText="1"/>
    </xf>
    <xf numFmtId="0" fontId="16" fillId="10" borderId="2" xfId="3" applyFont="1" applyFill="1" applyBorder="1" applyAlignment="1">
      <alignment horizontal="left" vertical="top" wrapText="1"/>
    </xf>
    <xf numFmtId="0" fontId="16" fillId="10" borderId="5" xfId="3" applyFont="1" applyFill="1" applyBorder="1" applyAlignment="1">
      <alignment horizontal="left" vertical="top" wrapText="1"/>
    </xf>
    <xf numFmtId="0" fontId="17" fillId="11" borderId="7" xfId="1" applyFont="1" applyFill="1" applyBorder="1" applyAlignment="1">
      <alignment horizontal="left" vertical="top" wrapText="1"/>
    </xf>
    <xf numFmtId="0" fontId="17" fillId="11" borderId="8" xfId="1" applyFont="1" applyFill="1" applyBorder="1" applyAlignment="1">
      <alignment horizontal="left" vertical="top"/>
    </xf>
    <xf numFmtId="0" fontId="17" fillId="11" borderId="2" xfId="1" applyFont="1" applyFill="1" applyBorder="1" applyAlignment="1">
      <alignment horizontal="left" vertical="top"/>
    </xf>
    <xf numFmtId="0" fontId="17" fillId="11" borderId="5" xfId="1" applyFont="1" applyFill="1" applyBorder="1" applyAlignment="1">
      <alignment horizontal="left" vertical="top"/>
    </xf>
    <xf numFmtId="167" fontId="16" fillId="11" borderId="6" xfId="2" applyNumberFormat="1" applyFont="1" applyFill="1" applyBorder="1" applyAlignment="1">
      <alignment horizontal="left" vertical="top"/>
    </xf>
    <xf numFmtId="167" fontId="16" fillId="11" borderId="9" xfId="2" applyNumberFormat="1" applyFont="1" applyFill="1" applyBorder="1" applyAlignment="1">
      <alignment horizontal="left" vertical="top"/>
    </xf>
    <xf numFmtId="165" fontId="16" fillId="11" borderId="7" xfId="2" applyNumberFormat="1" applyFont="1" applyFill="1" applyBorder="1" applyAlignment="1">
      <alignment horizontal="left" vertical="top"/>
    </xf>
    <xf numFmtId="165" fontId="16" fillId="11" borderId="2" xfId="2" applyNumberFormat="1" applyFont="1" applyFill="1" applyBorder="1" applyAlignment="1">
      <alignment horizontal="left" vertical="top"/>
    </xf>
    <xf numFmtId="165" fontId="16" fillId="11" borderId="7" xfId="1" applyNumberFormat="1" applyFont="1" applyFill="1" applyBorder="1" applyAlignment="1">
      <alignment horizontal="left" vertical="top"/>
    </xf>
    <xf numFmtId="165" fontId="16" fillId="11" borderId="2" xfId="1" applyNumberFormat="1" applyFont="1" applyFill="1" applyBorder="1" applyAlignment="1">
      <alignment horizontal="left" vertical="top"/>
    </xf>
    <xf numFmtId="167" fontId="16" fillId="10" borderId="6" xfId="2" applyNumberFormat="1" applyFont="1" applyFill="1" applyBorder="1" applyAlignment="1">
      <alignment horizontal="left" vertical="top"/>
    </xf>
    <xf numFmtId="167" fontId="16" fillId="10" borderId="9" xfId="2" applyNumberFormat="1" applyFont="1" applyFill="1" applyBorder="1" applyAlignment="1">
      <alignment horizontal="left" vertical="top"/>
    </xf>
    <xf numFmtId="0" fontId="16" fillId="12" borderId="0" xfId="3" applyFont="1" applyFill="1" applyBorder="1" applyAlignment="1">
      <alignment horizontal="left" vertical="top" wrapText="1"/>
    </xf>
    <xf numFmtId="0" fontId="16" fillId="12" borderId="4" xfId="3" applyFont="1" applyFill="1" applyBorder="1" applyAlignment="1">
      <alignment horizontal="left" vertical="top" wrapText="1"/>
    </xf>
    <xf numFmtId="49" fontId="22" fillId="0" borderId="41" xfId="0" applyNumberFormat="1" applyFont="1" applyBorder="1" applyAlignment="1">
      <alignment horizontal="center" vertical="top"/>
    </xf>
    <xf numFmtId="0" fontId="16" fillId="11" borderId="0" xfId="3" applyFont="1" applyFill="1" applyBorder="1" applyAlignment="1">
      <alignment horizontal="left" vertical="top" wrapText="1"/>
    </xf>
    <xf numFmtId="0" fontId="16" fillId="11" borderId="4" xfId="3" applyFont="1" applyFill="1" applyBorder="1" applyAlignment="1">
      <alignment horizontal="left" vertical="top" wrapText="1"/>
    </xf>
    <xf numFmtId="49" fontId="22" fillId="0" borderId="42" xfId="0" applyNumberFormat="1" applyFont="1" applyBorder="1" applyAlignment="1">
      <alignment horizontal="center" vertical="top"/>
    </xf>
  </cellXfs>
  <cellStyles count="6">
    <cellStyle name="20 % – uthevingsfarge 2" xfId="2" builtinId="34"/>
    <cellStyle name="40 % – uthevingsfarge 1" xfId="1" builtinId="31"/>
    <cellStyle name="40 % – uthevingsfarge 3" xfId="3" builtinId="39"/>
    <cellStyle name="40 % – uthevingsfarge 4" xfId="4" builtinId="43"/>
    <cellStyle name="40 % – uthevingsfarge 6" xfId="5" builtinId="51"/>
    <cellStyle name="Normal" xfId="0" builtinId="0"/>
  </cellStyles>
  <dxfs count="312">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s>
  <tableStyles count="0" defaultTableStyle="TableStyleMedium2" defaultPivotStyle="PivotStyleLight16"/>
  <colors>
    <mruColors>
      <color rgb="FFFF5757"/>
      <color rgb="FFCC3300"/>
      <color rgb="FFFFC5C5"/>
      <color rgb="FFF7C1C9"/>
      <color rgb="FFF3A7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8D5C-F80C-45B2-8793-D61BC5C202ED}">
  <sheetPr codeName="Sheet2"/>
  <dimension ref="A6"/>
  <sheetViews>
    <sheetView workbookViewId="0">
      <selection activeCell="B6" sqref="B6"/>
    </sheetView>
  </sheetViews>
  <sheetFormatPr baseColWidth="10" defaultColWidth="9" defaultRowHeight="12.75" x14ac:dyDescent="0.2"/>
  <sheetData>
    <row r="6" spans="1:1" x14ac:dyDescent="0.2">
      <c r="A6" s="1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5699A-F24E-443A-BC2F-2947370A5216}">
  <sheetPr codeName="Sheet16"/>
  <dimension ref="A1:H49"/>
  <sheetViews>
    <sheetView showGridLines="0" zoomScaleNormal="100" workbookViewId="0">
      <selection activeCell="E20" sqref="E20:F21"/>
    </sheetView>
  </sheetViews>
  <sheetFormatPr baseColWidth="10" defaultColWidth="9" defaultRowHeight="12.75" x14ac:dyDescent="0.2"/>
  <cols>
    <col min="1" max="1" width="9.625" customWidth="1"/>
    <col min="2" max="2" width="6.625" customWidth="1"/>
    <col min="3" max="3" width="8.625" customWidth="1"/>
    <col min="4" max="4" width="7.625" customWidth="1"/>
    <col min="5" max="5" width="25.625" customWidth="1"/>
    <col min="6" max="7" width="13.12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12" t="s">
        <v>50</v>
      </c>
      <c r="B1" s="313"/>
      <c r="C1" s="313"/>
      <c r="D1" s="313"/>
      <c r="E1" s="313"/>
      <c r="F1" s="63">
        <f>WEEKNUM(A10)</f>
        <v>0</v>
      </c>
      <c r="G1" s="64"/>
      <c r="H1" s="14"/>
    </row>
    <row r="2" spans="1:8" s="1" customFormat="1" ht="14.25" x14ac:dyDescent="0.2">
      <c r="A2" s="65" t="s">
        <v>0</v>
      </c>
      <c r="B2" s="25"/>
      <c r="C2" s="25" t="s">
        <v>1</v>
      </c>
      <c r="D2" s="25"/>
      <c r="E2" s="44" t="s">
        <v>2</v>
      </c>
      <c r="F2" s="44" t="s">
        <v>3</v>
      </c>
      <c r="G2" s="66" t="s">
        <v>4</v>
      </c>
      <c r="H2" s="10"/>
    </row>
    <row r="3" spans="1:8" ht="13.5" thickBot="1" x14ac:dyDescent="0.25">
      <c r="A3" s="97">
        <f>A10</f>
        <v>0</v>
      </c>
      <c r="B3" s="98"/>
      <c r="C3" s="99">
        <f>A26</f>
        <v>0</v>
      </c>
      <c r="D3" s="32"/>
      <c r="E3" s="45" t="s">
        <v>5</v>
      </c>
      <c r="F3" s="33">
        <f>Sumcolor(E3,D10:D43)</f>
        <v>0</v>
      </c>
      <c r="G3" s="68">
        <f>SUM(Først:Sist!F3)</f>
        <v>0.76388888888888862</v>
      </c>
      <c r="H3" s="12"/>
    </row>
    <row r="4" spans="1:8" x14ac:dyDescent="0.2">
      <c r="A4" s="285" t="s">
        <v>6</v>
      </c>
      <c r="B4" s="286"/>
      <c r="C4" s="286" t="s">
        <v>49</v>
      </c>
      <c r="D4" s="286"/>
      <c r="E4" s="46" t="s">
        <v>7</v>
      </c>
      <c r="F4" s="33">
        <f>Sumcolor(E4,D10:D43)</f>
        <v>0</v>
      </c>
      <c r="G4" s="68">
        <f>SUM(Først:Sist!F4)</f>
        <v>3.8298611111111116</v>
      </c>
      <c r="H4" s="12"/>
    </row>
    <row r="5" spans="1:8" x14ac:dyDescent="0.2">
      <c r="A5" s="288"/>
      <c r="B5" s="289"/>
      <c r="C5" s="289"/>
      <c r="D5" s="289"/>
      <c r="E5" s="47" t="s">
        <v>8</v>
      </c>
      <c r="F5" s="33">
        <f>Sumcolor(E5,D10:D43)</f>
        <v>0</v>
      </c>
      <c r="G5" s="68">
        <f>SUM(Først:Sist!F5)</f>
        <v>0.90972222222222132</v>
      </c>
      <c r="H5" s="12"/>
    </row>
    <row r="6" spans="1:8" ht="13.5" thickBot="1" x14ac:dyDescent="0.25">
      <c r="A6" s="69">
        <f>SUM(D10:D43)</f>
        <v>0</v>
      </c>
      <c r="B6" s="34"/>
      <c r="C6" s="38">
        <f>SUM(Først:Sist!A6)</f>
        <v>7.6006944444444429</v>
      </c>
      <c r="D6" s="35"/>
      <c r="E6" s="72" t="s">
        <v>9</v>
      </c>
      <c r="F6" s="36">
        <f>Sumcolor(E6,D10:D43)</f>
        <v>0</v>
      </c>
      <c r="G6" s="70">
        <f>SUM(Først:Sist!F6)</f>
        <v>2.0972222222222214</v>
      </c>
      <c r="H6" s="12"/>
    </row>
    <row r="7" spans="1:8" x14ac:dyDescent="0.2">
      <c r="A7" s="16"/>
      <c r="B7" s="17"/>
      <c r="C7" s="18"/>
      <c r="D7" s="37"/>
      <c r="E7" s="17"/>
      <c r="F7" s="17"/>
      <c r="G7" s="17"/>
      <c r="H7" s="13"/>
    </row>
    <row r="8" spans="1:8" ht="13.5" thickBot="1" x14ac:dyDescent="0.25">
      <c r="A8" s="30"/>
      <c r="B8" s="20"/>
      <c r="C8" s="57"/>
      <c r="D8" s="20"/>
      <c r="E8" s="30"/>
      <c r="F8" s="30"/>
      <c r="G8" s="19"/>
      <c r="H8" s="13"/>
    </row>
    <row r="9" spans="1:8" ht="13.5" thickBot="1" x14ac:dyDescent="0.25">
      <c r="A9" s="77" t="s">
        <v>10</v>
      </c>
      <c r="B9" s="78" t="s">
        <v>11</v>
      </c>
      <c r="C9" s="78" t="s">
        <v>12</v>
      </c>
      <c r="D9" s="78" t="s">
        <v>13</v>
      </c>
      <c r="E9" s="75" t="s">
        <v>14</v>
      </c>
      <c r="F9" s="102"/>
      <c r="G9" s="79" t="s">
        <v>15</v>
      </c>
      <c r="H9" s="13"/>
    </row>
    <row r="10" spans="1:8" x14ac:dyDescent="0.2">
      <c r="A10" s="110"/>
      <c r="B10" s="111"/>
      <c r="C10" s="111"/>
      <c r="D10" s="112">
        <f>(C10-B10)</f>
        <v>0</v>
      </c>
      <c r="E10" s="314"/>
      <c r="F10" s="315"/>
      <c r="G10" s="81"/>
    </row>
    <row r="11" spans="1:8" x14ac:dyDescent="0.2">
      <c r="A11" s="113"/>
      <c r="B11" s="114"/>
      <c r="C11" s="114"/>
      <c r="D11" s="55"/>
      <c r="E11" s="316"/>
      <c r="F11" s="317"/>
      <c r="G11" s="100"/>
    </row>
    <row r="12" spans="1:8" x14ac:dyDescent="0.2">
      <c r="A12" s="115"/>
      <c r="B12" s="116"/>
      <c r="C12" s="116"/>
      <c r="D12" s="51">
        <f>(C12-B12)</f>
        <v>0</v>
      </c>
      <c r="E12" s="294"/>
      <c r="F12" s="295"/>
      <c r="G12" s="61"/>
    </row>
    <row r="13" spans="1:8" x14ac:dyDescent="0.2">
      <c r="A13" s="117"/>
      <c r="B13" s="114"/>
      <c r="C13" s="114"/>
      <c r="D13" s="56"/>
      <c r="E13" s="296"/>
      <c r="F13" s="297"/>
      <c r="G13" s="74"/>
    </row>
    <row r="14" spans="1:8" x14ac:dyDescent="0.2">
      <c r="A14" s="115"/>
      <c r="B14" s="116"/>
      <c r="C14" s="116"/>
      <c r="D14" s="51">
        <f>(C14-B14)</f>
        <v>0</v>
      </c>
      <c r="E14" s="294"/>
      <c r="F14" s="310"/>
      <c r="G14" s="101"/>
    </row>
    <row r="15" spans="1:8" x14ac:dyDescent="0.2">
      <c r="A15" s="117"/>
      <c r="B15" s="114"/>
      <c r="C15" s="114"/>
      <c r="D15" s="56"/>
      <c r="E15" s="296"/>
      <c r="F15" s="311"/>
      <c r="G15" s="100"/>
    </row>
    <row r="16" spans="1:8" x14ac:dyDescent="0.2">
      <c r="A16" s="115"/>
      <c r="B16" s="116"/>
      <c r="C16" s="116"/>
      <c r="D16" s="51">
        <f>(C16-B16)</f>
        <v>0</v>
      </c>
      <c r="E16" s="294"/>
      <c r="F16" s="295"/>
      <c r="G16" s="61"/>
    </row>
    <row r="17" spans="1:7" x14ac:dyDescent="0.2">
      <c r="A17" s="117"/>
      <c r="B17" s="114"/>
      <c r="C17" s="114"/>
      <c r="D17" s="56"/>
      <c r="E17" s="296"/>
      <c r="F17" s="297"/>
      <c r="G17" s="74"/>
    </row>
    <row r="18" spans="1:7" ht="13.9" customHeight="1" x14ac:dyDescent="0.2">
      <c r="A18" s="115"/>
      <c r="B18" s="116"/>
      <c r="C18" s="116"/>
      <c r="D18" s="51">
        <f>(C18-B18)</f>
        <v>0</v>
      </c>
      <c r="E18" s="298"/>
      <c r="F18" s="299"/>
      <c r="G18" s="61"/>
    </row>
    <row r="19" spans="1:7" x14ac:dyDescent="0.2">
      <c r="A19" s="117"/>
      <c r="B19" s="114"/>
      <c r="C19" s="114"/>
      <c r="D19" s="56"/>
      <c r="E19" s="300"/>
      <c r="F19" s="301"/>
      <c r="G19" s="74"/>
    </row>
    <row r="20" spans="1:7" x14ac:dyDescent="0.2">
      <c r="A20" s="115"/>
      <c r="B20" s="116"/>
      <c r="C20" s="116"/>
      <c r="D20" s="51">
        <f>(C20-B20)</f>
        <v>0</v>
      </c>
      <c r="E20" s="298"/>
      <c r="F20" s="299"/>
      <c r="G20" s="61"/>
    </row>
    <row r="21" spans="1:7" x14ac:dyDescent="0.2">
      <c r="A21" s="117"/>
      <c r="B21" s="114"/>
      <c r="C21" s="114"/>
      <c r="D21" s="56"/>
      <c r="E21" s="300"/>
      <c r="F21" s="301"/>
      <c r="G21" s="74"/>
    </row>
    <row r="22" spans="1:7" x14ac:dyDescent="0.2">
      <c r="A22" s="115"/>
      <c r="B22" s="116"/>
      <c r="C22" s="116"/>
      <c r="D22" s="51">
        <f>(C22-B22)</f>
        <v>0</v>
      </c>
      <c r="E22" s="298"/>
      <c r="F22" s="299"/>
      <c r="G22" s="61"/>
    </row>
    <row r="23" spans="1:7" x14ac:dyDescent="0.2">
      <c r="A23" s="117"/>
      <c r="B23" s="114"/>
      <c r="C23" s="114"/>
      <c r="D23" s="56"/>
      <c r="E23" s="300"/>
      <c r="F23" s="301"/>
      <c r="G23" s="74"/>
    </row>
    <row r="24" spans="1:7" x14ac:dyDescent="0.2">
      <c r="A24" s="115"/>
      <c r="B24" s="116"/>
      <c r="C24" s="116"/>
      <c r="D24" s="51"/>
      <c r="E24" s="302"/>
      <c r="F24" s="303"/>
      <c r="G24" s="61"/>
    </row>
    <row r="25" spans="1:7" x14ac:dyDescent="0.2">
      <c r="A25" s="117"/>
      <c r="B25" s="114"/>
      <c r="C25" s="114"/>
      <c r="D25" s="56"/>
      <c r="E25" s="304"/>
      <c r="F25" s="305"/>
      <c r="G25" s="74"/>
    </row>
    <row r="26" spans="1:7" ht="12.75" customHeight="1" x14ac:dyDescent="0.2">
      <c r="A26" s="115"/>
      <c r="B26" s="116"/>
      <c r="C26" s="116"/>
      <c r="D26" s="52"/>
      <c r="E26" s="306"/>
      <c r="F26" s="307"/>
      <c r="G26" s="101"/>
    </row>
    <row r="27" spans="1:7" x14ac:dyDescent="0.2">
      <c r="A27" s="117"/>
      <c r="B27" s="114"/>
      <c r="C27" s="114"/>
      <c r="D27" s="118"/>
      <c r="E27" s="308"/>
      <c r="F27" s="309"/>
      <c r="G27" s="73"/>
    </row>
    <row r="28" spans="1:7" ht="12.75" customHeight="1" x14ac:dyDescent="0.2">
      <c r="A28" s="115"/>
      <c r="B28" s="116"/>
      <c r="C28" s="116"/>
      <c r="D28" s="52"/>
      <c r="E28" s="281"/>
      <c r="F28" s="282"/>
      <c r="G28" s="108"/>
    </row>
    <row r="29" spans="1:7" ht="13.5" customHeight="1" thickBot="1" x14ac:dyDescent="0.25">
      <c r="A29" s="119"/>
      <c r="B29" s="120"/>
      <c r="C29" s="120"/>
      <c r="D29" s="53"/>
      <c r="E29" s="283"/>
      <c r="F29" s="284"/>
      <c r="G29" s="109"/>
    </row>
    <row r="30" spans="1:7" ht="12.75" customHeight="1" x14ac:dyDescent="0.2"/>
    <row r="31" spans="1:7" ht="12.75" customHeight="1" x14ac:dyDescent="0.2"/>
    <row r="32" spans="1:7" ht="12.75" customHeight="1" x14ac:dyDescent="0.2"/>
    <row r="33" spans="1:8" x14ac:dyDescent="0.2">
      <c r="A33" s="19"/>
      <c r="B33" s="19"/>
      <c r="C33" s="19"/>
      <c r="D33" s="19"/>
      <c r="E33" s="19"/>
      <c r="F33" s="19"/>
      <c r="G33" s="19"/>
      <c r="H33" s="5"/>
    </row>
    <row r="34" spans="1:8" ht="19.5" thickBot="1" x14ac:dyDescent="0.25">
      <c r="A34" s="28" t="s">
        <v>16</v>
      </c>
      <c r="B34" s="29"/>
      <c r="C34" s="30"/>
      <c r="D34" s="20"/>
      <c r="E34" s="20"/>
      <c r="F34" s="19"/>
      <c r="G34" s="19"/>
      <c r="H34" s="5"/>
    </row>
    <row r="35" spans="1:8" ht="13.5" thickBot="1" x14ac:dyDescent="0.25">
      <c r="A35" s="21"/>
      <c r="B35" s="22"/>
      <c r="C35" s="8"/>
      <c r="D35" s="9"/>
      <c r="E35" s="23"/>
      <c r="F35" s="21"/>
      <c r="G35" s="21"/>
      <c r="H35" s="6"/>
    </row>
    <row r="36" spans="1:8" ht="15.75" customHeight="1" x14ac:dyDescent="0.2">
      <c r="A36" s="285"/>
      <c r="B36" s="286"/>
      <c r="C36" s="286"/>
      <c r="D36" s="286"/>
      <c r="E36" s="287"/>
      <c r="F36" s="19"/>
      <c r="G36" s="19"/>
      <c r="H36" s="7"/>
    </row>
    <row r="37" spans="1:8" ht="12.75" customHeight="1" x14ac:dyDescent="0.2">
      <c r="A37" s="288"/>
      <c r="B37" s="289"/>
      <c r="C37" s="289"/>
      <c r="D37" s="289"/>
      <c r="E37" s="290"/>
      <c r="F37" s="24"/>
      <c r="G37" s="24"/>
      <c r="H37" s="15"/>
    </row>
    <row r="38" spans="1:8" ht="12.75" customHeight="1" x14ac:dyDescent="0.2">
      <c r="A38" s="288"/>
      <c r="B38" s="289"/>
      <c r="C38" s="289"/>
      <c r="D38" s="289"/>
      <c r="E38" s="290"/>
      <c r="F38" s="24"/>
      <c r="G38" s="24"/>
      <c r="H38" s="15"/>
    </row>
    <row r="39" spans="1:8" ht="12.75" customHeight="1" x14ac:dyDescent="0.2">
      <c r="A39" s="288"/>
      <c r="B39" s="289"/>
      <c r="C39" s="289"/>
      <c r="D39" s="289"/>
      <c r="E39" s="290"/>
      <c r="F39" s="24"/>
      <c r="G39" s="24"/>
      <c r="H39" s="15"/>
    </row>
    <row r="40" spans="1:8" ht="12.75" customHeight="1" x14ac:dyDescent="0.2">
      <c r="A40" s="288"/>
      <c r="B40" s="289"/>
      <c r="C40" s="289"/>
      <c r="D40" s="289"/>
      <c r="E40" s="290"/>
      <c r="F40" s="24"/>
      <c r="G40" s="24"/>
      <c r="H40" s="15"/>
    </row>
    <row r="41" spans="1:8" ht="12.75" customHeight="1" x14ac:dyDescent="0.2">
      <c r="A41" s="288"/>
      <c r="B41" s="289"/>
      <c r="C41" s="289"/>
      <c r="D41" s="289"/>
      <c r="E41" s="290"/>
      <c r="F41" s="24"/>
      <c r="G41" s="24"/>
      <c r="H41" s="15"/>
    </row>
    <row r="42" spans="1:8" ht="12.75" customHeight="1" x14ac:dyDescent="0.2">
      <c r="A42" s="288"/>
      <c r="B42" s="289"/>
      <c r="C42" s="289"/>
      <c r="D42" s="289"/>
      <c r="E42" s="290"/>
      <c r="F42" s="24"/>
      <c r="G42" s="24"/>
      <c r="H42" s="15"/>
    </row>
    <row r="43" spans="1:8" ht="12.75" customHeight="1" x14ac:dyDescent="0.2">
      <c r="A43" s="288"/>
      <c r="B43" s="289"/>
      <c r="C43" s="289"/>
      <c r="D43" s="289"/>
      <c r="E43" s="290"/>
      <c r="F43" s="24"/>
      <c r="G43" s="24"/>
      <c r="H43" s="15"/>
    </row>
    <row r="44" spans="1:8" ht="12.75" customHeight="1" x14ac:dyDescent="0.2">
      <c r="A44" s="288"/>
      <c r="B44" s="289"/>
      <c r="C44" s="289"/>
      <c r="D44" s="289"/>
      <c r="E44" s="290"/>
      <c r="F44" s="24"/>
      <c r="G44" s="24"/>
      <c r="H44" s="15"/>
    </row>
    <row r="45" spans="1:8" ht="12.75" customHeight="1" x14ac:dyDescent="0.2">
      <c r="A45" s="288"/>
      <c r="B45" s="289"/>
      <c r="C45" s="289"/>
      <c r="D45" s="289"/>
      <c r="E45" s="290"/>
      <c r="F45" s="24"/>
      <c r="G45" s="24"/>
      <c r="H45" s="15"/>
    </row>
    <row r="46" spans="1:8" ht="12.75" customHeight="1" x14ac:dyDescent="0.2">
      <c r="A46" s="288"/>
      <c r="B46" s="289"/>
      <c r="C46" s="289"/>
      <c r="D46" s="289"/>
      <c r="E46" s="290"/>
      <c r="F46" s="24"/>
      <c r="G46" s="24"/>
      <c r="H46" s="15"/>
    </row>
    <row r="47" spans="1:8" ht="12.75" customHeight="1" x14ac:dyDescent="0.2">
      <c r="A47" s="288"/>
      <c r="B47" s="289"/>
      <c r="C47" s="289"/>
      <c r="D47" s="289"/>
      <c r="E47" s="290"/>
      <c r="F47" s="24"/>
      <c r="G47" s="24"/>
      <c r="H47" s="15"/>
    </row>
    <row r="48" spans="1:8" ht="13.5" customHeight="1" x14ac:dyDescent="0.2">
      <c r="A48" s="288"/>
      <c r="B48" s="289"/>
      <c r="C48" s="289"/>
      <c r="D48" s="289"/>
      <c r="E48" s="290"/>
      <c r="F48" s="19"/>
      <c r="G48" s="19"/>
    </row>
    <row r="49" spans="1:7" ht="13.5" thickBot="1" x14ac:dyDescent="0.25">
      <c r="A49" s="291"/>
      <c r="B49" s="292"/>
      <c r="C49" s="292"/>
      <c r="D49" s="292"/>
      <c r="E49" s="293"/>
      <c r="F49" s="19"/>
      <c r="G49" s="19"/>
    </row>
  </sheetData>
  <mergeCells count="14">
    <mergeCell ref="E14:F15"/>
    <mergeCell ref="A1:E1"/>
    <mergeCell ref="A4:B5"/>
    <mergeCell ref="C4:D5"/>
    <mergeCell ref="E10:F11"/>
    <mergeCell ref="E12:F13"/>
    <mergeCell ref="E28:F29"/>
    <mergeCell ref="A36:E49"/>
    <mergeCell ref="E16:F17"/>
    <mergeCell ref="E18:F19"/>
    <mergeCell ref="E20:F21"/>
    <mergeCell ref="E22:F23"/>
    <mergeCell ref="E24:F25"/>
    <mergeCell ref="E26:F27"/>
  </mergeCells>
  <conditionalFormatting sqref="H33:H34">
    <cfRule type="expression" dxfId="311" priority="10">
      <formula>ISNUMBER(SEARCH(TEXT(#REF!,"ddd"),#REF!))</formula>
    </cfRule>
  </conditionalFormatting>
  <conditionalFormatting sqref="A10:D10 A26:C28 A11:A12 D11:D12 B11:C22">
    <cfRule type="expression" dxfId="310" priority="11">
      <formula>ISNUMBER(SEARCH(TEXT(#REF!,"ddd"),#REF!))</formula>
    </cfRule>
  </conditionalFormatting>
  <conditionalFormatting sqref="D14:D17">
    <cfRule type="expression" dxfId="309" priority="9">
      <formula>ISNUMBER(SEARCH(TEXT(#REF!,"ddd"),#REF!))</formula>
    </cfRule>
  </conditionalFormatting>
  <conditionalFormatting sqref="A14:A17">
    <cfRule type="expression" dxfId="308" priority="7">
      <formula>ISNUMBER(SEARCH(TEXT(#REF!,"ddd"),#REF!))</formula>
    </cfRule>
  </conditionalFormatting>
  <conditionalFormatting sqref="A13 D13">
    <cfRule type="expression" dxfId="307" priority="8">
      <formula>ISNUMBER(SEARCH(TEXT(#REF!,"ddd"),#REF!))</formula>
    </cfRule>
  </conditionalFormatting>
  <conditionalFormatting sqref="D18:D19">
    <cfRule type="expression" dxfId="306" priority="6">
      <formula>ISNUMBER(SEARCH(TEXT(#REF!,"ddd"),#REF!))</formula>
    </cfRule>
  </conditionalFormatting>
  <conditionalFormatting sqref="A18:A19">
    <cfRule type="expression" dxfId="305" priority="5">
      <formula>ISNUMBER(SEARCH(TEXT(#REF!,"ddd"),#REF!))</formula>
    </cfRule>
  </conditionalFormatting>
  <conditionalFormatting sqref="D20:D21">
    <cfRule type="expression" dxfId="304" priority="4">
      <formula>ISNUMBER(SEARCH(TEXT(#REF!,"ddd"),#REF!))</formula>
    </cfRule>
  </conditionalFormatting>
  <conditionalFormatting sqref="A20:A21">
    <cfRule type="expression" dxfId="303" priority="3">
      <formula>ISNUMBER(SEARCH(TEXT(#REF!,"ddd"),#REF!))</formula>
    </cfRule>
  </conditionalFormatting>
  <conditionalFormatting sqref="D22:D25">
    <cfRule type="expression" dxfId="302" priority="2">
      <formula>ISNUMBER(SEARCH(TEXT(#REF!,"ddd"),#REF!))</formula>
    </cfRule>
  </conditionalFormatting>
  <conditionalFormatting sqref="A23:C25 A22">
    <cfRule type="expression" dxfId="301" priority="1">
      <formula>ISNUMBER(SEARCH(TEXT(#REF!,"ddd"),#REF!))</formula>
    </cfRule>
  </conditionalFormatting>
  <dataValidations count="2">
    <dataValidation type="custom" allowBlank="1" showInputMessage="1" showErrorMessage="1" sqref="B10:B22" xr:uid="{145C9934-2FC9-487F-9210-48D99A3DAAB0}">
      <formula1>AND($B10&lt;=1,ISNUMBER($B10))</formula1>
    </dataValidation>
    <dataValidation type="custom" allowBlank="1" showInputMessage="1" showErrorMessage="1" sqref="C10:C22" xr:uid="{7EA88812-DB73-44F6-A8BD-5CFC411154BF}">
      <formula1>AND($C10&lt;=1,ISNUMBER($C10),($C10&gt;=$B10))</formula1>
    </dataValidation>
  </dataValidations>
  <pageMargins left="0.11811023622047245" right="0" top="0.11811023622047245" bottom="0" header="0" footer="0"/>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A9587-DD48-4BD6-BD17-BE9120AA7D14}">
  <sheetPr codeName="Sheet14"/>
  <dimension ref="A1:H45"/>
  <sheetViews>
    <sheetView showGridLines="0" zoomScaleNormal="100" workbookViewId="0">
      <selection activeCell="H14" sqref="H14"/>
    </sheetView>
  </sheetViews>
  <sheetFormatPr baseColWidth="10" defaultColWidth="9" defaultRowHeight="12.75" x14ac:dyDescent="0.2"/>
  <cols>
    <col min="1" max="1" width="9.625" customWidth="1"/>
    <col min="2" max="2" width="6.625" customWidth="1"/>
    <col min="3" max="3" width="8.625" customWidth="1"/>
    <col min="4" max="4" width="7.625" customWidth="1"/>
    <col min="5" max="5" width="25.625" customWidth="1"/>
    <col min="6" max="7" width="13.12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12" t="s">
        <v>50</v>
      </c>
      <c r="B1" s="313"/>
      <c r="C1" s="313"/>
      <c r="D1" s="313"/>
      <c r="E1" s="313"/>
      <c r="F1" s="63">
        <f>WEEKNUM(A10)</f>
        <v>2</v>
      </c>
      <c r="G1" s="64"/>
      <c r="H1" s="14"/>
    </row>
    <row r="2" spans="1:8" s="1" customFormat="1" ht="14.25" x14ac:dyDescent="0.2">
      <c r="A2" s="65" t="s">
        <v>0</v>
      </c>
      <c r="B2" s="25"/>
      <c r="C2" s="25" t="s">
        <v>1</v>
      </c>
      <c r="D2" s="25"/>
      <c r="E2" s="44" t="s">
        <v>2</v>
      </c>
      <c r="F2" s="44" t="s">
        <v>3</v>
      </c>
      <c r="G2" s="66" t="s">
        <v>4</v>
      </c>
      <c r="H2" s="10"/>
    </row>
    <row r="3" spans="1:8" ht="13.5" thickBot="1" x14ac:dyDescent="0.25">
      <c r="A3" s="67">
        <f>A10</f>
        <v>43836</v>
      </c>
      <c r="B3" s="32"/>
      <c r="C3" s="31">
        <f>A24</f>
        <v>43839</v>
      </c>
      <c r="D3" s="32"/>
      <c r="E3" s="45" t="s">
        <v>5</v>
      </c>
      <c r="F3" s="33">
        <f>Sumcolor(E3,D10:D39)</f>
        <v>0.1875</v>
      </c>
      <c r="G3" s="68">
        <f>SUM(Først:Sist!F3)</f>
        <v>0.76388888888888862</v>
      </c>
      <c r="H3" s="12"/>
    </row>
    <row r="4" spans="1:8" x14ac:dyDescent="0.2">
      <c r="A4" s="285" t="s">
        <v>6</v>
      </c>
      <c r="B4" s="286"/>
      <c r="C4" s="286" t="s">
        <v>49</v>
      </c>
      <c r="D4" s="286"/>
      <c r="E4" s="46" t="s">
        <v>7</v>
      </c>
      <c r="F4" s="33">
        <f>Sumcolor(E4,D10:D39)</f>
        <v>0</v>
      </c>
      <c r="G4" s="68">
        <f>SUM(Først:Sist!F4)</f>
        <v>3.8298611111111116</v>
      </c>
      <c r="H4" s="12"/>
    </row>
    <row r="5" spans="1:8" x14ac:dyDescent="0.2">
      <c r="A5" s="288"/>
      <c r="B5" s="289"/>
      <c r="C5" s="289"/>
      <c r="D5" s="289"/>
      <c r="E5" s="47" t="s">
        <v>8</v>
      </c>
      <c r="F5" s="33">
        <f>Sumcolor(E5,D10:D39)</f>
        <v>0</v>
      </c>
      <c r="G5" s="68">
        <f>SUM(Først:Sist!F5)</f>
        <v>0.90972222222222132</v>
      </c>
      <c r="H5" s="12"/>
    </row>
    <row r="6" spans="1:8" ht="13.5" thickBot="1" x14ac:dyDescent="0.25">
      <c r="A6" s="69">
        <f>SUM(D10:D39)</f>
        <v>0.1875</v>
      </c>
      <c r="B6" s="34"/>
      <c r="C6" s="38">
        <f>SUM(Først:Sist!A6)</f>
        <v>7.6006944444444429</v>
      </c>
      <c r="D6" s="35"/>
      <c r="E6" s="72" t="s">
        <v>9</v>
      </c>
      <c r="F6" s="36">
        <f>Sumcolor(E6,D10:D39)</f>
        <v>0</v>
      </c>
      <c r="G6" s="70">
        <f>SUM(Først:Sist!F6)</f>
        <v>2.0972222222222214</v>
      </c>
      <c r="H6" s="12"/>
    </row>
    <row r="7" spans="1:8" x14ac:dyDescent="0.2">
      <c r="A7" s="16"/>
      <c r="B7" s="17"/>
      <c r="C7" s="18"/>
      <c r="D7" s="37"/>
      <c r="E7" s="17"/>
      <c r="F7" s="17"/>
      <c r="G7" s="17"/>
      <c r="H7" s="13"/>
    </row>
    <row r="8" spans="1:8" ht="13.5" thickBot="1" x14ac:dyDescent="0.25">
      <c r="A8" s="30"/>
      <c r="B8" s="20"/>
      <c r="C8" s="57"/>
      <c r="D8" s="20"/>
      <c r="E8" s="30"/>
      <c r="F8" s="30"/>
      <c r="G8" s="19"/>
      <c r="H8" s="13"/>
    </row>
    <row r="9" spans="1:8" ht="13.5" thickBot="1" x14ac:dyDescent="0.25">
      <c r="A9" s="58" t="s">
        <v>10</v>
      </c>
      <c r="B9" s="75" t="s">
        <v>11</v>
      </c>
      <c r="C9" s="75" t="s">
        <v>12</v>
      </c>
      <c r="D9" s="75" t="s">
        <v>13</v>
      </c>
      <c r="E9" s="75" t="s">
        <v>14</v>
      </c>
      <c r="F9" s="59" t="s">
        <v>15</v>
      </c>
      <c r="G9" s="19"/>
      <c r="H9" s="13"/>
    </row>
    <row r="10" spans="1:8" x14ac:dyDescent="0.2">
      <c r="A10" s="39">
        <v>43836</v>
      </c>
      <c r="B10" s="48">
        <v>0.58333333333333337</v>
      </c>
      <c r="C10" s="48">
        <v>0.64583333333333337</v>
      </c>
      <c r="D10" s="76">
        <f>(C10-B10)</f>
        <v>6.25E-2</v>
      </c>
      <c r="E10" s="319" t="s">
        <v>74</v>
      </c>
      <c r="F10" s="60"/>
      <c r="G10" s="19"/>
    </row>
    <row r="11" spans="1:8" x14ac:dyDescent="0.2">
      <c r="A11" s="41"/>
      <c r="B11" s="54"/>
      <c r="C11" s="54"/>
      <c r="D11" s="55"/>
      <c r="E11" s="320"/>
      <c r="F11" s="73"/>
      <c r="G11" s="19"/>
    </row>
    <row r="12" spans="1:8" x14ac:dyDescent="0.2">
      <c r="A12" s="39">
        <v>43838</v>
      </c>
      <c r="B12" s="48">
        <v>0.41666666666666669</v>
      </c>
      <c r="C12" s="48">
        <v>0.47916666666666669</v>
      </c>
      <c r="D12" s="76">
        <f>(C12-B12)</f>
        <v>6.25E-2</v>
      </c>
      <c r="E12" s="318" t="s">
        <v>75</v>
      </c>
      <c r="F12" s="61"/>
      <c r="G12" s="19"/>
    </row>
    <row r="13" spans="1:8" x14ac:dyDescent="0.2">
      <c r="A13" s="42"/>
      <c r="B13" s="54"/>
      <c r="C13" s="54"/>
      <c r="D13" s="56"/>
      <c r="E13" s="305"/>
      <c r="F13" s="74"/>
      <c r="G13" s="19"/>
    </row>
    <row r="14" spans="1:8" x14ac:dyDescent="0.2">
      <c r="A14" s="39">
        <v>43839</v>
      </c>
      <c r="B14" s="48">
        <v>0.41666666666666669</v>
      </c>
      <c r="C14" s="48">
        <v>0.47916666666666669</v>
      </c>
      <c r="D14" s="76">
        <f>(C14-B14)</f>
        <v>6.25E-2</v>
      </c>
      <c r="E14" s="318" t="s">
        <v>76</v>
      </c>
      <c r="F14" s="61"/>
      <c r="G14" s="19"/>
    </row>
    <row r="15" spans="1:8" x14ac:dyDescent="0.2">
      <c r="A15" s="43"/>
      <c r="B15" s="54"/>
      <c r="C15" s="54"/>
      <c r="D15" s="56"/>
      <c r="E15" s="305"/>
      <c r="F15" s="74"/>
      <c r="G15" s="19"/>
    </row>
    <row r="16" spans="1:8" x14ac:dyDescent="0.2">
      <c r="A16" s="39"/>
      <c r="B16" s="48"/>
      <c r="C16" s="48"/>
      <c r="D16" s="51">
        <f>(C16-B16)</f>
        <v>0</v>
      </c>
      <c r="E16" s="318"/>
      <c r="F16" s="61"/>
      <c r="G16" s="19"/>
    </row>
    <row r="17" spans="1:8" x14ac:dyDescent="0.2">
      <c r="A17" s="43"/>
      <c r="B17" s="54"/>
      <c r="C17" s="54"/>
      <c r="D17" s="56"/>
      <c r="E17" s="305"/>
      <c r="F17" s="74"/>
      <c r="G17" s="19"/>
    </row>
    <row r="18" spans="1:8" x14ac:dyDescent="0.2">
      <c r="A18" s="39"/>
      <c r="B18" s="48"/>
      <c r="C18" s="48"/>
      <c r="D18" s="51">
        <f>(C18-B18)</f>
        <v>0</v>
      </c>
      <c r="E18" s="318"/>
      <c r="F18" s="61"/>
      <c r="G18" s="19"/>
    </row>
    <row r="19" spans="1:8" x14ac:dyDescent="0.2">
      <c r="A19" s="43"/>
      <c r="B19" s="54"/>
      <c r="C19" s="54"/>
      <c r="D19" s="56"/>
      <c r="E19" s="305"/>
      <c r="F19" s="74"/>
      <c r="G19" s="19"/>
    </row>
    <row r="20" spans="1:8" x14ac:dyDescent="0.2">
      <c r="A20" s="39"/>
      <c r="B20" s="48"/>
      <c r="C20" s="48"/>
      <c r="D20" s="51">
        <f>(C20-B20)</f>
        <v>0</v>
      </c>
      <c r="E20" s="318"/>
      <c r="F20" s="61"/>
      <c r="G20" s="19"/>
    </row>
    <row r="21" spans="1:8" x14ac:dyDescent="0.2">
      <c r="A21" s="43"/>
      <c r="B21" s="54"/>
      <c r="C21" s="54"/>
      <c r="D21" s="56"/>
      <c r="E21" s="305"/>
      <c r="F21" s="74"/>
      <c r="G21" s="19"/>
    </row>
    <row r="22" spans="1:8" x14ac:dyDescent="0.2">
      <c r="A22" s="39"/>
      <c r="B22" s="48"/>
      <c r="C22" s="48"/>
      <c r="D22" s="51">
        <f>(C22-B22)</f>
        <v>0</v>
      </c>
      <c r="E22" s="318"/>
      <c r="F22" s="61"/>
      <c r="G22" s="19"/>
    </row>
    <row r="23" spans="1:8" x14ac:dyDescent="0.2">
      <c r="A23" s="43"/>
      <c r="B23" s="54"/>
      <c r="C23" s="54"/>
      <c r="D23" s="56"/>
      <c r="E23" s="305"/>
      <c r="F23" s="74"/>
      <c r="G23" s="19"/>
    </row>
    <row r="24" spans="1:8" x14ac:dyDescent="0.2">
      <c r="A24" s="39">
        <v>43839</v>
      </c>
      <c r="B24" s="48"/>
      <c r="C24" s="48"/>
      <c r="D24" s="52">
        <f>(C24-B24)</f>
        <v>0</v>
      </c>
      <c r="E24" s="26"/>
      <c r="F24" s="61"/>
    </row>
    <row r="25" spans="1:8" ht="13.5" thickBot="1" x14ac:dyDescent="0.25">
      <c r="A25" s="40"/>
      <c r="B25" s="49"/>
      <c r="C25" s="49"/>
      <c r="D25" s="53"/>
      <c r="E25" s="27"/>
      <c r="F25" s="62"/>
    </row>
    <row r="26" spans="1:8" ht="12.75" customHeight="1" x14ac:dyDescent="0.2"/>
    <row r="27" spans="1:8" ht="12.75" customHeight="1" x14ac:dyDescent="0.2"/>
    <row r="28" spans="1:8" ht="12.75" customHeight="1" x14ac:dyDescent="0.2"/>
    <row r="29" spans="1:8" x14ac:dyDescent="0.2">
      <c r="A29" s="19"/>
      <c r="B29" s="19"/>
      <c r="C29" s="19"/>
      <c r="D29" s="19"/>
      <c r="E29" s="19"/>
      <c r="F29" s="19"/>
      <c r="G29" s="19"/>
      <c r="H29" s="5"/>
    </row>
    <row r="30" spans="1:8" ht="19.5" thickBot="1" x14ac:dyDescent="0.25">
      <c r="A30" s="28" t="s">
        <v>16</v>
      </c>
      <c r="B30" s="29"/>
      <c r="C30" s="30"/>
      <c r="D30" s="20"/>
      <c r="E30" s="20"/>
      <c r="F30" s="19"/>
      <c r="G30" s="19"/>
      <c r="H30" s="5"/>
    </row>
    <row r="31" spans="1:8" ht="13.5" thickBot="1" x14ac:dyDescent="0.25">
      <c r="A31" s="21"/>
      <c r="B31" s="22"/>
      <c r="C31" s="8"/>
      <c r="D31" s="9"/>
      <c r="E31" s="23"/>
      <c r="F31" s="21"/>
      <c r="G31" s="21"/>
      <c r="H31" s="6"/>
    </row>
    <row r="32" spans="1:8" ht="15.75" customHeight="1" x14ac:dyDescent="0.2">
      <c r="A32" s="285"/>
      <c r="B32" s="286"/>
      <c r="C32" s="286"/>
      <c r="D32" s="286"/>
      <c r="E32" s="287"/>
      <c r="F32" s="19"/>
      <c r="G32" s="19"/>
      <c r="H32" s="7"/>
    </row>
    <row r="33" spans="1:8" ht="12.75" customHeight="1" x14ac:dyDescent="0.2">
      <c r="A33" s="288"/>
      <c r="B33" s="289"/>
      <c r="C33" s="289"/>
      <c r="D33" s="289"/>
      <c r="E33" s="290"/>
      <c r="F33" s="24"/>
      <c r="G33" s="24"/>
      <c r="H33" s="15"/>
    </row>
    <row r="34" spans="1:8" ht="12.75" customHeight="1" x14ac:dyDescent="0.2">
      <c r="A34" s="288"/>
      <c r="B34" s="289"/>
      <c r="C34" s="289"/>
      <c r="D34" s="289"/>
      <c r="E34" s="290"/>
      <c r="F34" s="24"/>
      <c r="G34" s="24"/>
      <c r="H34" s="15"/>
    </row>
    <row r="35" spans="1:8" ht="12.75" customHeight="1" x14ac:dyDescent="0.2">
      <c r="A35" s="288"/>
      <c r="B35" s="289"/>
      <c r="C35" s="289"/>
      <c r="D35" s="289"/>
      <c r="E35" s="290"/>
      <c r="F35" s="24"/>
      <c r="G35" s="24"/>
      <c r="H35" s="15"/>
    </row>
    <row r="36" spans="1:8" ht="12.75" customHeight="1" x14ac:dyDescent="0.2">
      <c r="A36" s="288"/>
      <c r="B36" s="289"/>
      <c r="C36" s="289"/>
      <c r="D36" s="289"/>
      <c r="E36" s="290"/>
      <c r="F36" s="24"/>
      <c r="G36" s="24"/>
      <c r="H36" s="15"/>
    </row>
    <row r="37" spans="1:8" ht="12.75" customHeight="1" x14ac:dyDescent="0.2">
      <c r="A37" s="288"/>
      <c r="B37" s="289"/>
      <c r="C37" s="289"/>
      <c r="D37" s="289"/>
      <c r="E37" s="290"/>
      <c r="F37" s="24"/>
      <c r="G37" s="24"/>
      <c r="H37" s="15"/>
    </row>
    <row r="38" spans="1:8" ht="12.75" customHeight="1" x14ac:dyDescent="0.2">
      <c r="A38" s="288"/>
      <c r="B38" s="289"/>
      <c r="C38" s="289"/>
      <c r="D38" s="289"/>
      <c r="E38" s="290"/>
      <c r="F38" s="24"/>
      <c r="G38" s="24"/>
      <c r="H38" s="15"/>
    </row>
    <row r="39" spans="1:8" ht="12.75" customHeight="1" x14ac:dyDescent="0.2">
      <c r="A39" s="288"/>
      <c r="B39" s="289"/>
      <c r="C39" s="289"/>
      <c r="D39" s="289"/>
      <c r="E39" s="290"/>
      <c r="F39" s="24"/>
      <c r="G39" s="24"/>
      <c r="H39" s="15"/>
    </row>
    <row r="40" spans="1:8" ht="12.75" customHeight="1" x14ac:dyDescent="0.2">
      <c r="A40" s="288"/>
      <c r="B40" s="289"/>
      <c r="C40" s="289"/>
      <c r="D40" s="289"/>
      <c r="E40" s="290"/>
      <c r="F40" s="24"/>
      <c r="G40" s="24"/>
      <c r="H40" s="15"/>
    </row>
    <row r="41" spans="1:8" ht="12.75" customHeight="1" x14ac:dyDescent="0.2">
      <c r="A41" s="288"/>
      <c r="B41" s="289"/>
      <c r="C41" s="289"/>
      <c r="D41" s="289"/>
      <c r="E41" s="290"/>
      <c r="F41" s="24"/>
      <c r="G41" s="24"/>
      <c r="H41" s="15"/>
    </row>
    <row r="42" spans="1:8" ht="12.75" customHeight="1" x14ac:dyDescent="0.2">
      <c r="A42" s="288"/>
      <c r="B42" s="289"/>
      <c r="C42" s="289"/>
      <c r="D42" s="289"/>
      <c r="E42" s="290"/>
      <c r="F42" s="24"/>
      <c r="G42" s="24"/>
      <c r="H42" s="15"/>
    </row>
    <row r="43" spans="1:8" ht="12.75" customHeight="1" x14ac:dyDescent="0.2">
      <c r="A43" s="288"/>
      <c r="B43" s="289"/>
      <c r="C43" s="289"/>
      <c r="D43" s="289"/>
      <c r="E43" s="290"/>
      <c r="F43" s="24"/>
      <c r="G43" s="24"/>
      <c r="H43" s="15"/>
    </row>
    <row r="44" spans="1:8" ht="13.5" customHeight="1" x14ac:dyDescent="0.2">
      <c r="A44" s="288"/>
      <c r="B44" s="289"/>
      <c r="C44" s="289"/>
      <c r="D44" s="289"/>
      <c r="E44" s="290"/>
      <c r="F44" s="19"/>
      <c r="G44" s="19"/>
    </row>
    <row r="45" spans="1:8" ht="13.5" thickBot="1" x14ac:dyDescent="0.25">
      <c r="A45" s="291"/>
      <c r="B45" s="292"/>
      <c r="C45" s="292"/>
      <c r="D45" s="292"/>
      <c r="E45" s="293"/>
      <c r="F45" s="19"/>
      <c r="G45" s="19"/>
    </row>
  </sheetData>
  <mergeCells count="11">
    <mergeCell ref="E16:E17"/>
    <mergeCell ref="E18:E19"/>
    <mergeCell ref="E20:E21"/>
    <mergeCell ref="E22:E23"/>
    <mergeCell ref="A32:E45"/>
    <mergeCell ref="E14:E15"/>
    <mergeCell ref="A1:E1"/>
    <mergeCell ref="A4:B5"/>
    <mergeCell ref="C4:D5"/>
    <mergeCell ref="E10:E11"/>
    <mergeCell ref="E12:E13"/>
  </mergeCells>
  <conditionalFormatting sqref="H29:H30">
    <cfRule type="expression" dxfId="300" priority="10">
      <formula>ISNUMBER(SEARCH(TEXT(#REF!,"ddd"),#REF!))</formula>
    </cfRule>
  </conditionalFormatting>
  <conditionalFormatting sqref="A10:D10 A24:C24 A11:A12 D11:D12 B11:C22">
    <cfRule type="expression" dxfId="299" priority="11">
      <formula>ISNUMBER(SEARCH(TEXT(#REF!,"ddd"),#REF!))</formula>
    </cfRule>
  </conditionalFormatting>
  <conditionalFormatting sqref="D14:D17">
    <cfRule type="expression" dxfId="298" priority="9">
      <formula>ISNUMBER(SEARCH(TEXT(#REF!,"ddd"),#REF!))</formula>
    </cfRule>
  </conditionalFormatting>
  <conditionalFormatting sqref="A14:A17">
    <cfRule type="expression" dxfId="297" priority="7">
      <formula>ISNUMBER(SEARCH(TEXT(#REF!,"ddd"),#REF!))</formula>
    </cfRule>
  </conditionalFormatting>
  <conditionalFormatting sqref="A13 D13">
    <cfRule type="expression" dxfId="296" priority="8">
      <formula>ISNUMBER(SEARCH(TEXT(#REF!,"ddd"),#REF!))</formula>
    </cfRule>
  </conditionalFormatting>
  <conditionalFormatting sqref="D18:D19">
    <cfRule type="expression" dxfId="295" priority="6">
      <formula>ISNUMBER(SEARCH(TEXT(#REF!,"ddd"),#REF!))</formula>
    </cfRule>
  </conditionalFormatting>
  <conditionalFormatting sqref="A18:A19">
    <cfRule type="expression" dxfId="294" priority="5">
      <formula>ISNUMBER(SEARCH(TEXT(#REF!,"ddd"),#REF!))</formula>
    </cfRule>
  </conditionalFormatting>
  <conditionalFormatting sqref="D20:D21">
    <cfRule type="expression" dxfId="293" priority="4">
      <formula>ISNUMBER(SEARCH(TEXT(#REF!,"ddd"),#REF!))</formula>
    </cfRule>
  </conditionalFormatting>
  <conditionalFormatting sqref="A20:A21">
    <cfRule type="expression" dxfId="292" priority="3">
      <formula>ISNUMBER(SEARCH(TEXT(#REF!,"ddd"),#REF!))</formula>
    </cfRule>
  </conditionalFormatting>
  <conditionalFormatting sqref="D22:D23">
    <cfRule type="expression" dxfId="291" priority="2">
      <formula>ISNUMBER(SEARCH(TEXT(#REF!,"ddd"),#REF!))</formula>
    </cfRule>
  </conditionalFormatting>
  <conditionalFormatting sqref="A23:C23 A22">
    <cfRule type="expression" dxfId="290" priority="1">
      <formula>ISNUMBER(SEARCH(TEXT(#REF!,"ddd"),#REF!))</formula>
    </cfRule>
  </conditionalFormatting>
  <dataValidations count="2">
    <dataValidation type="custom" allowBlank="1" showInputMessage="1" showErrorMessage="1" sqref="B10:B22" xr:uid="{1C0F3B9D-0F73-41F1-9A20-CCC959FE4251}">
      <formula1>AND($B10&lt;=1,ISNUMBER($B10))</formula1>
    </dataValidation>
    <dataValidation type="custom" allowBlank="1" showInputMessage="1" showErrorMessage="1" sqref="C10:C22" xr:uid="{B216CD55-C8A9-4F28-8873-151952169854}">
      <formula1>AND($C10&lt;=1,ISNUMBER($C10),($C10&gt;=$B10))</formula1>
    </dataValidation>
  </dataValidations>
  <pageMargins left="0.11811023622047245" right="0" top="0.11811023622047245" bottom="0" header="0" footer="0"/>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3F6D6-90EF-4D54-943D-6BEBBD9C3102}">
  <sheetPr codeName="Sheet12"/>
  <dimension ref="A1:H45"/>
  <sheetViews>
    <sheetView showGridLines="0" zoomScaleNormal="100" workbookViewId="0">
      <selection activeCell="J31" sqref="J31"/>
    </sheetView>
  </sheetViews>
  <sheetFormatPr baseColWidth="10" defaultColWidth="9" defaultRowHeight="12.75" x14ac:dyDescent="0.2"/>
  <cols>
    <col min="1" max="1" width="9.625" customWidth="1"/>
    <col min="2" max="2" width="6.625" customWidth="1"/>
    <col min="3" max="3" width="8.625" customWidth="1"/>
    <col min="4" max="4" width="7.625" customWidth="1"/>
    <col min="5" max="5" width="25.625" customWidth="1"/>
    <col min="6" max="7" width="13.12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12" t="s">
        <v>50</v>
      </c>
      <c r="B1" s="313"/>
      <c r="C1" s="313"/>
      <c r="D1" s="313"/>
      <c r="E1" s="313"/>
      <c r="F1" s="63">
        <f>WEEKNUM(A10)</f>
        <v>3</v>
      </c>
      <c r="G1" s="64"/>
      <c r="H1" s="14"/>
    </row>
    <row r="2" spans="1:8" s="1" customFormat="1" ht="14.25" x14ac:dyDescent="0.2">
      <c r="A2" s="65" t="s">
        <v>0</v>
      </c>
      <c r="B2" s="25"/>
      <c r="C2" s="25" t="s">
        <v>1</v>
      </c>
      <c r="D2" s="25"/>
      <c r="E2" s="44" t="s">
        <v>2</v>
      </c>
      <c r="F2" s="44" t="s">
        <v>3</v>
      </c>
      <c r="G2" s="66" t="s">
        <v>4</v>
      </c>
      <c r="H2" s="10"/>
    </row>
    <row r="3" spans="1:8" ht="13.5" thickBot="1" x14ac:dyDescent="0.25">
      <c r="A3" s="67">
        <f>A10</f>
        <v>43843</v>
      </c>
      <c r="B3" s="32"/>
      <c r="C3" s="31">
        <f>A24</f>
        <v>43849</v>
      </c>
      <c r="D3" s="32"/>
      <c r="E3" s="45" t="s">
        <v>5</v>
      </c>
      <c r="F3" s="33">
        <f>Sumcolor(E3,D10:D39)</f>
        <v>0.1875</v>
      </c>
      <c r="G3" s="68">
        <f>SUM(Først:Sist!F3)</f>
        <v>0.76388888888888862</v>
      </c>
      <c r="H3" s="12"/>
    </row>
    <row r="4" spans="1:8" x14ac:dyDescent="0.2">
      <c r="A4" s="285" t="s">
        <v>6</v>
      </c>
      <c r="B4" s="286"/>
      <c r="C4" s="286" t="s">
        <v>49</v>
      </c>
      <c r="D4" s="286"/>
      <c r="E4" s="46" t="s">
        <v>7</v>
      </c>
      <c r="F4" s="33">
        <f>Sumcolor(E4,D10:D39)</f>
        <v>0</v>
      </c>
      <c r="G4" s="68">
        <f>SUM(Først:Sist!F4)</f>
        <v>3.8298611111111116</v>
      </c>
      <c r="H4" s="12"/>
    </row>
    <row r="5" spans="1:8" x14ac:dyDescent="0.2">
      <c r="A5" s="288"/>
      <c r="B5" s="289"/>
      <c r="C5" s="289"/>
      <c r="D5" s="289"/>
      <c r="E5" s="47" t="s">
        <v>8</v>
      </c>
      <c r="F5" s="33">
        <f>Sumcolor(E5,D10:D39)</f>
        <v>0</v>
      </c>
      <c r="G5" s="68">
        <f>SUM(Først:Sist!F5)</f>
        <v>0.90972222222222132</v>
      </c>
      <c r="H5" s="12"/>
    </row>
    <row r="6" spans="1:8" ht="13.5" thickBot="1" x14ac:dyDescent="0.25">
      <c r="A6" s="69">
        <f>SUM(D10:D39)</f>
        <v>0.20833333333333326</v>
      </c>
      <c r="B6" s="34"/>
      <c r="C6" s="38">
        <f>SUM(Først:Sist!A6)</f>
        <v>7.6006944444444429</v>
      </c>
      <c r="D6" s="35"/>
      <c r="E6" s="72" t="s">
        <v>9</v>
      </c>
      <c r="F6" s="36">
        <f>Sumcolor(E6,D10:D39)</f>
        <v>2.0833333333333259E-2</v>
      </c>
      <c r="G6" s="70">
        <f>SUM(Først:Sist!F6)</f>
        <v>2.0972222222222214</v>
      </c>
      <c r="H6" s="12"/>
    </row>
    <row r="7" spans="1:8" x14ac:dyDescent="0.2">
      <c r="A7" s="16"/>
      <c r="B7" s="17"/>
      <c r="C7" s="18"/>
      <c r="D7" s="37"/>
      <c r="E7" s="17"/>
      <c r="F7" s="17"/>
      <c r="G7" s="17"/>
      <c r="H7" s="13"/>
    </row>
    <row r="8" spans="1:8" ht="13.5" thickBot="1" x14ac:dyDescent="0.25">
      <c r="A8" s="30"/>
      <c r="B8" s="20"/>
      <c r="C8" s="57"/>
      <c r="D8" s="20"/>
      <c r="E8" s="30"/>
      <c r="F8" s="30"/>
      <c r="G8" s="19"/>
      <c r="H8" s="13"/>
    </row>
    <row r="9" spans="1:8" ht="13.5" thickBot="1" x14ac:dyDescent="0.25">
      <c r="A9" s="58" t="s">
        <v>10</v>
      </c>
      <c r="B9" s="75" t="s">
        <v>11</v>
      </c>
      <c r="C9" s="75" t="s">
        <v>12</v>
      </c>
      <c r="D9" s="75" t="s">
        <v>13</v>
      </c>
      <c r="E9" s="75" t="s">
        <v>14</v>
      </c>
      <c r="F9" s="59" t="s">
        <v>15</v>
      </c>
      <c r="G9" s="19"/>
      <c r="H9" s="13"/>
    </row>
    <row r="10" spans="1:8" x14ac:dyDescent="0.2">
      <c r="A10" s="39">
        <v>43843</v>
      </c>
      <c r="B10" s="48">
        <v>0.58333333333333337</v>
      </c>
      <c r="C10" s="48">
        <v>0.64583333333333337</v>
      </c>
      <c r="D10" s="76">
        <f>(C10-B10)</f>
        <v>6.25E-2</v>
      </c>
      <c r="E10" s="319" t="s">
        <v>54</v>
      </c>
      <c r="F10" s="60"/>
      <c r="G10" s="19"/>
    </row>
    <row r="11" spans="1:8" x14ac:dyDescent="0.2">
      <c r="A11" s="41"/>
      <c r="B11" s="54"/>
      <c r="C11" s="54"/>
      <c r="D11" s="55"/>
      <c r="E11" s="320"/>
      <c r="F11" s="73"/>
      <c r="G11" s="19"/>
    </row>
    <row r="12" spans="1:8" x14ac:dyDescent="0.2">
      <c r="A12" s="39">
        <v>43845</v>
      </c>
      <c r="B12" s="48">
        <v>0.41666666666666669</v>
      </c>
      <c r="C12" s="48">
        <v>0.47916666666666669</v>
      </c>
      <c r="D12" s="76">
        <f>(C12-B12)</f>
        <v>6.25E-2</v>
      </c>
      <c r="E12" s="318" t="s">
        <v>54</v>
      </c>
      <c r="F12" s="61"/>
      <c r="G12" s="19"/>
    </row>
    <row r="13" spans="1:8" x14ac:dyDescent="0.2">
      <c r="A13" s="42"/>
      <c r="B13" s="54"/>
      <c r="C13" s="54"/>
      <c r="D13" s="56"/>
      <c r="E13" s="305"/>
      <c r="F13" s="74"/>
      <c r="G13" s="19"/>
    </row>
    <row r="14" spans="1:8" x14ac:dyDescent="0.2">
      <c r="A14" s="39">
        <v>43846</v>
      </c>
      <c r="B14" s="48">
        <v>0.41666666666666669</v>
      </c>
      <c r="C14" s="48">
        <v>0.47916666666666669</v>
      </c>
      <c r="D14" s="76">
        <f>(C14-B14)</f>
        <v>6.25E-2</v>
      </c>
      <c r="E14" s="318" t="s">
        <v>55</v>
      </c>
      <c r="F14" s="61"/>
      <c r="G14" s="19"/>
    </row>
    <row r="15" spans="1:8" x14ac:dyDescent="0.2">
      <c r="A15" s="43"/>
      <c r="B15" s="54"/>
      <c r="C15" s="54"/>
      <c r="D15" s="56"/>
      <c r="E15" s="305"/>
      <c r="F15" s="74"/>
      <c r="G15" s="19"/>
    </row>
    <row r="16" spans="1:8" x14ac:dyDescent="0.2">
      <c r="A16" s="39">
        <v>43849</v>
      </c>
      <c r="B16" s="48">
        <v>0.58333333333333337</v>
      </c>
      <c r="C16" s="48">
        <v>0.60416666666666663</v>
      </c>
      <c r="D16" s="71">
        <f>(C16-B16)</f>
        <v>2.0833333333333259E-2</v>
      </c>
      <c r="E16" s="318" t="s">
        <v>56</v>
      </c>
      <c r="F16" s="61"/>
      <c r="G16" s="19"/>
    </row>
    <row r="17" spans="1:8" x14ac:dyDescent="0.2">
      <c r="A17" s="43"/>
      <c r="B17" s="54"/>
      <c r="C17" s="54"/>
      <c r="D17" s="56"/>
      <c r="E17" s="305"/>
      <c r="F17" s="74"/>
      <c r="G17" s="19"/>
    </row>
    <row r="18" spans="1:8" x14ac:dyDescent="0.2">
      <c r="A18" s="39"/>
      <c r="B18" s="48"/>
      <c r="C18" s="48"/>
      <c r="D18" s="51">
        <f>(C18-B18)</f>
        <v>0</v>
      </c>
      <c r="E18" s="318"/>
      <c r="F18" s="61"/>
      <c r="G18" s="19"/>
    </row>
    <row r="19" spans="1:8" x14ac:dyDescent="0.2">
      <c r="A19" s="43"/>
      <c r="B19" s="54"/>
      <c r="C19" s="54"/>
      <c r="D19" s="56"/>
      <c r="E19" s="305"/>
      <c r="F19" s="74"/>
      <c r="G19" s="19"/>
    </row>
    <row r="20" spans="1:8" x14ac:dyDescent="0.2">
      <c r="A20" s="39"/>
      <c r="B20" s="48"/>
      <c r="C20" s="48"/>
      <c r="D20" s="51">
        <f>(C20-B20)</f>
        <v>0</v>
      </c>
      <c r="E20" s="318"/>
      <c r="F20" s="61"/>
      <c r="G20" s="19"/>
    </row>
    <row r="21" spans="1:8" x14ac:dyDescent="0.2">
      <c r="A21" s="43"/>
      <c r="B21" s="54"/>
      <c r="C21" s="54"/>
      <c r="D21" s="56"/>
      <c r="E21" s="305"/>
      <c r="F21" s="74"/>
      <c r="G21" s="19"/>
    </row>
    <row r="22" spans="1:8" x14ac:dyDescent="0.2">
      <c r="A22" s="39"/>
      <c r="B22" s="48"/>
      <c r="C22" s="48"/>
      <c r="D22" s="51">
        <f>(C22-B22)</f>
        <v>0</v>
      </c>
      <c r="E22" s="318"/>
      <c r="F22" s="61"/>
      <c r="G22" s="19"/>
    </row>
    <row r="23" spans="1:8" x14ac:dyDescent="0.2">
      <c r="A23" s="43"/>
      <c r="B23" s="54"/>
      <c r="C23" s="54"/>
      <c r="D23" s="56"/>
      <c r="E23" s="305"/>
      <c r="F23" s="74"/>
      <c r="G23" s="19"/>
    </row>
    <row r="24" spans="1:8" x14ac:dyDescent="0.2">
      <c r="A24" s="39">
        <v>43849</v>
      </c>
      <c r="B24" s="48"/>
      <c r="C24" s="48"/>
      <c r="D24" s="52">
        <f>(C24-B24)</f>
        <v>0</v>
      </c>
      <c r="E24" s="26"/>
      <c r="F24" s="61"/>
    </row>
    <row r="25" spans="1:8" ht="13.5" thickBot="1" x14ac:dyDescent="0.25">
      <c r="A25" s="40"/>
      <c r="B25" s="49"/>
      <c r="C25" s="49"/>
      <c r="D25" s="53"/>
      <c r="E25" s="27"/>
      <c r="F25" s="62"/>
    </row>
    <row r="26" spans="1:8" ht="12.75" customHeight="1" x14ac:dyDescent="0.2"/>
    <row r="27" spans="1:8" ht="12.75" customHeight="1" x14ac:dyDescent="0.2"/>
    <row r="28" spans="1:8" ht="12.75" customHeight="1" x14ac:dyDescent="0.2"/>
    <row r="29" spans="1:8" x14ac:dyDescent="0.2">
      <c r="A29" s="19"/>
      <c r="B29" s="19"/>
      <c r="C29" s="19"/>
      <c r="D29" s="19"/>
      <c r="E29" s="19"/>
      <c r="F29" s="19"/>
      <c r="G29" s="19"/>
      <c r="H29" s="5"/>
    </row>
    <row r="30" spans="1:8" ht="19.5" thickBot="1" x14ac:dyDescent="0.25">
      <c r="A30" s="28" t="s">
        <v>16</v>
      </c>
      <c r="B30" s="29"/>
      <c r="C30" s="30"/>
      <c r="D30" s="20"/>
      <c r="E30" s="20"/>
      <c r="F30" s="19"/>
      <c r="G30" s="19"/>
      <c r="H30" s="5"/>
    </row>
    <row r="31" spans="1:8" ht="13.5" thickBot="1" x14ac:dyDescent="0.25">
      <c r="A31" s="21"/>
      <c r="B31" s="22"/>
      <c r="C31" s="8"/>
      <c r="D31" s="9"/>
      <c r="E31" s="23"/>
      <c r="F31" s="21"/>
      <c r="G31" s="21"/>
      <c r="H31" s="6"/>
    </row>
    <row r="32" spans="1:8" ht="15.75" customHeight="1" x14ac:dyDescent="0.2">
      <c r="A32" s="285" t="s">
        <v>57</v>
      </c>
      <c r="B32" s="286"/>
      <c r="C32" s="286"/>
      <c r="D32" s="286"/>
      <c r="E32" s="287"/>
      <c r="F32" s="19"/>
      <c r="G32" s="19"/>
      <c r="H32" s="7"/>
    </row>
    <row r="33" spans="1:8" ht="12.75" customHeight="1" x14ac:dyDescent="0.2">
      <c r="A33" s="288"/>
      <c r="B33" s="289"/>
      <c r="C33" s="289"/>
      <c r="D33" s="289"/>
      <c r="E33" s="290"/>
      <c r="F33" s="24"/>
      <c r="G33" s="24"/>
      <c r="H33" s="15"/>
    </row>
    <row r="34" spans="1:8" ht="12.75" customHeight="1" x14ac:dyDescent="0.2">
      <c r="A34" s="288"/>
      <c r="B34" s="289"/>
      <c r="C34" s="289"/>
      <c r="D34" s="289"/>
      <c r="E34" s="290"/>
      <c r="F34" s="24"/>
      <c r="G34" s="24"/>
      <c r="H34" s="15"/>
    </row>
    <row r="35" spans="1:8" ht="12.75" customHeight="1" x14ac:dyDescent="0.2">
      <c r="A35" s="288"/>
      <c r="B35" s="289"/>
      <c r="C35" s="289"/>
      <c r="D35" s="289"/>
      <c r="E35" s="290"/>
      <c r="F35" s="24"/>
      <c r="G35" s="24"/>
      <c r="H35" s="15"/>
    </row>
    <row r="36" spans="1:8" ht="12.75" customHeight="1" x14ac:dyDescent="0.2">
      <c r="A36" s="288"/>
      <c r="B36" s="289"/>
      <c r="C36" s="289"/>
      <c r="D36" s="289"/>
      <c r="E36" s="290"/>
      <c r="F36" s="24"/>
      <c r="G36" s="24"/>
      <c r="H36" s="15"/>
    </row>
    <row r="37" spans="1:8" ht="12.75" customHeight="1" x14ac:dyDescent="0.2">
      <c r="A37" s="288"/>
      <c r="B37" s="289"/>
      <c r="C37" s="289"/>
      <c r="D37" s="289"/>
      <c r="E37" s="290"/>
      <c r="F37" s="24"/>
      <c r="G37" s="24"/>
      <c r="H37" s="15"/>
    </row>
    <row r="38" spans="1:8" ht="12.75" customHeight="1" x14ac:dyDescent="0.2">
      <c r="A38" s="288"/>
      <c r="B38" s="289"/>
      <c r="C38" s="289"/>
      <c r="D38" s="289"/>
      <c r="E38" s="290"/>
      <c r="F38" s="24"/>
      <c r="G38" s="24"/>
      <c r="H38" s="15"/>
    </row>
    <row r="39" spans="1:8" ht="12.75" customHeight="1" x14ac:dyDescent="0.2">
      <c r="A39" s="288"/>
      <c r="B39" s="289"/>
      <c r="C39" s="289"/>
      <c r="D39" s="289"/>
      <c r="E39" s="290"/>
      <c r="F39" s="24"/>
      <c r="G39" s="24"/>
      <c r="H39" s="15"/>
    </row>
    <row r="40" spans="1:8" ht="12.75" customHeight="1" x14ac:dyDescent="0.2">
      <c r="A40" s="288"/>
      <c r="B40" s="289"/>
      <c r="C40" s="289"/>
      <c r="D40" s="289"/>
      <c r="E40" s="290"/>
      <c r="F40" s="24"/>
      <c r="G40" s="24"/>
      <c r="H40" s="15"/>
    </row>
    <row r="41" spans="1:8" ht="12.75" customHeight="1" x14ac:dyDescent="0.2">
      <c r="A41" s="288"/>
      <c r="B41" s="289"/>
      <c r="C41" s="289"/>
      <c r="D41" s="289"/>
      <c r="E41" s="290"/>
      <c r="F41" s="24"/>
      <c r="G41" s="24"/>
      <c r="H41" s="15"/>
    </row>
    <row r="42" spans="1:8" ht="12.75" customHeight="1" x14ac:dyDescent="0.2">
      <c r="A42" s="288"/>
      <c r="B42" s="289"/>
      <c r="C42" s="289"/>
      <c r="D42" s="289"/>
      <c r="E42" s="290"/>
      <c r="F42" s="24"/>
      <c r="G42" s="24"/>
      <c r="H42" s="15"/>
    </row>
    <row r="43" spans="1:8" ht="12.75" customHeight="1" x14ac:dyDescent="0.2">
      <c r="A43" s="288"/>
      <c r="B43" s="289"/>
      <c r="C43" s="289"/>
      <c r="D43" s="289"/>
      <c r="E43" s="290"/>
      <c r="F43" s="24"/>
      <c r="G43" s="24"/>
      <c r="H43" s="15"/>
    </row>
    <row r="44" spans="1:8" ht="13.5" customHeight="1" x14ac:dyDescent="0.2">
      <c r="A44" s="288"/>
      <c r="B44" s="289"/>
      <c r="C44" s="289"/>
      <c r="D44" s="289"/>
      <c r="E44" s="290"/>
      <c r="F44" s="19"/>
      <c r="G44" s="19"/>
    </row>
    <row r="45" spans="1:8" ht="13.5" thickBot="1" x14ac:dyDescent="0.25">
      <c r="A45" s="291"/>
      <c r="B45" s="292"/>
      <c r="C45" s="292"/>
      <c r="D45" s="292"/>
      <c r="E45" s="293"/>
      <c r="F45" s="19"/>
      <c r="G45" s="19"/>
    </row>
  </sheetData>
  <mergeCells count="11">
    <mergeCell ref="E16:E17"/>
    <mergeCell ref="E18:E19"/>
    <mergeCell ref="E20:E21"/>
    <mergeCell ref="E22:E23"/>
    <mergeCell ref="A32:E45"/>
    <mergeCell ref="E14:E15"/>
    <mergeCell ref="A1:E1"/>
    <mergeCell ref="A4:B5"/>
    <mergeCell ref="C4:D5"/>
    <mergeCell ref="E10:E11"/>
    <mergeCell ref="E12:E13"/>
  </mergeCells>
  <conditionalFormatting sqref="H29:H30">
    <cfRule type="expression" dxfId="289" priority="10">
      <formula>ISNUMBER(SEARCH(TEXT(#REF!,"ddd"),#REF!))</formula>
    </cfRule>
  </conditionalFormatting>
  <conditionalFormatting sqref="A10:D10 A24:C24 A11:A12 D11:D12 B11:C22">
    <cfRule type="expression" dxfId="288" priority="11">
      <formula>ISNUMBER(SEARCH(TEXT(#REF!,"ddd"),#REF!))</formula>
    </cfRule>
  </conditionalFormatting>
  <conditionalFormatting sqref="D14:D17">
    <cfRule type="expression" dxfId="287" priority="9">
      <formula>ISNUMBER(SEARCH(TEXT(#REF!,"ddd"),#REF!))</formula>
    </cfRule>
  </conditionalFormatting>
  <conditionalFormatting sqref="A14:A17">
    <cfRule type="expression" dxfId="286" priority="7">
      <formula>ISNUMBER(SEARCH(TEXT(#REF!,"ddd"),#REF!))</formula>
    </cfRule>
  </conditionalFormatting>
  <conditionalFormatting sqref="A13 D13">
    <cfRule type="expression" dxfId="285" priority="8">
      <formula>ISNUMBER(SEARCH(TEXT(#REF!,"ddd"),#REF!))</formula>
    </cfRule>
  </conditionalFormatting>
  <conditionalFormatting sqref="D18:D19">
    <cfRule type="expression" dxfId="284" priority="6">
      <formula>ISNUMBER(SEARCH(TEXT(#REF!,"ddd"),#REF!))</formula>
    </cfRule>
  </conditionalFormatting>
  <conditionalFormatting sqref="A18:A19">
    <cfRule type="expression" dxfId="283" priority="5">
      <formula>ISNUMBER(SEARCH(TEXT(#REF!,"ddd"),#REF!))</formula>
    </cfRule>
  </conditionalFormatting>
  <conditionalFormatting sqref="D20:D21">
    <cfRule type="expression" dxfId="282" priority="4">
      <formula>ISNUMBER(SEARCH(TEXT(#REF!,"ddd"),#REF!))</formula>
    </cfRule>
  </conditionalFormatting>
  <conditionalFormatting sqref="A20:A21">
    <cfRule type="expression" dxfId="281" priority="3">
      <formula>ISNUMBER(SEARCH(TEXT(#REF!,"ddd"),#REF!))</formula>
    </cfRule>
  </conditionalFormatting>
  <conditionalFormatting sqref="D22:D23">
    <cfRule type="expression" dxfId="280" priority="2">
      <formula>ISNUMBER(SEARCH(TEXT(#REF!,"ddd"),#REF!))</formula>
    </cfRule>
  </conditionalFormatting>
  <conditionalFormatting sqref="A23:C23 A22">
    <cfRule type="expression" dxfId="279" priority="1">
      <formula>ISNUMBER(SEARCH(TEXT(#REF!,"ddd"),#REF!))</formula>
    </cfRule>
  </conditionalFormatting>
  <dataValidations count="2">
    <dataValidation type="custom" allowBlank="1" showInputMessage="1" showErrorMessage="1" sqref="B10:B22" xr:uid="{E7D84ABC-5402-4A32-8BC5-CB7B86F1161B}">
      <formula1>AND($B10&lt;=1,ISNUMBER($B10))</formula1>
    </dataValidation>
    <dataValidation type="custom" allowBlank="1" showInputMessage="1" showErrorMessage="1" sqref="C10:C22" xr:uid="{C6F25940-2C9B-4AB1-9228-A569CC432325}">
      <formula1>AND($C10&lt;=1,ISNUMBER($C10),($C10&gt;=$B10))</formula1>
    </dataValidation>
  </dataValidations>
  <pageMargins left="0.11811023622047245" right="0" top="0.11811023622047245" bottom="0" header="0" footer="0"/>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1B2E3-62EC-4ED2-A8B1-DD00B5435697}">
  <sheetPr codeName="Sheet11"/>
  <dimension ref="A1:H45"/>
  <sheetViews>
    <sheetView showGridLines="0" zoomScaleNormal="100" workbookViewId="0">
      <selection activeCell="A32" sqref="A32:E45"/>
    </sheetView>
  </sheetViews>
  <sheetFormatPr baseColWidth="10" defaultColWidth="9" defaultRowHeight="12.75" x14ac:dyDescent="0.2"/>
  <cols>
    <col min="1" max="1" width="9.625" customWidth="1"/>
    <col min="2" max="2" width="6.625" customWidth="1"/>
    <col min="3" max="3" width="8.625" customWidth="1"/>
    <col min="4" max="4" width="7.625" customWidth="1"/>
    <col min="5" max="5" width="25.625" customWidth="1"/>
    <col min="6" max="7" width="13.12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12" t="s">
        <v>50</v>
      </c>
      <c r="B1" s="313"/>
      <c r="C1" s="313"/>
      <c r="D1" s="313"/>
      <c r="E1" s="313"/>
      <c r="F1" s="63">
        <f>WEEKNUM(A10)</f>
        <v>4</v>
      </c>
      <c r="G1" s="64"/>
      <c r="H1" s="14"/>
    </row>
    <row r="2" spans="1:8" s="1" customFormat="1" ht="14.25" x14ac:dyDescent="0.2">
      <c r="A2" s="65" t="s">
        <v>0</v>
      </c>
      <c r="B2" s="25"/>
      <c r="C2" s="25" t="s">
        <v>1</v>
      </c>
      <c r="D2" s="25"/>
      <c r="E2" s="44" t="s">
        <v>2</v>
      </c>
      <c r="F2" s="44" t="s">
        <v>3</v>
      </c>
      <c r="G2" s="66" t="s">
        <v>4</v>
      </c>
      <c r="H2" s="10"/>
    </row>
    <row r="3" spans="1:8" ht="13.5" thickBot="1" x14ac:dyDescent="0.25">
      <c r="A3" s="67">
        <f>A10</f>
        <v>43850</v>
      </c>
      <c r="B3" s="32"/>
      <c r="C3" s="31">
        <f>A24</f>
        <v>43856</v>
      </c>
      <c r="D3" s="32"/>
      <c r="E3" s="45" t="s">
        <v>5</v>
      </c>
      <c r="F3" s="33">
        <f>Sumcolor(E3,D10:D39)</f>
        <v>0.17361111111111094</v>
      </c>
      <c r="G3" s="68">
        <f>SUM(Først:Sist!F3)</f>
        <v>0.76388888888888862</v>
      </c>
      <c r="H3" s="12"/>
    </row>
    <row r="4" spans="1:8" x14ac:dyDescent="0.2">
      <c r="A4" s="285" t="s">
        <v>6</v>
      </c>
      <c r="B4" s="286"/>
      <c r="C4" s="286" t="s">
        <v>49</v>
      </c>
      <c r="D4" s="286"/>
      <c r="E4" s="46" t="s">
        <v>7</v>
      </c>
      <c r="F4" s="33">
        <f>Sumcolor(E4,D10:D39)</f>
        <v>0</v>
      </c>
      <c r="G4" s="68">
        <f>SUM(Først:Sist!F4)</f>
        <v>3.8298611111111116</v>
      </c>
      <c r="H4" s="12"/>
    </row>
    <row r="5" spans="1:8" x14ac:dyDescent="0.2">
      <c r="A5" s="288"/>
      <c r="B5" s="289"/>
      <c r="C5" s="289"/>
      <c r="D5" s="289"/>
      <c r="E5" s="47" t="s">
        <v>8</v>
      </c>
      <c r="F5" s="33">
        <f>Sumcolor(E5,D10:D39)</f>
        <v>0</v>
      </c>
      <c r="G5" s="68">
        <f>SUM(Først:Sist!F5)</f>
        <v>0.90972222222222132</v>
      </c>
      <c r="H5" s="12"/>
    </row>
    <row r="6" spans="1:8" ht="13.5" thickBot="1" x14ac:dyDescent="0.25">
      <c r="A6" s="69">
        <f>SUM(D10:D39)</f>
        <v>0.18749999999999978</v>
      </c>
      <c r="B6" s="34"/>
      <c r="C6" s="38">
        <f>SUM(Først:Sist!A6)</f>
        <v>7.6006944444444429</v>
      </c>
      <c r="D6" s="35"/>
      <c r="E6" s="72" t="s">
        <v>9</v>
      </c>
      <c r="F6" s="36">
        <f>Sumcolor(E6,D10:D39)</f>
        <v>1.388888888888884E-2</v>
      </c>
      <c r="G6" s="70">
        <f>SUM(Først:Sist!F6)</f>
        <v>2.0972222222222214</v>
      </c>
      <c r="H6" s="12"/>
    </row>
    <row r="7" spans="1:8" x14ac:dyDescent="0.2">
      <c r="A7" s="16"/>
      <c r="B7" s="17"/>
      <c r="C7" s="18"/>
      <c r="D7" s="37"/>
      <c r="E7" s="17"/>
      <c r="F7" s="17"/>
      <c r="G7" s="17"/>
      <c r="H7" s="13"/>
    </row>
    <row r="8" spans="1:8" ht="13.5" thickBot="1" x14ac:dyDescent="0.25">
      <c r="A8" s="30"/>
      <c r="B8" s="20"/>
      <c r="C8" s="57"/>
      <c r="D8" s="20"/>
      <c r="E8" s="30"/>
      <c r="F8" s="30"/>
      <c r="G8" s="19"/>
      <c r="H8" s="13"/>
    </row>
    <row r="9" spans="1:8" ht="13.5" thickBot="1" x14ac:dyDescent="0.25">
      <c r="A9" s="58" t="s">
        <v>10</v>
      </c>
      <c r="B9" s="75" t="s">
        <v>11</v>
      </c>
      <c r="C9" s="75" t="s">
        <v>12</v>
      </c>
      <c r="D9" s="75" t="s">
        <v>13</v>
      </c>
      <c r="E9" s="75" t="s">
        <v>14</v>
      </c>
      <c r="F9" s="59" t="s">
        <v>15</v>
      </c>
      <c r="G9" s="19"/>
      <c r="H9" s="13"/>
    </row>
    <row r="10" spans="1:8" x14ac:dyDescent="0.2">
      <c r="A10" s="39">
        <v>43850</v>
      </c>
      <c r="B10" s="48">
        <v>0.58333333333333337</v>
      </c>
      <c r="C10" s="48">
        <v>0.64583333333333337</v>
      </c>
      <c r="D10" s="76">
        <f>(C10-B10)</f>
        <v>6.25E-2</v>
      </c>
      <c r="E10" s="319" t="s">
        <v>58</v>
      </c>
      <c r="F10" s="60"/>
      <c r="G10" s="19"/>
    </row>
    <row r="11" spans="1:8" x14ac:dyDescent="0.2">
      <c r="A11" s="41"/>
      <c r="B11" s="54"/>
      <c r="C11" s="54"/>
      <c r="D11" s="55"/>
      <c r="E11" s="320"/>
      <c r="F11" s="73"/>
      <c r="G11" s="19"/>
    </row>
    <row r="12" spans="1:8" x14ac:dyDescent="0.2">
      <c r="A12" s="39">
        <v>43853</v>
      </c>
      <c r="B12" s="48">
        <v>0.75</v>
      </c>
      <c r="C12" s="48">
        <v>0.80555555555555547</v>
      </c>
      <c r="D12" s="76">
        <f>(C12-B12)</f>
        <v>5.5555555555555469E-2</v>
      </c>
      <c r="E12" s="318" t="s">
        <v>59</v>
      </c>
      <c r="F12" s="61"/>
      <c r="G12" s="19"/>
    </row>
    <row r="13" spans="1:8" x14ac:dyDescent="0.2">
      <c r="A13" s="42"/>
      <c r="B13" s="54"/>
      <c r="C13" s="54"/>
      <c r="D13" s="56"/>
      <c r="E13" s="305"/>
      <c r="F13" s="74"/>
      <c r="G13" s="19"/>
    </row>
    <row r="14" spans="1:8" x14ac:dyDescent="0.2">
      <c r="A14" s="39"/>
      <c r="B14" s="48">
        <v>0.8125</v>
      </c>
      <c r="C14" s="48">
        <v>0.86805555555555547</v>
      </c>
      <c r="D14" s="76">
        <f>(C14-B14)</f>
        <v>5.5555555555555469E-2</v>
      </c>
      <c r="E14" s="318" t="s">
        <v>60</v>
      </c>
      <c r="F14" s="61"/>
      <c r="G14" s="19"/>
    </row>
    <row r="15" spans="1:8" x14ac:dyDescent="0.2">
      <c r="A15" s="43"/>
      <c r="B15" s="54"/>
      <c r="C15" s="54"/>
      <c r="D15" s="56"/>
      <c r="E15" s="305"/>
      <c r="F15" s="74"/>
      <c r="G15" s="19"/>
    </row>
    <row r="16" spans="1:8" x14ac:dyDescent="0.2">
      <c r="A16" s="39">
        <v>43856</v>
      </c>
      <c r="B16" s="48">
        <v>0.83333333333333337</v>
      </c>
      <c r="C16" s="48">
        <v>0.84722222222222221</v>
      </c>
      <c r="D16" s="71">
        <f>(C16-B16)</f>
        <v>1.388888888888884E-2</v>
      </c>
      <c r="E16" s="318" t="s">
        <v>61</v>
      </c>
      <c r="F16" s="61"/>
      <c r="G16" s="19"/>
    </row>
    <row r="17" spans="1:8" x14ac:dyDescent="0.2">
      <c r="A17" s="43"/>
      <c r="B17" s="54"/>
      <c r="C17" s="54"/>
      <c r="D17" s="56"/>
      <c r="E17" s="305"/>
      <c r="F17" s="74"/>
      <c r="G17" s="19"/>
    </row>
    <row r="18" spans="1:8" x14ac:dyDescent="0.2">
      <c r="A18" s="39"/>
      <c r="B18" s="48"/>
      <c r="C18" s="48"/>
      <c r="D18" s="51">
        <f>(C18-B18)</f>
        <v>0</v>
      </c>
      <c r="E18" s="318"/>
      <c r="F18" s="61"/>
      <c r="G18" s="19"/>
    </row>
    <row r="19" spans="1:8" x14ac:dyDescent="0.2">
      <c r="A19" s="43"/>
      <c r="B19" s="54"/>
      <c r="C19" s="54"/>
      <c r="D19" s="56"/>
      <c r="E19" s="305"/>
      <c r="F19" s="74"/>
      <c r="G19" s="19"/>
    </row>
    <row r="20" spans="1:8" x14ac:dyDescent="0.2">
      <c r="A20" s="39"/>
      <c r="B20" s="48"/>
      <c r="C20" s="48"/>
      <c r="D20" s="51">
        <f>(C20-B20)</f>
        <v>0</v>
      </c>
      <c r="E20" s="318"/>
      <c r="F20" s="61"/>
      <c r="G20" s="19"/>
    </row>
    <row r="21" spans="1:8" x14ac:dyDescent="0.2">
      <c r="A21" s="43"/>
      <c r="B21" s="54"/>
      <c r="C21" s="54"/>
      <c r="D21" s="56"/>
      <c r="E21" s="305"/>
      <c r="F21" s="74"/>
      <c r="G21" s="19"/>
    </row>
    <row r="22" spans="1:8" x14ac:dyDescent="0.2">
      <c r="A22" s="39"/>
      <c r="B22" s="48"/>
      <c r="C22" s="48"/>
      <c r="D22" s="51">
        <f>(C22-B22)</f>
        <v>0</v>
      </c>
      <c r="E22" s="318"/>
      <c r="F22" s="61"/>
      <c r="G22" s="19"/>
    </row>
    <row r="23" spans="1:8" x14ac:dyDescent="0.2">
      <c r="A23" s="43"/>
      <c r="B23" s="54"/>
      <c r="C23" s="54"/>
      <c r="D23" s="56"/>
      <c r="E23" s="305"/>
      <c r="F23" s="74"/>
      <c r="G23" s="19"/>
    </row>
    <row r="24" spans="1:8" x14ac:dyDescent="0.2">
      <c r="A24" s="39">
        <v>43856</v>
      </c>
      <c r="B24" s="48"/>
      <c r="C24" s="48"/>
      <c r="D24" s="52">
        <f>(C24-B24)</f>
        <v>0</v>
      </c>
      <c r="E24" s="26"/>
      <c r="F24" s="61"/>
    </row>
    <row r="25" spans="1:8" ht="13.5" thickBot="1" x14ac:dyDescent="0.25">
      <c r="A25" s="40"/>
      <c r="B25" s="49"/>
      <c r="C25" s="49"/>
      <c r="D25" s="53"/>
      <c r="E25" s="27"/>
      <c r="F25" s="62"/>
    </row>
    <row r="26" spans="1:8" ht="12.75" customHeight="1" x14ac:dyDescent="0.2"/>
    <row r="27" spans="1:8" ht="12.75" customHeight="1" x14ac:dyDescent="0.2"/>
    <row r="28" spans="1:8" ht="12.75" customHeight="1" x14ac:dyDescent="0.2"/>
    <row r="29" spans="1:8" x14ac:dyDescent="0.2">
      <c r="A29" s="19"/>
      <c r="B29" s="19"/>
      <c r="C29" s="19"/>
      <c r="D29" s="19"/>
      <c r="E29" s="19"/>
      <c r="F29" s="19"/>
      <c r="G29" s="19"/>
      <c r="H29" s="5"/>
    </row>
    <row r="30" spans="1:8" ht="19.5" thickBot="1" x14ac:dyDescent="0.25">
      <c r="A30" s="28" t="s">
        <v>16</v>
      </c>
      <c r="B30" s="29"/>
      <c r="C30" s="30"/>
      <c r="D30" s="20"/>
      <c r="E30" s="20"/>
      <c r="F30" s="19"/>
      <c r="G30" s="19"/>
      <c r="H30" s="5"/>
    </row>
    <row r="31" spans="1:8" ht="13.5" thickBot="1" x14ac:dyDescent="0.25">
      <c r="A31" s="21"/>
      <c r="B31" s="22"/>
      <c r="C31" s="8"/>
      <c r="D31" s="9"/>
      <c r="E31" s="23"/>
      <c r="F31" s="21"/>
      <c r="G31" s="21"/>
      <c r="H31" s="6"/>
    </row>
    <row r="32" spans="1:8" ht="15.75" customHeight="1" x14ac:dyDescent="0.2">
      <c r="A32" s="285" t="s">
        <v>62</v>
      </c>
      <c r="B32" s="286"/>
      <c r="C32" s="286"/>
      <c r="D32" s="286"/>
      <c r="E32" s="287"/>
      <c r="F32" s="19"/>
      <c r="G32" s="19"/>
      <c r="H32" s="7"/>
    </row>
    <row r="33" spans="1:8" ht="12.75" customHeight="1" x14ac:dyDescent="0.2">
      <c r="A33" s="288"/>
      <c r="B33" s="289"/>
      <c r="C33" s="289"/>
      <c r="D33" s="289"/>
      <c r="E33" s="290"/>
      <c r="F33" s="24"/>
      <c r="G33" s="24"/>
      <c r="H33" s="15"/>
    </row>
    <row r="34" spans="1:8" ht="12.75" customHeight="1" x14ac:dyDescent="0.2">
      <c r="A34" s="288"/>
      <c r="B34" s="289"/>
      <c r="C34" s="289"/>
      <c r="D34" s="289"/>
      <c r="E34" s="290"/>
      <c r="F34" s="24"/>
      <c r="G34" s="24"/>
      <c r="H34" s="15"/>
    </row>
    <row r="35" spans="1:8" ht="12.75" customHeight="1" x14ac:dyDescent="0.2">
      <c r="A35" s="288"/>
      <c r="B35" s="289"/>
      <c r="C35" s="289"/>
      <c r="D35" s="289"/>
      <c r="E35" s="290"/>
      <c r="F35" s="24"/>
      <c r="G35" s="24"/>
      <c r="H35" s="15"/>
    </row>
    <row r="36" spans="1:8" ht="12.75" customHeight="1" x14ac:dyDescent="0.2">
      <c r="A36" s="288"/>
      <c r="B36" s="289"/>
      <c r="C36" s="289"/>
      <c r="D36" s="289"/>
      <c r="E36" s="290"/>
      <c r="F36" s="24"/>
      <c r="G36" s="24"/>
      <c r="H36" s="15"/>
    </row>
    <row r="37" spans="1:8" ht="12.75" customHeight="1" x14ac:dyDescent="0.2">
      <c r="A37" s="288"/>
      <c r="B37" s="289"/>
      <c r="C37" s="289"/>
      <c r="D37" s="289"/>
      <c r="E37" s="290"/>
      <c r="F37" s="24"/>
      <c r="G37" s="24"/>
      <c r="H37" s="15"/>
    </row>
    <row r="38" spans="1:8" ht="12.75" customHeight="1" x14ac:dyDescent="0.2">
      <c r="A38" s="288"/>
      <c r="B38" s="289"/>
      <c r="C38" s="289"/>
      <c r="D38" s="289"/>
      <c r="E38" s="290"/>
      <c r="F38" s="24"/>
      <c r="G38" s="24"/>
      <c r="H38" s="15"/>
    </row>
    <row r="39" spans="1:8" ht="12.75" customHeight="1" x14ac:dyDescent="0.2">
      <c r="A39" s="288"/>
      <c r="B39" s="289"/>
      <c r="C39" s="289"/>
      <c r="D39" s="289"/>
      <c r="E39" s="290"/>
      <c r="F39" s="24"/>
      <c r="G39" s="24"/>
      <c r="H39" s="15"/>
    </row>
    <row r="40" spans="1:8" ht="12.75" customHeight="1" x14ac:dyDescent="0.2">
      <c r="A40" s="288"/>
      <c r="B40" s="289"/>
      <c r="C40" s="289"/>
      <c r="D40" s="289"/>
      <c r="E40" s="290"/>
      <c r="F40" s="24"/>
      <c r="G40" s="24"/>
      <c r="H40" s="15"/>
    </row>
    <row r="41" spans="1:8" ht="12.75" customHeight="1" x14ac:dyDescent="0.2">
      <c r="A41" s="288"/>
      <c r="B41" s="289"/>
      <c r="C41" s="289"/>
      <c r="D41" s="289"/>
      <c r="E41" s="290"/>
      <c r="F41" s="24"/>
      <c r="G41" s="24"/>
      <c r="H41" s="15"/>
    </row>
    <row r="42" spans="1:8" ht="12.75" customHeight="1" x14ac:dyDescent="0.2">
      <c r="A42" s="288"/>
      <c r="B42" s="289"/>
      <c r="C42" s="289"/>
      <c r="D42" s="289"/>
      <c r="E42" s="290"/>
      <c r="F42" s="24"/>
      <c r="G42" s="24"/>
      <c r="H42" s="15"/>
    </row>
    <row r="43" spans="1:8" ht="12.75" customHeight="1" x14ac:dyDescent="0.2">
      <c r="A43" s="288"/>
      <c r="B43" s="289"/>
      <c r="C43" s="289"/>
      <c r="D43" s="289"/>
      <c r="E43" s="290"/>
      <c r="F43" s="24"/>
      <c r="G43" s="24"/>
      <c r="H43" s="15"/>
    </row>
    <row r="44" spans="1:8" ht="13.5" customHeight="1" x14ac:dyDescent="0.2">
      <c r="A44" s="288"/>
      <c r="B44" s="289"/>
      <c r="C44" s="289"/>
      <c r="D44" s="289"/>
      <c r="E44" s="290"/>
      <c r="F44" s="19"/>
      <c r="G44" s="19"/>
    </row>
    <row r="45" spans="1:8" ht="13.5" thickBot="1" x14ac:dyDescent="0.25">
      <c r="A45" s="291"/>
      <c r="B45" s="292"/>
      <c r="C45" s="292"/>
      <c r="D45" s="292"/>
      <c r="E45" s="293"/>
      <c r="F45" s="19"/>
      <c r="G45" s="19"/>
    </row>
  </sheetData>
  <mergeCells count="11">
    <mergeCell ref="E16:E17"/>
    <mergeCell ref="E18:E19"/>
    <mergeCell ref="E20:E21"/>
    <mergeCell ref="E22:E23"/>
    <mergeCell ref="A32:E45"/>
    <mergeCell ref="E14:E15"/>
    <mergeCell ref="A1:E1"/>
    <mergeCell ref="A4:B5"/>
    <mergeCell ref="C4:D5"/>
    <mergeCell ref="E10:E11"/>
    <mergeCell ref="E12:E13"/>
  </mergeCells>
  <conditionalFormatting sqref="H29:H30">
    <cfRule type="expression" dxfId="278" priority="10">
      <formula>ISNUMBER(SEARCH(TEXT(#REF!,"ddd"),#REF!))</formula>
    </cfRule>
  </conditionalFormatting>
  <conditionalFormatting sqref="A10:D10 A24:C24 A11:A12 D11:D12 B11:C22">
    <cfRule type="expression" dxfId="277" priority="11">
      <formula>ISNUMBER(SEARCH(TEXT(#REF!,"ddd"),#REF!))</formula>
    </cfRule>
  </conditionalFormatting>
  <conditionalFormatting sqref="D14:D17">
    <cfRule type="expression" dxfId="276" priority="9">
      <formula>ISNUMBER(SEARCH(TEXT(#REF!,"ddd"),#REF!))</formula>
    </cfRule>
  </conditionalFormatting>
  <conditionalFormatting sqref="A14:A17">
    <cfRule type="expression" dxfId="275" priority="7">
      <formula>ISNUMBER(SEARCH(TEXT(#REF!,"ddd"),#REF!))</formula>
    </cfRule>
  </conditionalFormatting>
  <conditionalFormatting sqref="A13 D13">
    <cfRule type="expression" dxfId="274" priority="8">
      <formula>ISNUMBER(SEARCH(TEXT(#REF!,"ddd"),#REF!))</formula>
    </cfRule>
  </conditionalFormatting>
  <conditionalFormatting sqref="D18:D19">
    <cfRule type="expression" dxfId="273" priority="6">
      <formula>ISNUMBER(SEARCH(TEXT(#REF!,"ddd"),#REF!))</formula>
    </cfRule>
  </conditionalFormatting>
  <conditionalFormatting sqref="A18:A19">
    <cfRule type="expression" dxfId="272" priority="5">
      <formula>ISNUMBER(SEARCH(TEXT(#REF!,"ddd"),#REF!))</formula>
    </cfRule>
  </conditionalFormatting>
  <conditionalFormatting sqref="D20:D21">
    <cfRule type="expression" dxfId="271" priority="4">
      <formula>ISNUMBER(SEARCH(TEXT(#REF!,"ddd"),#REF!))</formula>
    </cfRule>
  </conditionalFormatting>
  <conditionalFormatting sqref="A20:A21">
    <cfRule type="expression" dxfId="270" priority="3">
      <formula>ISNUMBER(SEARCH(TEXT(#REF!,"ddd"),#REF!))</formula>
    </cfRule>
  </conditionalFormatting>
  <conditionalFormatting sqref="D22:D23">
    <cfRule type="expression" dxfId="269" priority="2">
      <formula>ISNUMBER(SEARCH(TEXT(#REF!,"ddd"),#REF!))</formula>
    </cfRule>
  </conditionalFormatting>
  <conditionalFormatting sqref="A23:C23 A22">
    <cfRule type="expression" dxfId="268" priority="1">
      <formula>ISNUMBER(SEARCH(TEXT(#REF!,"ddd"),#REF!))</formula>
    </cfRule>
  </conditionalFormatting>
  <dataValidations count="2">
    <dataValidation type="custom" allowBlank="1" showInputMessage="1" showErrorMessage="1" sqref="C10:C22" xr:uid="{EA2CDD30-057C-427C-9CB6-9D10DC175764}">
      <formula1>AND($C10&lt;=1,ISNUMBER($C10),($C10&gt;=$B10))</formula1>
    </dataValidation>
    <dataValidation type="custom" allowBlank="1" showInputMessage="1" showErrorMessage="1" sqref="B10:B22" xr:uid="{BEF61627-B88A-4B08-80EF-6BB4BD176498}">
      <formula1>AND($B10&lt;=1,ISNUMBER($B10))</formula1>
    </dataValidation>
  </dataValidations>
  <pageMargins left="0.11811023622047245" right="0" top="0.11811023622047245" bottom="0" header="0" footer="0"/>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4B321-5D25-4ABA-82DB-CBF4E3537C51}">
  <sheetPr codeName="Sheet10"/>
  <dimension ref="A1:H45"/>
  <sheetViews>
    <sheetView showGridLines="0" zoomScaleNormal="100" workbookViewId="0">
      <selection activeCell="A32" sqref="A32:E45"/>
    </sheetView>
  </sheetViews>
  <sheetFormatPr baseColWidth="10" defaultColWidth="9" defaultRowHeight="12.75" x14ac:dyDescent="0.2"/>
  <cols>
    <col min="1" max="1" width="9.625" customWidth="1"/>
    <col min="2" max="2" width="6.625" customWidth="1"/>
    <col min="3" max="3" width="8.625" customWidth="1"/>
    <col min="4" max="4" width="7.625" customWidth="1"/>
    <col min="5" max="5" width="25.625" customWidth="1"/>
    <col min="6" max="7" width="13.12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12" t="s">
        <v>50</v>
      </c>
      <c r="B1" s="313"/>
      <c r="C1" s="313"/>
      <c r="D1" s="313"/>
      <c r="E1" s="313"/>
      <c r="F1" s="63">
        <f>WEEKNUM(A10)</f>
        <v>5</v>
      </c>
      <c r="G1" s="64"/>
      <c r="H1" s="14"/>
    </row>
    <row r="2" spans="1:8" s="1" customFormat="1" ht="14.25" x14ac:dyDescent="0.2">
      <c r="A2" s="65" t="s">
        <v>0</v>
      </c>
      <c r="B2" s="25"/>
      <c r="C2" s="25" t="s">
        <v>1</v>
      </c>
      <c r="D2" s="25"/>
      <c r="E2" s="44" t="s">
        <v>2</v>
      </c>
      <c r="F2" s="44" t="s">
        <v>3</v>
      </c>
      <c r="G2" s="66" t="s">
        <v>4</v>
      </c>
      <c r="H2" s="10"/>
    </row>
    <row r="3" spans="1:8" ht="13.5" thickBot="1" x14ac:dyDescent="0.25">
      <c r="A3" s="67">
        <f>A10</f>
        <v>43857</v>
      </c>
      <c r="B3" s="32"/>
      <c r="C3" s="31">
        <f>A24</f>
        <v>43863</v>
      </c>
      <c r="D3" s="32"/>
      <c r="E3" s="45" t="s">
        <v>5</v>
      </c>
      <c r="F3" s="33">
        <f>Sumcolor(E3,D10:D39)</f>
        <v>0.14583333333333326</v>
      </c>
      <c r="G3" s="68">
        <f>SUM(Først:Sist!F3)</f>
        <v>0.76388888888888862</v>
      </c>
      <c r="H3" s="12"/>
    </row>
    <row r="4" spans="1:8" x14ac:dyDescent="0.2">
      <c r="A4" s="285" t="s">
        <v>6</v>
      </c>
      <c r="B4" s="286"/>
      <c r="C4" s="286" t="s">
        <v>49</v>
      </c>
      <c r="D4" s="286"/>
      <c r="E4" s="46" t="s">
        <v>7</v>
      </c>
      <c r="F4" s="33">
        <f>Sumcolor(E4,D10:D39)</f>
        <v>0</v>
      </c>
      <c r="G4" s="68">
        <f>SUM(Først:Sist!F4)</f>
        <v>3.8298611111111116</v>
      </c>
      <c r="H4" s="12"/>
    </row>
    <row r="5" spans="1:8" x14ac:dyDescent="0.2">
      <c r="A5" s="288"/>
      <c r="B5" s="289"/>
      <c r="C5" s="289"/>
      <c r="D5" s="289"/>
      <c r="E5" s="47" t="s">
        <v>8</v>
      </c>
      <c r="F5" s="33">
        <f>Sumcolor(E5,D10:D39)</f>
        <v>2.083333333333337E-2</v>
      </c>
      <c r="G5" s="68">
        <f>SUM(Først:Sist!F5)</f>
        <v>0.90972222222222132</v>
      </c>
      <c r="H5" s="12"/>
    </row>
    <row r="6" spans="1:8" ht="13.5" thickBot="1" x14ac:dyDescent="0.25">
      <c r="A6" s="69">
        <f>SUM(D10:D39)</f>
        <v>0.28124999999999967</v>
      </c>
      <c r="B6" s="34"/>
      <c r="C6" s="38">
        <f>SUM(Først:Sist!A6)</f>
        <v>7.6006944444444429</v>
      </c>
      <c r="D6" s="35"/>
      <c r="E6" s="72" t="s">
        <v>9</v>
      </c>
      <c r="F6" s="36">
        <f>Sumcolor(E6,D10:D39)</f>
        <v>0.11458333333333304</v>
      </c>
      <c r="G6" s="70">
        <f>SUM(Først:Sist!F6)</f>
        <v>2.0972222222222214</v>
      </c>
      <c r="H6" s="12"/>
    </row>
    <row r="7" spans="1:8" x14ac:dyDescent="0.2">
      <c r="A7" s="16"/>
      <c r="B7" s="17"/>
      <c r="C7" s="18"/>
      <c r="D7" s="37"/>
      <c r="E7" s="17"/>
      <c r="F7" s="17"/>
      <c r="G7" s="17"/>
      <c r="H7" s="13"/>
    </row>
    <row r="8" spans="1:8" ht="13.5" thickBot="1" x14ac:dyDescent="0.25">
      <c r="A8" s="30"/>
      <c r="B8" s="20"/>
      <c r="C8" s="57"/>
      <c r="D8" s="20"/>
      <c r="E8" s="30"/>
      <c r="F8" s="30"/>
      <c r="G8" s="19"/>
      <c r="H8" s="13"/>
    </row>
    <row r="9" spans="1:8" ht="13.5" thickBot="1" x14ac:dyDescent="0.25">
      <c r="A9" s="58" t="s">
        <v>10</v>
      </c>
      <c r="B9" s="75" t="s">
        <v>11</v>
      </c>
      <c r="C9" s="75" t="s">
        <v>12</v>
      </c>
      <c r="D9" s="75" t="s">
        <v>13</v>
      </c>
      <c r="E9" s="75" t="s">
        <v>14</v>
      </c>
      <c r="F9" s="59" t="s">
        <v>15</v>
      </c>
      <c r="G9" s="19"/>
      <c r="H9" s="13"/>
    </row>
    <row r="10" spans="1:8" x14ac:dyDescent="0.2">
      <c r="A10" s="39">
        <v>43857</v>
      </c>
      <c r="B10" s="48">
        <v>0.58333333333333337</v>
      </c>
      <c r="C10" s="48">
        <v>0.64583333333333337</v>
      </c>
      <c r="D10" s="76">
        <f>(C10-B10)</f>
        <v>6.25E-2</v>
      </c>
      <c r="E10" s="319" t="s">
        <v>63</v>
      </c>
      <c r="F10" s="60"/>
      <c r="G10" s="19"/>
    </row>
    <row r="11" spans="1:8" x14ac:dyDescent="0.2">
      <c r="A11" s="41"/>
      <c r="B11" s="54"/>
      <c r="C11" s="54"/>
      <c r="D11" s="55"/>
      <c r="E11" s="320"/>
      <c r="F11" s="73"/>
      <c r="G11" s="19"/>
    </row>
    <row r="12" spans="1:8" x14ac:dyDescent="0.2">
      <c r="A12" s="39">
        <v>43859</v>
      </c>
      <c r="B12" s="48">
        <v>0.41666666666666669</v>
      </c>
      <c r="C12" s="48">
        <v>0.45833333333333331</v>
      </c>
      <c r="D12" s="76">
        <f>(C12-B12)</f>
        <v>4.166666666666663E-2</v>
      </c>
      <c r="E12" s="318" t="s">
        <v>64</v>
      </c>
      <c r="F12" s="61"/>
      <c r="G12" s="19"/>
    </row>
    <row r="13" spans="1:8" x14ac:dyDescent="0.2">
      <c r="A13" s="42"/>
      <c r="B13" s="54"/>
      <c r="C13" s="54"/>
      <c r="D13" s="56"/>
      <c r="E13" s="305"/>
      <c r="F13" s="74"/>
      <c r="G13" s="19"/>
    </row>
    <row r="14" spans="1:8" x14ac:dyDescent="0.2">
      <c r="A14" s="39"/>
      <c r="B14" s="48">
        <v>0.5</v>
      </c>
      <c r="C14" s="48">
        <v>0.52083333333333337</v>
      </c>
      <c r="D14" s="50">
        <f>(C14-B14)</f>
        <v>2.083333333333337E-2</v>
      </c>
      <c r="E14" s="318" t="s">
        <v>65</v>
      </c>
      <c r="F14" s="61"/>
      <c r="G14" s="19"/>
    </row>
    <row r="15" spans="1:8" x14ac:dyDescent="0.2">
      <c r="A15" s="43"/>
      <c r="B15" s="54"/>
      <c r="C15" s="54"/>
      <c r="D15" s="56"/>
      <c r="E15" s="305"/>
      <c r="F15" s="74"/>
      <c r="G15" s="19"/>
    </row>
    <row r="16" spans="1:8" x14ac:dyDescent="0.2">
      <c r="A16" s="39">
        <v>43860</v>
      </c>
      <c r="B16" s="48">
        <v>0.41666666666666669</v>
      </c>
      <c r="C16" s="48">
        <v>0.45833333333333331</v>
      </c>
      <c r="D16" s="76">
        <f>(C16-B16)</f>
        <v>4.166666666666663E-2</v>
      </c>
      <c r="E16" s="318" t="s">
        <v>66</v>
      </c>
      <c r="F16" s="61"/>
      <c r="G16" s="19"/>
    </row>
    <row r="17" spans="1:8" x14ac:dyDescent="0.2">
      <c r="A17" s="43"/>
      <c r="B17" s="54"/>
      <c r="C17" s="54"/>
      <c r="D17" s="56"/>
      <c r="E17" s="305"/>
      <c r="F17" s="74"/>
      <c r="G17" s="19"/>
    </row>
    <row r="18" spans="1:8" x14ac:dyDescent="0.2">
      <c r="A18" s="39">
        <v>43861</v>
      </c>
      <c r="B18" s="48">
        <v>0.63888888888888895</v>
      </c>
      <c r="C18" s="48">
        <v>0.68055555555555547</v>
      </c>
      <c r="D18" s="71">
        <f>(C18-B18)</f>
        <v>4.1666666666666519E-2</v>
      </c>
      <c r="E18" s="318" t="s">
        <v>67</v>
      </c>
      <c r="F18" s="61"/>
      <c r="G18" s="19"/>
    </row>
    <row r="19" spans="1:8" x14ac:dyDescent="0.2">
      <c r="A19" s="43"/>
      <c r="B19" s="54"/>
      <c r="C19" s="54"/>
      <c r="D19" s="56"/>
      <c r="E19" s="305"/>
      <c r="F19" s="74"/>
      <c r="G19" s="19"/>
    </row>
    <row r="20" spans="1:8" x14ac:dyDescent="0.2">
      <c r="A20" s="39" t="s">
        <v>69</v>
      </c>
      <c r="B20" s="48">
        <v>0.60763888888888895</v>
      </c>
      <c r="C20" s="48">
        <v>0.68055555555555547</v>
      </c>
      <c r="D20" s="71">
        <f>(C20-B20)</f>
        <v>7.2916666666666519E-2</v>
      </c>
      <c r="E20" s="318" t="s">
        <v>68</v>
      </c>
      <c r="F20" s="61"/>
      <c r="G20" s="19"/>
    </row>
    <row r="21" spans="1:8" x14ac:dyDescent="0.2">
      <c r="A21" s="43"/>
      <c r="B21" s="54"/>
      <c r="C21" s="54"/>
      <c r="D21" s="56"/>
      <c r="E21" s="305"/>
      <c r="F21" s="74"/>
      <c r="G21" s="19"/>
    </row>
    <row r="22" spans="1:8" x14ac:dyDescent="0.2">
      <c r="A22" s="39"/>
      <c r="B22" s="48"/>
      <c r="C22" s="48"/>
      <c r="D22" s="51">
        <f>(C22-B22)</f>
        <v>0</v>
      </c>
      <c r="E22" s="318"/>
      <c r="F22" s="61"/>
      <c r="G22" s="19"/>
    </row>
    <row r="23" spans="1:8" x14ac:dyDescent="0.2">
      <c r="A23" s="43"/>
      <c r="B23" s="54"/>
      <c r="C23" s="54"/>
      <c r="D23" s="56"/>
      <c r="E23" s="305"/>
      <c r="F23" s="74"/>
      <c r="G23" s="19"/>
    </row>
    <row r="24" spans="1:8" x14ac:dyDescent="0.2">
      <c r="A24" s="39">
        <v>43863</v>
      </c>
      <c r="B24" s="48"/>
      <c r="C24" s="48"/>
      <c r="D24" s="52">
        <f>(C24-B24)</f>
        <v>0</v>
      </c>
      <c r="E24" s="26"/>
      <c r="F24" s="61"/>
    </row>
    <row r="25" spans="1:8" ht="13.5" thickBot="1" x14ac:dyDescent="0.25">
      <c r="A25" s="40"/>
      <c r="B25" s="49"/>
      <c r="C25" s="49"/>
      <c r="D25" s="53"/>
      <c r="E25" s="27"/>
      <c r="F25" s="62"/>
    </row>
    <row r="26" spans="1:8" ht="12.75" customHeight="1" x14ac:dyDescent="0.2"/>
    <row r="27" spans="1:8" ht="12.75" customHeight="1" x14ac:dyDescent="0.2"/>
    <row r="28" spans="1:8" ht="12.75" customHeight="1" x14ac:dyDescent="0.2"/>
    <row r="29" spans="1:8" x14ac:dyDescent="0.2">
      <c r="A29" s="19"/>
      <c r="B29" s="19"/>
      <c r="C29" s="19"/>
      <c r="D29" s="19"/>
      <c r="E29" s="19"/>
      <c r="F29" s="19"/>
      <c r="G29" s="19"/>
      <c r="H29" s="5"/>
    </row>
    <row r="30" spans="1:8" ht="19.5" thickBot="1" x14ac:dyDescent="0.25">
      <c r="A30" s="28" t="s">
        <v>16</v>
      </c>
      <c r="B30" s="29"/>
      <c r="C30" s="30"/>
      <c r="D30" s="20"/>
      <c r="E30" s="20"/>
      <c r="F30" s="19"/>
      <c r="G30" s="19"/>
      <c r="H30" s="5"/>
    </row>
    <row r="31" spans="1:8" ht="13.5" thickBot="1" x14ac:dyDescent="0.25">
      <c r="A31" s="21"/>
      <c r="B31" s="22"/>
      <c r="C31" s="8"/>
      <c r="D31" s="9"/>
      <c r="E31" s="23"/>
      <c r="F31" s="21"/>
      <c r="G31" s="21"/>
      <c r="H31" s="6"/>
    </row>
    <row r="32" spans="1:8" ht="15.75" customHeight="1" x14ac:dyDescent="0.2">
      <c r="A32" s="285" t="s">
        <v>70</v>
      </c>
      <c r="B32" s="286"/>
      <c r="C32" s="286"/>
      <c r="D32" s="286"/>
      <c r="E32" s="287"/>
      <c r="F32" s="19"/>
      <c r="G32" s="19"/>
      <c r="H32" s="7"/>
    </row>
    <row r="33" spans="1:8" ht="12.75" customHeight="1" x14ac:dyDescent="0.2">
      <c r="A33" s="288"/>
      <c r="B33" s="289"/>
      <c r="C33" s="289"/>
      <c r="D33" s="289"/>
      <c r="E33" s="290"/>
      <c r="F33" s="24"/>
      <c r="G33" s="24"/>
      <c r="H33" s="15"/>
    </row>
    <row r="34" spans="1:8" ht="12.75" customHeight="1" x14ac:dyDescent="0.2">
      <c r="A34" s="288"/>
      <c r="B34" s="289"/>
      <c r="C34" s="289"/>
      <c r="D34" s="289"/>
      <c r="E34" s="290"/>
      <c r="F34" s="24"/>
      <c r="G34" s="24"/>
      <c r="H34" s="15"/>
    </row>
    <row r="35" spans="1:8" ht="12.75" customHeight="1" x14ac:dyDescent="0.2">
      <c r="A35" s="288"/>
      <c r="B35" s="289"/>
      <c r="C35" s="289"/>
      <c r="D35" s="289"/>
      <c r="E35" s="290"/>
      <c r="F35" s="24"/>
      <c r="G35" s="24"/>
      <c r="H35" s="15"/>
    </row>
    <row r="36" spans="1:8" ht="12.75" customHeight="1" x14ac:dyDescent="0.2">
      <c r="A36" s="288"/>
      <c r="B36" s="289"/>
      <c r="C36" s="289"/>
      <c r="D36" s="289"/>
      <c r="E36" s="290"/>
      <c r="F36" s="24"/>
      <c r="G36" s="24"/>
      <c r="H36" s="15"/>
    </row>
    <row r="37" spans="1:8" ht="12.75" customHeight="1" x14ac:dyDescent="0.2">
      <c r="A37" s="288"/>
      <c r="B37" s="289"/>
      <c r="C37" s="289"/>
      <c r="D37" s="289"/>
      <c r="E37" s="290"/>
      <c r="F37" s="24"/>
      <c r="G37" s="24"/>
      <c r="H37" s="15"/>
    </row>
    <row r="38" spans="1:8" ht="12.75" customHeight="1" x14ac:dyDescent="0.2">
      <c r="A38" s="288"/>
      <c r="B38" s="289"/>
      <c r="C38" s="289"/>
      <c r="D38" s="289"/>
      <c r="E38" s="290"/>
      <c r="F38" s="24"/>
      <c r="G38" s="24"/>
      <c r="H38" s="15"/>
    </row>
    <row r="39" spans="1:8" ht="12.75" customHeight="1" x14ac:dyDescent="0.2">
      <c r="A39" s="288"/>
      <c r="B39" s="289"/>
      <c r="C39" s="289"/>
      <c r="D39" s="289"/>
      <c r="E39" s="290"/>
      <c r="F39" s="24"/>
      <c r="G39" s="24"/>
      <c r="H39" s="15"/>
    </row>
    <row r="40" spans="1:8" ht="12.75" customHeight="1" x14ac:dyDescent="0.2">
      <c r="A40" s="288"/>
      <c r="B40" s="289"/>
      <c r="C40" s="289"/>
      <c r="D40" s="289"/>
      <c r="E40" s="290"/>
      <c r="F40" s="24"/>
      <c r="G40" s="24"/>
      <c r="H40" s="15"/>
    </row>
    <row r="41" spans="1:8" ht="12.75" customHeight="1" x14ac:dyDescent="0.2">
      <c r="A41" s="288"/>
      <c r="B41" s="289"/>
      <c r="C41" s="289"/>
      <c r="D41" s="289"/>
      <c r="E41" s="290"/>
      <c r="F41" s="24"/>
      <c r="G41" s="24"/>
      <c r="H41" s="15"/>
    </row>
    <row r="42" spans="1:8" ht="12.75" customHeight="1" x14ac:dyDescent="0.2">
      <c r="A42" s="288"/>
      <c r="B42" s="289"/>
      <c r="C42" s="289"/>
      <c r="D42" s="289"/>
      <c r="E42" s="290"/>
      <c r="F42" s="24"/>
      <c r="G42" s="24"/>
      <c r="H42" s="15"/>
    </row>
    <row r="43" spans="1:8" ht="12.75" customHeight="1" x14ac:dyDescent="0.2">
      <c r="A43" s="288"/>
      <c r="B43" s="289"/>
      <c r="C43" s="289"/>
      <c r="D43" s="289"/>
      <c r="E43" s="290"/>
      <c r="F43" s="24"/>
      <c r="G43" s="24"/>
      <c r="H43" s="15"/>
    </row>
    <row r="44" spans="1:8" ht="13.5" customHeight="1" x14ac:dyDescent="0.2">
      <c r="A44" s="288"/>
      <c r="B44" s="289"/>
      <c r="C44" s="289"/>
      <c r="D44" s="289"/>
      <c r="E44" s="290"/>
      <c r="F44" s="19"/>
      <c r="G44" s="19"/>
    </row>
    <row r="45" spans="1:8" ht="13.5" thickBot="1" x14ac:dyDescent="0.25">
      <c r="A45" s="291"/>
      <c r="B45" s="292"/>
      <c r="C45" s="292"/>
      <c r="D45" s="292"/>
      <c r="E45" s="293"/>
      <c r="F45" s="19"/>
      <c r="G45" s="19"/>
    </row>
  </sheetData>
  <mergeCells count="11">
    <mergeCell ref="E16:E17"/>
    <mergeCell ref="E18:E19"/>
    <mergeCell ref="E20:E21"/>
    <mergeCell ref="E22:E23"/>
    <mergeCell ref="A32:E45"/>
    <mergeCell ref="E14:E15"/>
    <mergeCell ref="A1:E1"/>
    <mergeCell ref="A4:B5"/>
    <mergeCell ref="C4:D5"/>
    <mergeCell ref="E10:E11"/>
    <mergeCell ref="E12:E13"/>
  </mergeCells>
  <conditionalFormatting sqref="H29:H30">
    <cfRule type="expression" dxfId="267" priority="10">
      <formula>ISNUMBER(SEARCH(TEXT(#REF!,"ddd"),#REF!))</formula>
    </cfRule>
  </conditionalFormatting>
  <conditionalFormatting sqref="A10:D10 A24:C24 A11:A12 D11:D12 B11:C22">
    <cfRule type="expression" dxfId="266" priority="11">
      <formula>ISNUMBER(SEARCH(TEXT(#REF!,"ddd"),#REF!))</formula>
    </cfRule>
  </conditionalFormatting>
  <conditionalFormatting sqref="D14:D17">
    <cfRule type="expression" dxfId="265" priority="9">
      <formula>ISNUMBER(SEARCH(TEXT(#REF!,"ddd"),#REF!))</formula>
    </cfRule>
  </conditionalFormatting>
  <conditionalFormatting sqref="A14:A17">
    <cfRule type="expression" dxfId="264" priority="7">
      <formula>ISNUMBER(SEARCH(TEXT(#REF!,"ddd"),#REF!))</formula>
    </cfRule>
  </conditionalFormatting>
  <conditionalFormatting sqref="A13 D13">
    <cfRule type="expression" dxfId="263" priority="8">
      <formula>ISNUMBER(SEARCH(TEXT(#REF!,"ddd"),#REF!))</formula>
    </cfRule>
  </conditionalFormatting>
  <conditionalFormatting sqref="D18:D19">
    <cfRule type="expression" dxfId="262" priority="6">
      <formula>ISNUMBER(SEARCH(TEXT(#REF!,"ddd"),#REF!))</formula>
    </cfRule>
  </conditionalFormatting>
  <conditionalFormatting sqref="A18:A19">
    <cfRule type="expression" dxfId="261" priority="5">
      <formula>ISNUMBER(SEARCH(TEXT(#REF!,"ddd"),#REF!))</formula>
    </cfRule>
  </conditionalFormatting>
  <conditionalFormatting sqref="D20:D21">
    <cfRule type="expression" dxfId="260" priority="4">
      <formula>ISNUMBER(SEARCH(TEXT(#REF!,"ddd"),#REF!))</formula>
    </cfRule>
  </conditionalFormatting>
  <conditionalFormatting sqref="A20:A21">
    <cfRule type="expression" dxfId="259" priority="3">
      <formula>ISNUMBER(SEARCH(TEXT(#REF!,"ddd"),#REF!))</formula>
    </cfRule>
  </conditionalFormatting>
  <conditionalFormatting sqref="D22:D23">
    <cfRule type="expression" dxfId="258" priority="2">
      <formula>ISNUMBER(SEARCH(TEXT(#REF!,"ddd"),#REF!))</formula>
    </cfRule>
  </conditionalFormatting>
  <conditionalFormatting sqref="A23:C23 A22">
    <cfRule type="expression" dxfId="257" priority="1">
      <formula>ISNUMBER(SEARCH(TEXT(#REF!,"ddd"),#REF!))</formula>
    </cfRule>
  </conditionalFormatting>
  <dataValidations count="2">
    <dataValidation type="custom" allowBlank="1" showInputMessage="1" showErrorMessage="1" sqref="B10:B22" xr:uid="{38138932-C91E-4A9D-AAB1-FD4D9350BDDF}">
      <formula1>AND($B10&lt;=1,ISNUMBER($B10))</formula1>
    </dataValidation>
    <dataValidation type="custom" allowBlank="1" showInputMessage="1" showErrorMessage="1" sqref="C10:C22" xr:uid="{A43D43D9-9492-4E89-82B1-F32772A9BC6C}">
      <formula1>AND($C10&lt;=1,ISNUMBER($C10),($C10&gt;=$B10))</formula1>
    </dataValidation>
  </dataValidations>
  <pageMargins left="0.11811023622047245" right="0" top="0.11811023622047245" bottom="0" header="0" footer="0"/>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796F-B119-488D-A12F-AEAFC77733A2}">
  <sheetPr codeName="Sheet8"/>
  <dimension ref="A1:H45"/>
  <sheetViews>
    <sheetView showGridLines="0" zoomScaleNormal="100" workbookViewId="0">
      <selection activeCell="E12" sqref="E12:E13"/>
    </sheetView>
  </sheetViews>
  <sheetFormatPr baseColWidth="10" defaultColWidth="9" defaultRowHeight="12.75" x14ac:dyDescent="0.2"/>
  <cols>
    <col min="1" max="1" width="9.625" customWidth="1"/>
    <col min="2" max="2" width="6.625" customWidth="1"/>
    <col min="3" max="3" width="8.625" customWidth="1"/>
    <col min="4" max="4" width="7.625" customWidth="1"/>
    <col min="5" max="5" width="25.625" customWidth="1"/>
    <col min="6" max="7" width="13.12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12" t="s">
        <v>50</v>
      </c>
      <c r="B1" s="313"/>
      <c r="C1" s="313"/>
      <c r="D1" s="313"/>
      <c r="E1" s="313"/>
      <c r="F1" s="63">
        <f>WEEKNUM(A10)</f>
        <v>6</v>
      </c>
      <c r="G1" s="64"/>
      <c r="H1" s="14"/>
    </row>
    <row r="2" spans="1:8" s="1" customFormat="1" ht="14.25" x14ac:dyDescent="0.2">
      <c r="A2" s="65" t="s">
        <v>0</v>
      </c>
      <c r="B2" s="25"/>
      <c r="C2" s="25" t="s">
        <v>1</v>
      </c>
      <c r="D2" s="25"/>
      <c r="E2" s="44" t="s">
        <v>2</v>
      </c>
      <c r="F2" s="44" t="s">
        <v>3</v>
      </c>
      <c r="G2" s="66" t="s">
        <v>4</v>
      </c>
      <c r="H2" s="10"/>
    </row>
    <row r="3" spans="1:8" ht="13.5" thickBot="1" x14ac:dyDescent="0.25">
      <c r="A3" s="67">
        <f>A10</f>
        <v>43866</v>
      </c>
      <c r="B3" s="32"/>
      <c r="C3" s="31">
        <f>A24</f>
        <v>43870</v>
      </c>
      <c r="D3" s="32"/>
      <c r="E3" s="45" t="s">
        <v>5</v>
      </c>
      <c r="F3" s="33">
        <f>Sumcolor(E3,D10:D39)</f>
        <v>6.944444444444442E-2</v>
      </c>
      <c r="G3" s="68">
        <f>SUM(Først:Sist!F3)</f>
        <v>0.76388888888888862</v>
      </c>
      <c r="H3" s="12"/>
    </row>
    <row r="4" spans="1:8" x14ac:dyDescent="0.2">
      <c r="A4" s="285" t="s">
        <v>6</v>
      </c>
      <c r="B4" s="286"/>
      <c r="C4" s="286" t="s">
        <v>49</v>
      </c>
      <c r="D4" s="286"/>
      <c r="E4" s="46" t="s">
        <v>7</v>
      </c>
      <c r="F4" s="33">
        <f>Sumcolor(E4,D10:D39)</f>
        <v>0</v>
      </c>
      <c r="G4" s="68">
        <f>SUM(Først:Sist!F4)</f>
        <v>3.8298611111111116</v>
      </c>
      <c r="H4" s="12"/>
    </row>
    <row r="5" spans="1:8" x14ac:dyDescent="0.2">
      <c r="A5" s="288"/>
      <c r="B5" s="289"/>
      <c r="C5" s="289"/>
      <c r="D5" s="289"/>
      <c r="E5" s="47" t="s">
        <v>8</v>
      </c>
      <c r="F5" s="33">
        <f>Sumcolor(E5,D10:D39)</f>
        <v>0</v>
      </c>
      <c r="G5" s="68">
        <f>SUM(Først:Sist!F5)</f>
        <v>0.90972222222222132</v>
      </c>
      <c r="H5" s="12"/>
    </row>
    <row r="6" spans="1:8" ht="13.5" thickBot="1" x14ac:dyDescent="0.25">
      <c r="A6" s="69">
        <f>SUM(D10:D39)</f>
        <v>0.15277777777777779</v>
      </c>
      <c r="B6" s="34"/>
      <c r="C6" s="38">
        <f>SUM(Først:Sist!A6)</f>
        <v>7.6006944444444429</v>
      </c>
      <c r="D6" s="35"/>
      <c r="E6" s="72" t="s">
        <v>9</v>
      </c>
      <c r="F6" s="36">
        <f>Sumcolor(E6,D10:D39)</f>
        <v>8.333333333333337E-2</v>
      </c>
      <c r="G6" s="70">
        <f>SUM(Først:Sist!F6)</f>
        <v>2.0972222222222214</v>
      </c>
      <c r="H6" s="12"/>
    </row>
    <row r="7" spans="1:8" x14ac:dyDescent="0.2">
      <c r="A7" s="16"/>
      <c r="B7" s="17"/>
      <c r="C7" s="18"/>
      <c r="D7" s="37"/>
      <c r="E7" s="17"/>
      <c r="F7" s="17"/>
      <c r="G7" s="17"/>
      <c r="H7" s="13"/>
    </row>
    <row r="8" spans="1:8" ht="13.5" thickBot="1" x14ac:dyDescent="0.25">
      <c r="A8" s="30"/>
      <c r="B8" s="20"/>
      <c r="C8" s="57"/>
      <c r="D8" s="20"/>
      <c r="E8" s="30"/>
      <c r="F8" s="30"/>
      <c r="G8" s="19"/>
      <c r="H8" s="13"/>
    </row>
    <row r="9" spans="1:8" ht="13.5" thickBot="1" x14ac:dyDescent="0.25">
      <c r="A9" s="58" t="s">
        <v>10</v>
      </c>
      <c r="B9" s="75" t="s">
        <v>11</v>
      </c>
      <c r="C9" s="75" t="s">
        <v>12</v>
      </c>
      <c r="D9" s="75" t="s">
        <v>13</v>
      </c>
      <c r="E9" s="75" t="s">
        <v>14</v>
      </c>
      <c r="F9" s="59" t="s">
        <v>15</v>
      </c>
      <c r="G9" s="19"/>
      <c r="H9" s="13"/>
    </row>
    <row r="10" spans="1:8" x14ac:dyDescent="0.2">
      <c r="A10" s="39">
        <v>43866</v>
      </c>
      <c r="B10" s="48">
        <v>0.41666666666666669</v>
      </c>
      <c r="C10" s="48">
        <v>0.4861111111111111</v>
      </c>
      <c r="D10" s="76">
        <f>(C10-B10)</f>
        <v>6.944444444444442E-2</v>
      </c>
      <c r="E10" s="319" t="s">
        <v>51</v>
      </c>
      <c r="F10" s="60"/>
      <c r="G10" s="19"/>
    </row>
    <row r="11" spans="1:8" x14ac:dyDescent="0.2">
      <c r="A11" s="41"/>
      <c r="B11" s="54"/>
      <c r="C11" s="54"/>
      <c r="D11" s="55"/>
      <c r="E11" s="320"/>
      <c r="F11" s="73"/>
      <c r="G11" s="19"/>
    </row>
    <row r="12" spans="1:8" x14ac:dyDescent="0.2">
      <c r="A12" s="39"/>
      <c r="B12" s="48">
        <v>0.5</v>
      </c>
      <c r="C12" s="48">
        <v>0.54166666666666663</v>
      </c>
      <c r="D12" s="71">
        <f>(C12-B12)</f>
        <v>4.166666666666663E-2</v>
      </c>
      <c r="E12" s="318" t="s">
        <v>52</v>
      </c>
      <c r="F12" s="61"/>
      <c r="G12" s="19"/>
    </row>
    <row r="13" spans="1:8" x14ac:dyDescent="0.2">
      <c r="A13" s="42"/>
      <c r="B13" s="54"/>
      <c r="C13" s="54"/>
      <c r="D13" s="56"/>
      <c r="E13" s="305"/>
      <c r="F13" s="74"/>
      <c r="G13" s="19"/>
    </row>
    <row r="14" spans="1:8" x14ac:dyDescent="0.2">
      <c r="A14" s="39">
        <v>43870</v>
      </c>
      <c r="B14" s="48">
        <v>0.64236111111111105</v>
      </c>
      <c r="C14" s="48">
        <v>0.68402777777777779</v>
      </c>
      <c r="D14" s="71">
        <f>(C14-B14)</f>
        <v>4.1666666666666741E-2</v>
      </c>
      <c r="E14" s="318" t="s">
        <v>53</v>
      </c>
      <c r="F14" s="61"/>
      <c r="G14" s="19"/>
    </row>
    <row r="15" spans="1:8" x14ac:dyDescent="0.2">
      <c r="A15" s="43"/>
      <c r="B15" s="54"/>
      <c r="C15" s="54"/>
      <c r="D15" s="56"/>
      <c r="E15" s="305"/>
      <c r="F15" s="74"/>
      <c r="G15" s="19"/>
    </row>
    <row r="16" spans="1:8" x14ac:dyDescent="0.2">
      <c r="A16" s="39"/>
      <c r="B16" s="48"/>
      <c r="C16" s="48"/>
      <c r="D16" s="51">
        <f>(C16-B16)</f>
        <v>0</v>
      </c>
      <c r="E16" s="318"/>
      <c r="F16" s="61"/>
      <c r="G16" s="19"/>
    </row>
    <row r="17" spans="1:8" x14ac:dyDescent="0.2">
      <c r="A17" s="43"/>
      <c r="B17" s="54"/>
      <c r="C17" s="54"/>
      <c r="D17" s="56"/>
      <c r="E17" s="305"/>
      <c r="F17" s="74"/>
      <c r="G17" s="19"/>
    </row>
    <row r="18" spans="1:8" x14ac:dyDescent="0.2">
      <c r="A18" s="39"/>
      <c r="B18" s="48"/>
      <c r="C18" s="48"/>
      <c r="D18" s="51">
        <f>(C18-B18)</f>
        <v>0</v>
      </c>
      <c r="E18" s="318"/>
      <c r="F18" s="61"/>
      <c r="G18" s="19"/>
    </row>
    <row r="19" spans="1:8" x14ac:dyDescent="0.2">
      <c r="A19" s="43"/>
      <c r="B19" s="54"/>
      <c r="C19" s="54"/>
      <c r="D19" s="56"/>
      <c r="E19" s="305"/>
      <c r="F19" s="74"/>
      <c r="G19" s="19"/>
    </row>
    <row r="20" spans="1:8" x14ac:dyDescent="0.2">
      <c r="A20" s="39"/>
      <c r="B20" s="48"/>
      <c r="C20" s="48"/>
      <c r="D20" s="51">
        <f>(C20-B20)</f>
        <v>0</v>
      </c>
      <c r="E20" s="318"/>
      <c r="F20" s="61"/>
      <c r="G20" s="19"/>
    </row>
    <row r="21" spans="1:8" x14ac:dyDescent="0.2">
      <c r="A21" s="43"/>
      <c r="B21" s="54"/>
      <c r="C21" s="54"/>
      <c r="D21" s="56"/>
      <c r="E21" s="305"/>
      <c r="F21" s="74"/>
      <c r="G21" s="19"/>
    </row>
    <row r="22" spans="1:8" x14ac:dyDescent="0.2">
      <c r="A22" s="39"/>
      <c r="B22" s="48"/>
      <c r="C22" s="48"/>
      <c r="D22" s="51">
        <f>(C22-B22)</f>
        <v>0</v>
      </c>
      <c r="E22" s="318"/>
      <c r="F22" s="61"/>
      <c r="G22" s="19"/>
    </row>
    <row r="23" spans="1:8" x14ac:dyDescent="0.2">
      <c r="A23" s="43"/>
      <c r="B23" s="54"/>
      <c r="C23" s="54"/>
      <c r="D23" s="56"/>
      <c r="E23" s="305"/>
      <c r="F23" s="74"/>
      <c r="G23" s="19"/>
    </row>
    <row r="24" spans="1:8" x14ac:dyDescent="0.2">
      <c r="A24" s="39">
        <v>43870</v>
      </c>
      <c r="B24" s="48"/>
      <c r="C24" s="48"/>
      <c r="D24" s="52">
        <f>(C24-B24)</f>
        <v>0</v>
      </c>
      <c r="E24" s="26"/>
      <c r="F24" s="61"/>
    </row>
    <row r="25" spans="1:8" ht="13.5" thickBot="1" x14ac:dyDescent="0.25">
      <c r="A25" s="40"/>
      <c r="B25" s="49"/>
      <c r="C25" s="49"/>
      <c r="D25" s="53"/>
      <c r="E25" s="27"/>
      <c r="F25" s="62"/>
    </row>
    <row r="26" spans="1:8" ht="12.75" customHeight="1" x14ac:dyDescent="0.2"/>
    <row r="27" spans="1:8" ht="12.75" customHeight="1" x14ac:dyDescent="0.2"/>
    <row r="28" spans="1:8" ht="12.75" customHeight="1" x14ac:dyDescent="0.2"/>
    <row r="29" spans="1:8" x14ac:dyDescent="0.2">
      <c r="A29" s="19"/>
      <c r="B29" s="19"/>
      <c r="C29" s="19"/>
      <c r="D29" s="19"/>
      <c r="E29" s="19"/>
      <c r="F29" s="19"/>
      <c r="G29" s="19"/>
      <c r="H29" s="5"/>
    </row>
    <row r="30" spans="1:8" ht="19.5" thickBot="1" x14ac:dyDescent="0.25">
      <c r="A30" s="28" t="s">
        <v>16</v>
      </c>
      <c r="B30" s="29"/>
      <c r="C30" s="30"/>
      <c r="D30" s="20"/>
      <c r="E30" s="20"/>
      <c r="F30" s="19"/>
      <c r="G30" s="19"/>
      <c r="H30" s="5"/>
    </row>
    <row r="31" spans="1:8" ht="13.5" thickBot="1" x14ac:dyDescent="0.25">
      <c r="A31" s="21"/>
      <c r="B31" s="22"/>
      <c r="C31" s="8"/>
      <c r="D31" s="9"/>
      <c r="E31" s="23"/>
      <c r="F31" s="21"/>
      <c r="G31" s="21"/>
      <c r="H31" s="6"/>
    </row>
    <row r="32" spans="1:8" ht="15.75" customHeight="1" x14ac:dyDescent="0.2">
      <c r="A32" s="285"/>
      <c r="B32" s="286"/>
      <c r="C32" s="286"/>
      <c r="D32" s="286"/>
      <c r="E32" s="287"/>
      <c r="F32" s="19"/>
      <c r="G32" s="19"/>
      <c r="H32" s="7"/>
    </row>
    <row r="33" spans="1:8" ht="12.75" customHeight="1" x14ac:dyDescent="0.2">
      <c r="A33" s="288"/>
      <c r="B33" s="289"/>
      <c r="C33" s="289"/>
      <c r="D33" s="289"/>
      <c r="E33" s="290"/>
      <c r="F33" s="24"/>
      <c r="G33" s="24"/>
      <c r="H33" s="15"/>
    </row>
    <row r="34" spans="1:8" ht="12.75" customHeight="1" x14ac:dyDescent="0.2">
      <c r="A34" s="288"/>
      <c r="B34" s="289"/>
      <c r="C34" s="289"/>
      <c r="D34" s="289"/>
      <c r="E34" s="290"/>
      <c r="F34" s="24"/>
      <c r="G34" s="24"/>
      <c r="H34" s="15"/>
    </row>
    <row r="35" spans="1:8" ht="12.75" customHeight="1" x14ac:dyDescent="0.2">
      <c r="A35" s="288"/>
      <c r="B35" s="289"/>
      <c r="C35" s="289"/>
      <c r="D35" s="289"/>
      <c r="E35" s="290"/>
      <c r="F35" s="24"/>
      <c r="G35" s="24"/>
      <c r="H35" s="15"/>
    </row>
    <row r="36" spans="1:8" ht="12.75" customHeight="1" x14ac:dyDescent="0.2">
      <c r="A36" s="288"/>
      <c r="B36" s="289"/>
      <c r="C36" s="289"/>
      <c r="D36" s="289"/>
      <c r="E36" s="290"/>
      <c r="F36" s="24"/>
      <c r="G36" s="24"/>
      <c r="H36" s="15"/>
    </row>
    <row r="37" spans="1:8" ht="12.75" customHeight="1" x14ac:dyDescent="0.2">
      <c r="A37" s="288"/>
      <c r="B37" s="289"/>
      <c r="C37" s="289"/>
      <c r="D37" s="289"/>
      <c r="E37" s="290"/>
      <c r="F37" s="24"/>
      <c r="G37" s="24"/>
      <c r="H37" s="15"/>
    </row>
    <row r="38" spans="1:8" ht="12.75" customHeight="1" x14ac:dyDescent="0.2">
      <c r="A38" s="288"/>
      <c r="B38" s="289"/>
      <c r="C38" s="289"/>
      <c r="D38" s="289"/>
      <c r="E38" s="290"/>
      <c r="F38" s="24"/>
      <c r="G38" s="24"/>
      <c r="H38" s="15"/>
    </row>
    <row r="39" spans="1:8" ht="12.75" customHeight="1" x14ac:dyDescent="0.2">
      <c r="A39" s="288"/>
      <c r="B39" s="289"/>
      <c r="C39" s="289"/>
      <c r="D39" s="289"/>
      <c r="E39" s="290"/>
      <c r="F39" s="24"/>
      <c r="G39" s="24"/>
      <c r="H39" s="15"/>
    </row>
    <row r="40" spans="1:8" ht="12.75" customHeight="1" x14ac:dyDescent="0.2">
      <c r="A40" s="288"/>
      <c r="B40" s="289"/>
      <c r="C40" s="289"/>
      <c r="D40" s="289"/>
      <c r="E40" s="290"/>
      <c r="F40" s="24"/>
      <c r="G40" s="24"/>
      <c r="H40" s="15"/>
    </row>
    <row r="41" spans="1:8" ht="12.75" customHeight="1" x14ac:dyDescent="0.2">
      <c r="A41" s="288"/>
      <c r="B41" s="289"/>
      <c r="C41" s="289"/>
      <c r="D41" s="289"/>
      <c r="E41" s="290"/>
      <c r="F41" s="24"/>
      <c r="G41" s="24"/>
      <c r="H41" s="15"/>
    </row>
    <row r="42" spans="1:8" ht="12.75" customHeight="1" x14ac:dyDescent="0.2">
      <c r="A42" s="288"/>
      <c r="B42" s="289"/>
      <c r="C42" s="289"/>
      <c r="D42" s="289"/>
      <c r="E42" s="290"/>
      <c r="F42" s="24"/>
      <c r="G42" s="24"/>
      <c r="H42" s="15"/>
    </row>
    <row r="43" spans="1:8" ht="12.75" customHeight="1" x14ac:dyDescent="0.2">
      <c r="A43" s="288"/>
      <c r="B43" s="289"/>
      <c r="C43" s="289"/>
      <c r="D43" s="289"/>
      <c r="E43" s="290"/>
      <c r="F43" s="24"/>
      <c r="G43" s="24"/>
      <c r="H43" s="15"/>
    </row>
    <row r="44" spans="1:8" ht="13.5" customHeight="1" x14ac:dyDescent="0.2">
      <c r="A44" s="288"/>
      <c r="B44" s="289"/>
      <c r="C44" s="289"/>
      <c r="D44" s="289"/>
      <c r="E44" s="290"/>
      <c r="F44" s="19"/>
      <c r="G44" s="19"/>
    </row>
    <row r="45" spans="1:8" ht="13.5" thickBot="1" x14ac:dyDescent="0.25">
      <c r="A45" s="291"/>
      <c r="B45" s="292"/>
      <c r="C45" s="292"/>
      <c r="D45" s="292"/>
      <c r="E45" s="293"/>
      <c r="F45" s="19"/>
      <c r="G45" s="19"/>
    </row>
  </sheetData>
  <mergeCells count="11">
    <mergeCell ref="A1:E1"/>
    <mergeCell ref="E22:E23"/>
    <mergeCell ref="A32:E45"/>
    <mergeCell ref="A4:B5"/>
    <mergeCell ref="C4:D5"/>
    <mergeCell ref="E10:E11"/>
    <mergeCell ref="E12:E13"/>
    <mergeCell ref="E20:E21"/>
    <mergeCell ref="E14:E15"/>
    <mergeCell ref="E16:E17"/>
    <mergeCell ref="E18:E19"/>
  </mergeCells>
  <conditionalFormatting sqref="H29:H30">
    <cfRule type="expression" dxfId="256" priority="16">
      <formula>ISNUMBER(SEARCH(TEXT(#REF!,"ddd"),#REF!))</formula>
    </cfRule>
  </conditionalFormatting>
  <conditionalFormatting sqref="A10:D10 A24:C24 A11:A12 D11:D12 B11:C22">
    <cfRule type="expression" dxfId="255" priority="17">
      <formula>ISNUMBER(SEARCH(TEXT(#REF!,"ddd"),#REF!))</formula>
    </cfRule>
  </conditionalFormatting>
  <conditionalFormatting sqref="D14:D17">
    <cfRule type="expression" dxfId="254" priority="14">
      <formula>ISNUMBER(SEARCH(TEXT(#REF!,"ddd"),#REF!))</formula>
    </cfRule>
  </conditionalFormatting>
  <conditionalFormatting sqref="A14:A17">
    <cfRule type="expression" dxfId="253" priority="11">
      <formula>ISNUMBER(SEARCH(TEXT(#REF!,"ddd"),#REF!))</formula>
    </cfRule>
  </conditionalFormatting>
  <conditionalFormatting sqref="A13 D13">
    <cfRule type="expression" dxfId="252" priority="13">
      <formula>ISNUMBER(SEARCH(TEXT(#REF!,"ddd"),#REF!))</formula>
    </cfRule>
  </conditionalFormatting>
  <conditionalFormatting sqref="D18:D19">
    <cfRule type="expression" dxfId="251" priority="7">
      <formula>ISNUMBER(SEARCH(TEXT(#REF!,"ddd"),#REF!))</formula>
    </cfRule>
  </conditionalFormatting>
  <conditionalFormatting sqref="A18:A19">
    <cfRule type="expression" dxfId="250" priority="6">
      <formula>ISNUMBER(SEARCH(TEXT(#REF!,"ddd"),#REF!))</formula>
    </cfRule>
  </conditionalFormatting>
  <conditionalFormatting sqref="D20:D21">
    <cfRule type="expression" dxfId="249" priority="5">
      <formula>ISNUMBER(SEARCH(TEXT(#REF!,"ddd"),#REF!))</formula>
    </cfRule>
  </conditionalFormatting>
  <conditionalFormatting sqref="A20:A21">
    <cfRule type="expression" dxfId="248" priority="4">
      <formula>ISNUMBER(SEARCH(TEXT(#REF!,"ddd"),#REF!))</formula>
    </cfRule>
  </conditionalFormatting>
  <conditionalFormatting sqref="D22:D23">
    <cfRule type="expression" dxfId="247" priority="3">
      <formula>ISNUMBER(SEARCH(TEXT(#REF!,"ddd"),#REF!))</formula>
    </cfRule>
  </conditionalFormatting>
  <conditionalFormatting sqref="A23:C23 A22">
    <cfRule type="expression" dxfId="246" priority="2">
      <formula>ISNUMBER(SEARCH(TEXT(#REF!,"ddd"),#REF!))</formula>
    </cfRule>
  </conditionalFormatting>
  <dataValidations count="2">
    <dataValidation type="custom" allowBlank="1" showInputMessage="1" showErrorMessage="1" sqref="C10:C22" xr:uid="{79581C00-94AE-46E7-A9A6-0BD765E61E4F}">
      <formula1>AND($C10&lt;=1,ISNUMBER($C10),($C10&gt;=$B10))</formula1>
    </dataValidation>
    <dataValidation type="custom" allowBlank="1" showInputMessage="1" showErrorMessage="1" sqref="B10:B22" xr:uid="{7A60060D-6613-4DAC-8121-C9502F284634}">
      <formula1>AND($B10&lt;=1,ISNUMBER($B10))</formula1>
    </dataValidation>
  </dataValidations>
  <pageMargins left="0.11811023622047245" right="0" top="0.11811023622047245" bottom="0" header="0" footer="0"/>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FBC69-CA95-4506-B7B2-FD338CC7E6E5}">
  <sheetPr codeName="Sheet9"/>
  <dimension ref="A1:H49"/>
  <sheetViews>
    <sheetView showGridLines="0" zoomScaleNormal="100" workbookViewId="0">
      <selection activeCell="J29" sqref="J29"/>
    </sheetView>
  </sheetViews>
  <sheetFormatPr baseColWidth="10" defaultColWidth="9" defaultRowHeight="12.75" x14ac:dyDescent="0.2"/>
  <cols>
    <col min="1" max="1" width="9.625" customWidth="1"/>
    <col min="2" max="2" width="6.625" customWidth="1"/>
    <col min="3" max="3" width="8.625" customWidth="1"/>
    <col min="4" max="4" width="7.625" customWidth="1"/>
    <col min="5" max="5" width="25.625" customWidth="1"/>
    <col min="6" max="7" width="13.12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12" t="s">
        <v>50</v>
      </c>
      <c r="B1" s="313"/>
      <c r="C1" s="313"/>
      <c r="D1" s="313"/>
      <c r="E1" s="313"/>
      <c r="F1" s="63">
        <f>WEEKNUM(A10)</f>
        <v>7</v>
      </c>
      <c r="G1" s="64"/>
      <c r="H1" s="14"/>
    </row>
    <row r="2" spans="1:8" s="1" customFormat="1" ht="14.25" x14ac:dyDescent="0.2">
      <c r="A2" s="65" t="s">
        <v>0</v>
      </c>
      <c r="B2" s="25"/>
      <c r="C2" s="25" t="s">
        <v>1</v>
      </c>
      <c r="D2" s="25"/>
      <c r="E2" s="44" t="s">
        <v>2</v>
      </c>
      <c r="F2" s="44" t="s">
        <v>3</v>
      </c>
      <c r="G2" s="66" t="s">
        <v>4</v>
      </c>
      <c r="H2" s="10"/>
    </row>
    <row r="3" spans="1:8" ht="13.5" thickBot="1" x14ac:dyDescent="0.25">
      <c r="A3" s="97">
        <f>A10</f>
        <v>43871</v>
      </c>
      <c r="B3" s="98"/>
      <c r="C3" s="99">
        <f>A26</f>
        <v>43876</v>
      </c>
      <c r="D3" s="32"/>
      <c r="E3" s="45" t="s">
        <v>5</v>
      </c>
      <c r="F3" s="33">
        <f>Sumcolor(E3,D10:D43)</f>
        <v>0</v>
      </c>
      <c r="G3" s="68">
        <f>SUM(Først:Sist!F3)</f>
        <v>0.76388888888888862</v>
      </c>
      <c r="H3" s="12"/>
    </row>
    <row r="4" spans="1:8" x14ac:dyDescent="0.2">
      <c r="A4" s="285" t="s">
        <v>6</v>
      </c>
      <c r="B4" s="286"/>
      <c r="C4" s="286" t="s">
        <v>49</v>
      </c>
      <c r="D4" s="286"/>
      <c r="E4" s="46" t="s">
        <v>7</v>
      </c>
      <c r="F4" s="33">
        <f>Sumcolor(E4,D10:D43)</f>
        <v>0</v>
      </c>
      <c r="G4" s="68">
        <f>SUM(Først:Sist!F4)</f>
        <v>3.8298611111111116</v>
      </c>
      <c r="H4" s="12"/>
    </row>
    <row r="5" spans="1:8" x14ac:dyDescent="0.2">
      <c r="A5" s="288"/>
      <c r="B5" s="289"/>
      <c r="C5" s="289"/>
      <c r="D5" s="289"/>
      <c r="E5" s="47" t="s">
        <v>8</v>
      </c>
      <c r="F5" s="33">
        <f>Sumcolor(E5,D10:D43)</f>
        <v>0.2048611111111111</v>
      </c>
      <c r="G5" s="68">
        <f>SUM(Først:Sist!F5)</f>
        <v>0.90972222222222132</v>
      </c>
      <c r="H5" s="12"/>
    </row>
    <row r="6" spans="1:8" ht="13.5" thickBot="1" x14ac:dyDescent="0.25">
      <c r="A6" s="69">
        <f>SUM(D10:D43)</f>
        <v>0.52430555555555558</v>
      </c>
      <c r="B6" s="34"/>
      <c r="C6" s="38">
        <f>SUM(Først:Sist!A6)</f>
        <v>7.6006944444444429</v>
      </c>
      <c r="D6" s="35"/>
      <c r="E6" s="72" t="s">
        <v>9</v>
      </c>
      <c r="F6" s="36">
        <f>Sumcolor(E6,D10:D43)</f>
        <v>0.31944444444444448</v>
      </c>
      <c r="G6" s="70">
        <f>SUM(Først:Sist!F6)</f>
        <v>2.0972222222222214</v>
      </c>
      <c r="H6" s="12"/>
    </row>
    <row r="7" spans="1:8" x14ac:dyDescent="0.2">
      <c r="A7" s="16"/>
      <c r="B7" s="17"/>
      <c r="C7" s="18"/>
      <c r="D7" s="37"/>
      <c r="E7" s="17"/>
      <c r="F7" s="17"/>
      <c r="G7" s="17"/>
      <c r="H7" s="13"/>
    </row>
    <row r="8" spans="1:8" ht="13.5" thickBot="1" x14ac:dyDescent="0.25">
      <c r="A8" s="30"/>
      <c r="B8" s="20"/>
      <c r="C8" s="57"/>
      <c r="D8" s="20"/>
      <c r="E8" s="30"/>
      <c r="F8" s="30"/>
      <c r="G8" s="19"/>
      <c r="H8" s="13"/>
    </row>
    <row r="9" spans="1:8" ht="13.5" thickBot="1" x14ac:dyDescent="0.25">
      <c r="A9" s="77" t="s">
        <v>10</v>
      </c>
      <c r="B9" s="78" t="s">
        <v>11</v>
      </c>
      <c r="C9" s="78" t="s">
        <v>12</v>
      </c>
      <c r="D9" s="78" t="s">
        <v>13</v>
      </c>
      <c r="E9" s="75" t="s">
        <v>14</v>
      </c>
      <c r="F9" s="102"/>
      <c r="G9" s="79" t="s">
        <v>15</v>
      </c>
      <c r="H9" s="13"/>
    </row>
    <row r="10" spans="1:8" x14ac:dyDescent="0.2">
      <c r="A10" s="91">
        <v>43871</v>
      </c>
      <c r="B10" s="83">
        <v>0.58333333333333337</v>
      </c>
      <c r="C10" s="83">
        <v>0.66666666666666663</v>
      </c>
      <c r="D10" s="80">
        <f>(C10-B10)</f>
        <v>8.3333333333333259E-2</v>
      </c>
      <c r="E10" s="333" t="s">
        <v>71</v>
      </c>
      <c r="F10" s="334"/>
      <c r="G10" s="81"/>
    </row>
    <row r="11" spans="1:8" x14ac:dyDescent="0.2">
      <c r="A11" s="92"/>
      <c r="B11" s="84"/>
      <c r="C11" s="84"/>
      <c r="D11" s="85"/>
      <c r="E11" s="335"/>
      <c r="F11" s="336"/>
      <c r="G11" s="100"/>
    </row>
    <row r="12" spans="1:8" x14ac:dyDescent="0.2">
      <c r="A12" s="93">
        <v>43873</v>
      </c>
      <c r="B12" s="88">
        <v>0.41666666666666669</v>
      </c>
      <c r="C12" s="88">
        <v>0.42708333333333331</v>
      </c>
      <c r="D12" s="50">
        <f>(C12-B12)</f>
        <v>1.041666666666663E-2</v>
      </c>
      <c r="E12" s="337" t="s">
        <v>72</v>
      </c>
      <c r="F12" s="338"/>
      <c r="G12" s="61"/>
    </row>
    <row r="13" spans="1:8" x14ac:dyDescent="0.2">
      <c r="A13" s="94"/>
      <c r="B13" s="89"/>
      <c r="C13" s="89"/>
      <c r="D13" s="90"/>
      <c r="E13" s="339"/>
      <c r="F13" s="340"/>
      <c r="G13" s="74"/>
    </row>
    <row r="14" spans="1:8" x14ac:dyDescent="0.2">
      <c r="A14" s="95">
        <v>43873</v>
      </c>
      <c r="B14" s="86">
        <v>0.42708333333333331</v>
      </c>
      <c r="C14" s="86">
        <v>0.47916666666666669</v>
      </c>
      <c r="D14" s="71">
        <f>(C14-B14)</f>
        <v>5.208333333333337E-2</v>
      </c>
      <c r="E14" s="321" t="s">
        <v>73</v>
      </c>
      <c r="F14" s="322"/>
      <c r="G14" s="101"/>
    </row>
    <row r="15" spans="1:8" x14ac:dyDescent="0.2">
      <c r="A15" s="96"/>
      <c r="B15" s="84"/>
      <c r="C15" s="84"/>
      <c r="D15" s="87"/>
      <c r="E15" s="323"/>
      <c r="F15" s="324"/>
      <c r="G15" s="100"/>
    </row>
    <row r="16" spans="1:8" x14ac:dyDescent="0.2">
      <c r="A16" s="95">
        <v>43874</v>
      </c>
      <c r="B16" s="86">
        <v>0.41666666666666669</v>
      </c>
      <c r="C16" s="86">
        <v>0.47916666666666669</v>
      </c>
      <c r="D16" s="71">
        <f>(C16-B16)</f>
        <v>6.25E-2</v>
      </c>
      <c r="E16" s="321" t="s">
        <v>77</v>
      </c>
      <c r="F16" s="353"/>
      <c r="G16" s="61"/>
    </row>
    <row r="17" spans="1:7" x14ac:dyDescent="0.2">
      <c r="A17" s="96"/>
      <c r="B17" s="84"/>
      <c r="C17" s="84"/>
      <c r="D17" s="87"/>
      <c r="E17" s="323"/>
      <c r="F17" s="354"/>
      <c r="G17" s="74"/>
    </row>
    <row r="18" spans="1:7" ht="13.9" customHeight="1" x14ac:dyDescent="0.2">
      <c r="A18" s="93">
        <v>43875</v>
      </c>
      <c r="B18" s="88">
        <v>0.4236111111111111</v>
      </c>
      <c r="C18" s="88">
        <v>0.49305555555555558</v>
      </c>
      <c r="D18" s="50">
        <f>(C18-B18)</f>
        <v>6.9444444444444475E-2</v>
      </c>
      <c r="E18" s="325" t="s">
        <v>78</v>
      </c>
      <c r="F18" s="326"/>
      <c r="G18" s="61"/>
    </row>
    <row r="19" spans="1:7" x14ac:dyDescent="0.2">
      <c r="A19" s="94"/>
      <c r="B19" s="89"/>
      <c r="C19" s="89"/>
      <c r="D19" s="90"/>
      <c r="E19" s="327"/>
      <c r="F19" s="328"/>
      <c r="G19" s="74"/>
    </row>
    <row r="20" spans="1:7" x14ac:dyDescent="0.2">
      <c r="A20" s="93">
        <v>43875</v>
      </c>
      <c r="B20" s="88">
        <v>0.51388888888888895</v>
      </c>
      <c r="C20" s="88">
        <v>0.54513888888888895</v>
      </c>
      <c r="D20" s="50">
        <f>(C20-B20)</f>
        <v>3.125E-2</v>
      </c>
      <c r="E20" s="325" t="s">
        <v>79</v>
      </c>
      <c r="F20" s="326"/>
      <c r="G20" s="61"/>
    </row>
    <row r="21" spans="1:7" x14ac:dyDescent="0.2">
      <c r="A21" s="94"/>
      <c r="B21" s="89"/>
      <c r="C21" s="89"/>
      <c r="D21" s="90"/>
      <c r="E21" s="327"/>
      <c r="F21" s="328"/>
      <c r="G21" s="74"/>
    </row>
    <row r="22" spans="1:7" x14ac:dyDescent="0.2">
      <c r="A22" s="95">
        <v>43875</v>
      </c>
      <c r="B22" s="86">
        <v>0.54513888888888895</v>
      </c>
      <c r="C22" s="86">
        <v>0.59027777777777779</v>
      </c>
      <c r="D22" s="71">
        <f>(C22-B22)</f>
        <v>4.513888888888884E-2</v>
      </c>
      <c r="E22" s="329" t="s">
        <v>82</v>
      </c>
      <c r="F22" s="330"/>
      <c r="G22" s="61"/>
    </row>
    <row r="23" spans="1:7" x14ac:dyDescent="0.2">
      <c r="A23" s="96"/>
      <c r="B23" s="84"/>
      <c r="C23" s="84"/>
      <c r="D23" s="87"/>
      <c r="E23" s="331"/>
      <c r="F23" s="332"/>
      <c r="G23" s="74"/>
    </row>
    <row r="24" spans="1:7" x14ac:dyDescent="0.2">
      <c r="A24" s="95">
        <v>43876</v>
      </c>
      <c r="B24" s="86">
        <v>0.375</v>
      </c>
      <c r="C24" s="86">
        <v>0.41666666666666669</v>
      </c>
      <c r="D24" s="71">
        <f>(C24-B24)</f>
        <v>4.1666666666666685E-2</v>
      </c>
      <c r="E24" s="341" t="s">
        <v>81</v>
      </c>
      <c r="F24" s="342"/>
      <c r="G24" s="61"/>
    </row>
    <row r="25" spans="1:7" x14ac:dyDescent="0.2">
      <c r="A25" s="96"/>
      <c r="B25" s="84"/>
      <c r="C25" s="84"/>
      <c r="D25" s="87"/>
      <c r="E25" s="343"/>
      <c r="F25" s="344"/>
      <c r="G25" s="74"/>
    </row>
    <row r="26" spans="1:7" ht="12.75" customHeight="1" x14ac:dyDescent="0.2">
      <c r="A26" s="95">
        <v>43876</v>
      </c>
      <c r="B26" s="86">
        <v>0.54861111111111105</v>
      </c>
      <c r="C26" s="86">
        <v>0.58333333333333337</v>
      </c>
      <c r="D26" s="82">
        <f>(C26-B26)</f>
        <v>3.4722222222222321E-2</v>
      </c>
      <c r="E26" s="345" t="s">
        <v>80</v>
      </c>
      <c r="F26" s="346"/>
      <c r="G26" s="101"/>
    </row>
    <row r="27" spans="1:7" x14ac:dyDescent="0.2">
      <c r="A27" s="96"/>
      <c r="B27" s="84"/>
      <c r="C27" s="84"/>
      <c r="D27" s="103"/>
      <c r="E27" s="347"/>
      <c r="F27" s="348"/>
      <c r="G27" s="73"/>
    </row>
    <row r="28" spans="1:7" ht="12.75" customHeight="1" x14ac:dyDescent="0.2">
      <c r="A28" s="93">
        <v>43876</v>
      </c>
      <c r="B28" s="88">
        <v>0.58333333333333337</v>
      </c>
      <c r="C28" s="88">
        <v>0.67708333333333337</v>
      </c>
      <c r="D28" s="104">
        <f>(C28-B28)</f>
        <v>9.375E-2</v>
      </c>
      <c r="E28" s="349" t="s">
        <v>83</v>
      </c>
      <c r="F28" s="350"/>
      <c r="G28" s="108"/>
    </row>
    <row r="29" spans="1:7" ht="13.5" customHeight="1" thickBot="1" x14ac:dyDescent="0.25">
      <c r="A29" s="105"/>
      <c r="B29" s="106"/>
      <c r="C29" s="106"/>
      <c r="D29" s="107"/>
      <c r="E29" s="351"/>
      <c r="F29" s="352"/>
      <c r="G29" s="109"/>
    </row>
    <row r="30" spans="1:7" ht="12.75" customHeight="1" x14ac:dyDescent="0.2"/>
    <row r="31" spans="1:7" ht="12.75" customHeight="1" x14ac:dyDescent="0.2"/>
    <row r="32" spans="1:7" ht="12.75" customHeight="1" x14ac:dyDescent="0.2"/>
    <row r="33" spans="1:8" x14ac:dyDescent="0.2">
      <c r="A33" s="19"/>
      <c r="B33" s="19"/>
      <c r="C33" s="19"/>
      <c r="D33" s="19"/>
      <c r="E33" s="19"/>
      <c r="F33" s="19"/>
      <c r="G33" s="19"/>
      <c r="H33" s="5"/>
    </row>
    <row r="34" spans="1:8" ht="19.5" thickBot="1" x14ac:dyDescent="0.25">
      <c r="A34" s="28" t="s">
        <v>16</v>
      </c>
      <c r="B34" s="29"/>
      <c r="C34" s="30"/>
      <c r="D34" s="20"/>
      <c r="E34" s="20"/>
      <c r="F34" s="19"/>
      <c r="G34" s="19"/>
      <c r="H34" s="5"/>
    </row>
    <row r="35" spans="1:8" ht="13.5" thickBot="1" x14ac:dyDescent="0.25">
      <c r="A35" s="21"/>
      <c r="B35" s="22"/>
      <c r="C35" s="8"/>
      <c r="D35" s="9"/>
      <c r="E35" s="23"/>
      <c r="F35" s="21"/>
      <c r="G35" s="21"/>
      <c r="H35" s="6"/>
    </row>
    <row r="36" spans="1:8" ht="15.75" customHeight="1" x14ac:dyDescent="0.2">
      <c r="A36" s="285" t="s">
        <v>84</v>
      </c>
      <c r="B36" s="286"/>
      <c r="C36" s="286"/>
      <c r="D36" s="286"/>
      <c r="E36" s="287"/>
      <c r="F36" s="19"/>
      <c r="G36" s="19"/>
      <c r="H36" s="7"/>
    </row>
    <row r="37" spans="1:8" ht="12.75" customHeight="1" x14ac:dyDescent="0.2">
      <c r="A37" s="288"/>
      <c r="B37" s="289"/>
      <c r="C37" s="289"/>
      <c r="D37" s="289"/>
      <c r="E37" s="290"/>
      <c r="F37" s="24"/>
      <c r="G37" s="24"/>
      <c r="H37" s="15"/>
    </row>
    <row r="38" spans="1:8" ht="12.75" customHeight="1" x14ac:dyDescent="0.2">
      <c r="A38" s="288"/>
      <c r="B38" s="289"/>
      <c r="C38" s="289"/>
      <c r="D38" s="289"/>
      <c r="E38" s="290"/>
      <c r="F38" s="24"/>
      <c r="G38" s="24"/>
      <c r="H38" s="15"/>
    </row>
    <row r="39" spans="1:8" ht="12.75" customHeight="1" x14ac:dyDescent="0.2">
      <c r="A39" s="288"/>
      <c r="B39" s="289"/>
      <c r="C39" s="289"/>
      <c r="D39" s="289"/>
      <c r="E39" s="290"/>
      <c r="F39" s="24"/>
      <c r="G39" s="24"/>
      <c r="H39" s="15"/>
    </row>
    <row r="40" spans="1:8" ht="12.75" customHeight="1" x14ac:dyDescent="0.2">
      <c r="A40" s="288"/>
      <c r="B40" s="289"/>
      <c r="C40" s="289"/>
      <c r="D40" s="289"/>
      <c r="E40" s="290"/>
      <c r="F40" s="24"/>
      <c r="G40" s="24"/>
      <c r="H40" s="15"/>
    </row>
    <row r="41" spans="1:8" ht="12.75" customHeight="1" x14ac:dyDescent="0.2">
      <c r="A41" s="288"/>
      <c r="B41" s="289"/>
      <c r="C41" s="289"/>
      <c r="D41" s="289"/>
      <c r="E41" s="290"/>
      <c r="F41" s="24"/>
      <c r="G41" s="24"/>
      <c r="H41" s="15"/>
    </row>
    <row r="42" spans="1:8" ht="12.75" customHeight="1" x14ac:dyDescent="0.2">
      <c r="A42" s="288"/>
      <c r="B42" s="289"/>
      <c r="C42" s="289"/>
      <c r="D42" s="289"/>
      <c r="E42" s="290"/>
      <c r="F42" s="24"/>
      <c r="G42" s="24"/>
      <c r="H42" s="15"/>
    </row>
    <row r="43" spans="1:8" ht="12.75" customHeight="1" x14ac:dyDescent="0.2">
      <c r="A43" s="288"/>
      <c r="B43" s="289"/>
      <c r="C43" s="289"/>
      <c r="D43" s="289"/>
      <c r="E43" s="290"/>
      <c r="F43" s="24"/>
      <c r="G43" s="24"/>
      <c r="H43" s="15"/>
    </row>
    <row r="44" spans="1:8" ht="12.75" customHeight="1" x14ac:dyDescent="0.2">
      <c r="A44" s="288"/>
      <c r="B44" s="289"/>
      <c r="C44" s="289"/>
      <c r="D44" s="289"/>
      <c r="E44" s="290"/>
      <c r="F44" s="24"/>
      <c r="G44" s="24"/>
      <c r="H44" s="15"/>
    </row>
    <row r="45" spans="1:8" ht="12.75" customHeight="1" x14ac:dyDescent="0.2">
      <c r="A45" s="288"/>
      <c r="B45" s="289"/>
      <c r="C45" s="289"/>
      <c r="D45" s="289"/>
      <c r="E45" s="290"/>
      <c r="F45" s="24"/>
      <c r="G45" s="24"/>
      <c r="H45" s="15"/>
    </row>
    <row r="46" spans="1:8" ht="12.75" customHeight="1" x14ac:dyDescent="0.2">
      <c r="A46" s="288"/>
      <c r="B46" s="289"/>
      <c r="C46" s="289"/>
      <c r="D46" s="289"/>
      <c r="E46" s="290"/>
      <c r="F46" s="24"/>
      <c r="G46" s="24"/>
      <c r="H46" s="15"/>
    </row>
    <row r="47" spans="1:8" ht="12.75" customHeight="1" x14ac:dyDescent="0.2">
      <c r="A47" s="288"/>
      <c r="B47" s="289"/>
      <c r="C47" s="289"/>
      <c r="D47" s="289"/>
      <c r="E47" s="290"/>
      <c r="F47" s="24"/>
      <c r="G47" s="24"/>
      <c r="H47" s="15"/>
    </row>
    <row r="48" spans="1:8" ht="13.5" customHeight="1" x14ac:dyDescent="0.2">
      <c r="A48" s="288"/>
      <c r="B48" s="289"/>
      <c r="C48" s="289"/>
      <c r="D48" s="289"/>
      <c r="E48" s="290"/>
      <c r="F48" s="19"/>
      <c r="G48" s="19"/>
    </row>
    <row r="49" spans="1:7" ht="13.5" thickBot="1" x14ac:dyDescent="0.25">
      <c r="A49" s="291"/>
      <c r="B49" s="292"/>
      <c r="C49" s="292"/>
      <c r="D49" s="292"/>
      <c r="E49" s="293"/>
      <c r="F49" s="19"/>
      <c r="G49" s="19"/>
    </row>
  </sheetData>
  <mergeCells count="14">
    <mergeCell ref="E24:F25"/>
    <mergeCell ref="E26:F27"/>
    <mergeCell ref="A36:E49"/>
    <mergeCell ref="E28:F29"/>
    <mergeCell ref="E16:F17"/>
    <mergeCell ref="E14:F15"/>
    <mergeCell ref="E18:F19"/>
    <mergeCell ref="E20:F21"/>
    <mergeCell ref="E22:F23"/>
    <mergeCell ref="A1:E1"/>
    <mergeCell ref="A4:B5"/>
    <mergeCell ref="C4:D5"/>
    <mergeCell ref="E10:F11"/>
    <mergeCell ref="E12:F13"/>
  </mergeCells>
  <conditionalFormatting sqref="H33:H34">
    <cfRule type="expression" dxfId="245" priority="10">
      <formula>ISNUMBER(SEARCH(TEXT(#REF!,"ddd"),#REF!))</formula>
    </cfRule>
  </conditionalFormatting>
  <conditionalFormatting sqref="A10:D10 A26:C28 A11:A12 D11:D12 B11:C22">
    <cfRule type="expression" dxfId="244" priority="11">
      <formula>ISNUMBER(SEARCH(TEXT(#REF!,"ddd"),#REF!))</formula>
    </cfRule>
  </conditionalFormatting>
  <conditionalFormatting sqref="D14:D17">
    <cfRule type="expression" dxfId="243" priority="9">
      <formula>ISNUMBER(SEARCH(TEXT(#REF!,"ddd"),#REF!))</formula>
    </cfRule>
  </conditionalFormatting>
  <conditionalFormatting sqref="A14:A17">
    <cfRule type="expression" dxfId="242" priority="7">
      <formula>ISNUMBER(SEARCH(TEXT(#REF!,"ddd"),#REF!))</formula>
    </cfRule>
  </conditionalFormatting>
  <conditionalFormatting sqref="A13 D13">
    <cfRule type="expression" dxfId="241" priority="8">
      <formula>ISNUMBER(SEARCH(TEXT(#REF!,"ddd"),#REF!))</formula>
    </cfRule>
  </conditionalFormatting>
  <conditionalFormatting sqref="D18:D19">
    <cfRule type="expression" dxfId="240" priority="6">
      <formula>ISNUMBER(SEARCH(TEXT(#REF!,"ddd"),#REF!))</formula>
    </cfRule>
  </conditionalFormatting>
  <conditionalFormatting sqref="A18:A19">
    <cfRule type="expression" dxfId="239" priority="5">
      <formula>ISNUMBER(SEARCH(TEXT(#REF!,"ddd"),#REF!))</formula>
    </cfRule>
  </conditionalFormatting>
  <conditionalFormatting sqref="D20:D21">
    <cfRule type="expression" dxfId="238" priority="4">
      <formula>ISNUMBER(SEARCH(TEXT(#REF!,"ddd"),#REF!))</formula>
    </cfRule>
  </conditionalFormatting>
  <conditionalFormatting sqref="A20:A21">
    <cfRule type="expression" dxfId="237" priority="3">
      <formula>ISNUMBER(SEARCH(TEXT(#REF!,"ddd"),#REF!))</formula>
    </cfRule>
  </conditionalFormatting>
  <conditionalFormatting sqref="D22:D25">
    <cfRule type="expression" dxfId="236" priority="2">
      <formula>ISNUMBER(SEARCH(TEXT(#REF!,"ddd"),#REF!))</formula>
    </cfRule>
  </conditionalFormatting>
  <conditionalFormatting sqref="A23:C25 A22">
    <cfRule type="expression" dxfId="235" priority="1">
      <formula>ISNUMBER(SEARCH(TEXT(#REF!,"ddd"),#REF!))</formula>
    </cfRule>
  </conditionalFormatting>
  <dataValidations count="2">
    <dataValidation type="custom" allowBlank="1" showInputMessage="1" showErrorMessage="1" sqref="B10:B22" xr:uid="{21DBAB3B-CDF2-4484-8F06-1788E84DAF3B}">
      <formula1>AND($B10&lt;=1,ISNUMBER($B10))</formula1>
    </dataValidation>
    <dataValidation type="custom" allowBlank="1" showInputMessage="1" showErrorMessage="1" sqref="C10:C22" xr:uid="{01244677-143C-4404-A601-F4C6882A0BA5}">
      <formula1>AND($C10&lt;=1,ISNUMBER($C10),($C10&gt;=$B10))</formula1>
    </dataValidation>
  </dataValidations>
  <pageMargins left="0.11811023622047245" right="0" top="0.11811023622047245" bottom="0" header="0" footer="0"/>
  <pageSetup paperSize="9" orientation="portrait" horizontalDpi="4294967293" vertic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43225-570A-493F-8A9F-2B56ACF28E00}">
  <sheetPr codeName="Sheet15"/>
  <dimension ref="A1:P48"/>
  <sheetViews>
    <sheetView showGridLines="0" zoomScaleNormal="100" workbookViewId="0">
      <selection activeCell="J8" sqref="J8"/>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8</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43878</v>
      </c>
      <c r="B3" s="133"/>
      <c r="C3" s="134">
        <v>43884</v>
      </c>
      <c r="D3" s="32"/>
      <c r="E3" s="126" t="s">
        <v>5</v>
      </c>
      <c r="F3" s="138">
        <f>Sumcolor(E3,D10:D35)</f>
        <v>0</v>
      </c>
      <c r="G3" s="139">
        <f>SUM(Først:Sist!F3)</f>
        <v>0.76388888888888862</v>
      </c>
      <c r="H3" s="12"/>
    </row>
    <row r="4" spans="1:8" ht="15.75" x14ac:dyDescent="0.2">
      <c r="A4" s="357" t="s">
        <v>85</v>
      </c>
      <c r="B4" s="358"/>
      <c r="C4" s="358" t="s">
        <v>86</v>
      </c>
      <c r="D4" s="358"/>
      <c r="E4" s="127" t="s">
        <v>7</v>
      </c>
      <c r="F4" s="138">
        <f>Sumcolor(E4,D10:D35)</f>
        <v>6.25E-2</v>
      </c>
      <c r="G4" s="139">
        <f>SUM(Først:Sist!F4)</f>
        <v>3.8298611111111116</v>
      </c>
      <c r="H4" s="12"/>
    </row>
    <row r="5" spans="1:8" ht="20.25" customHeight="1" x14ac:dyDescent="0.2">
      <c r="A5" s="360"/>
      <c r="B5" s="361"/>
      <c r="C5" s="361"/>
      <c r="D5" s="361"/>
      <c r="E5" s="128" t="s">
        <v>8</v>
      </c>
      <c r="F5" s="138">
        <f>Sumcolor(E5,D10:D35)</f>
        <v>2.0833333333333259E-2</v>
      </c>
      <c r="G5" s="139">
        <f>SUM(Først:Sist!F5)</f>
        <v>0.90972222222222132</v>
      </c>
      <c r="H5" s="12"/>
    </row>
    <row r="6" spans="1:8" ht="21.75" thickBot="1" x14ac:dyDescent="0.25">
      <c r="A6" s="125">
        <f>SUM(D10:D35)</f>
        <v>0.22569444444444431</v>
      </c>
      <c r="B6" s="34"/>
      <c r="C6" s="124">
        <f>SUM(Først:Sist!A6)</f>
        <v>7.6006944444444429</v>
      </c>
      <c r="D6" s="35"/>
      <c r="E6" s="129" t="s">
        <v>9</v>
      </c>
      <c r="F6" s="140">
        <f>Sumcolor(E6,D10:D35)</f>
        <v>0.14236111111111105</v>
      </c>
      <c r="G6" s="141">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75" x14ac:dyDescent="0.2">
      <c r="A10" s="146">
        <v>43878</v>
      </c>
      <c r="B10" s="147">
        <v>0.59027777777777779</v>
      </c>
      <c r="C10" s="147">
        <v>0.60069444444444442</v>
      </c>
      <c r="D10" s="148">
        <f>(C10-B10)</f>
        <v>1.041666666666663E-2</v>
      </c>
      <c r="E10" s="368" t="s">
        <v>92</v>
      </c>
      <c r="F10" s="369"/>
      <c r="G10" s="355"/>
    </row>
    <row r="11" spans="1:8" ht="15.75" customHeight="1" thickBot="1" x14ac:dyDescent="0.25">
      <c r="A11" s="153"/>
      <c r="B11" s="154"/>
      <c r="C11" s="154"/>
      <c r="D11" s="155"/>
      <c r="E11" s="370"/>
      <c r="F11" s="371"/>
      <c r="G11" s="356"/>
    </row>
    <row r="12" spans="1:8" ht="15.75" x14ac:dyDescent="0.2">
      <c r="A12" s="156">
        <v>43878</v>
      </c>
      <c r="B12" s="157">
        <v>0.60069444444444442</v>
      </c>
      <c r="C12" s="157">
        <v>0.64583333333333337</v>
      </c>
      <c r="D12" s="158">
        <f>(C12-B12)</f>
        <v>4.5138888888888951E-2</v>
      </c>
      <c r="E12" s="372" t="s">
        <v>87</v>
      </c>
      <c r="F12" s="373"/>
      <c r="G12" s="355"/>
    </row>
    <row r="13" spans="1:8" ht="16.5" thickBot="1" x14ac:dyDescent="0.25">
      <c r="A13" s="159"/>
      <c r="B13" s="160"/>
      <c r="C13" s="160"/>
      <c r="D13" s="161"/>
      <c r="E13" s="374"/>
      <c r="F13" s="375"/>
      <c r="G13" s="356"/>
    </row>
    <row r="14" spans="1:8" ht="12.75" customHeight="1" x14ac:dyDescent="0.2">
      <c r="A14" s="162">
        <v>43880</v>
      </c>
      <c r="B14" s="163">
        <v>0.41666666666666669</v>
      </c>
      <c r="C14" s="163">
        <v>0.47916666666666669</v>
      </c>
      <c r="D14" s="164">
        <f>(C14-B14)</f>
        <v>6.25E-2</v>
      </c>
      <c r="E14" s="384" t="s">
        <v>88</v>
      </c>
      <c r="F14" s="385"/>
      <c r="G14" s="388">
        <v>5</v>
      </c>
    </row>
    <row r="15" spans="1:8" ht="18.75" customHeight="1" thickBot="1" x14ac:dyDescent="0.25">
      <c r="A15" s="165"/>
      <c r="B15" s="166"/>
      <c r="C15" s="166"/>
      <c r="D15" s="167"/>
      <c r="E15" s="386"/>
      <c r="F15" s="387"/>
      <c r="G15" s="389"/>
    </row>
    <row r="16" spans="1:8" ht="15.75" x14ac:dyDescent="0.2">
      <c r="A16" s="146">
        <v>43881</v>
      </c>
      <c r="B16" s="147">
        <v>0.41666666666666669</v>
      </c>
      <c r="C16" s="147">
        <v>0.42708333333333331</v>
      </c>
      <c r="D16" s="148">
        <f>(C16-B16)</f>
        <v>1.041666666666663E-2</v>
      </c>
      <c r="E16" s="376" t="s">
        <v>89</v>
      </c>
      <c r="F16" s="377"/>
      <c r="G16" s="355"/>
    </row>
    <row r="17" spans="1:16" ht="16.5" thickBot="1" x14ac:dyDescent="0.25">
      <c r="A17" s="168"/>
      <c r="B17" s="169"/>
      <c r="C17" s="169"/>
      <c r="D17" s="170"/>
      <c r="E17" s="378"/>
      <c r="F17" s="379"/>
      <c r="G17" s="356"/>
    </row>
    <row r="18" spans="1:16" ht="13.9" customHeight="1" x14ac:dyDescent="0.2">
      <c r="A18" s="156">
        <v>43881</v>
      </c>
      <c r="B18" s="157">
        <v>0.42708333333333331</v>
      </c>
      <c r="C18" s="157">
        <v>0.48958333333333331</v>
      </c>
      <c r="D18" s="158">
        <f>(C18-B18)</f>
        <v>6.25E-2</v>
      </c>
      <c r="E18" s="372" t="s">
        <v>90</v>
      </c>
      <c r="F18" s="373"/>
      <c r="G18" s="355"/>
    </row>
    <row r="19" spans="1:16" ht="49.5" customHeight="1" thickBot="1" x14ac:dyDescent="0.25">
      <c r="A19" s="159"/>
      <c r="B19" s="160"/>
      <c r="C19" s="160"/>
      <c r="D19" s="161"/>
      <c r="E19" s="374"/>
      <c r="F19" s="375"/>
      <c r="G19" s="356"/>
    </row>
    <row r="20" spans="1:16" ht="15.75" x14ac:dyDescent="0.2">
      <c r="A20" s="149">
        <v>43884</v>
      </c>
      <c r="B20" s="144">
        <v>0.64583333333333337</v>
      </c>
      <c r="C20" s="144">
        <v>0.68055555555555547</v>
      </c>
      <c r="D20" s="145">
        <f>(C20-B20)</f>
        <v>3.4722222222222099E-2</v>
      </c>
      <c r="E20" s="380" t="s">
        <v>91</v>
      </c>
      <c r="F20" s="381"/>
      <c r="G20" s="355"/>
    </row>
    <row r="21" spans="1:16" ht="33" customHeight="1" thickBot="1" x14ac:dyDescent="0.25">
      <c r="A21" s="150"/>
      <c r="B21" s="151"/>
      <c r="C21" s="151"/>
      <c r="D21" s="152"/>
      <c r="E21" s="382"/>
      <c r="F21" s="383"/>
      <c r="G21" s="356"/>
    </row>
    <row r="25" spans="1:16" ht="19.5" thickBot="1" x14ac:dyDescent="0.25">
      <c r="A25" s="28" t="s">
        <v>16</v>
      </c>
      <c r="B25" s="29"/>
      <c r="C25" s="30"/>
      <c r="D25" s="20"/>
      <c r="E25" s="20"/>
      <c r="F25" s="20"/>
      <c r="G25" s="20"/>
    </row>
    <row r="26" spans="1:16" ht="13.5" thickBot="1" x14ac:dyDescent="0.25">
      <c r="D26" s="21"/>
      <c r="E26" s="21"/>
      <c r="F26" s="21"/>
      <c r="G26" s="21"/>
      <c r="J26" s="171"/>
      <c r="K26" s="172"/>
      <c r="L26" s="172"/>
      <c r="M26" s="172"/>
      <c r="N26" s="172"/>
      <c r="O26" s="172"/>
      <c r="P26" s="172"/>
    </row>
    <row r="27" spans="1:16" ht="12.75" customHeight="1" x14ac:dyDescent="0.2">
      <c r="A27" s="357" t="s">
        <v>93</v>
      </c>
      <c r="B27" s="358"/>
      <c r="C27" s="358"/>
      <c r="D27" s="358"/>
      <c r="E27" s="358"/>
      <c r="F27" s="358"/>
      <c r="G27" s="359"/>
      <c r="J27" s="172"/>
      <c r="K27" s="172"/>
      <c r="L27" s="172"/>
      <c r="M27" s="172"/>
      <c r="N27" s="172"/>
      <c r="O27" s="172"/>
      <c r="P27" s="172"/>
    </row>
    <row r="28" spans="1:16" ht="12.75" customHeight="1" x14ac:dyDescent="0.2">
      <c r="A28" s="360"/>
      <c r="B28" s="361"/>
      <c r="C28" s="361"/>
      <c r="D28" s="361"/>
      <c r="E28" s="361"/>
      <c r="F28" s="361"/>
      <c r="G28" s="362"/>
      <c r="J28" s="172"/>
      <c r="K28" s="172"/>
      <c r="L28" s="172"/>
      <c r="M28" s="172"/>
      <c r="N28" s="172"/>
      <c r="O28" s="172"/>
      <c r="P28" s="172"/>
    </row>
    <row r="29" spans="1:16" ht="12.75" customHeight="1" x14ac:dyDescent="0.2">
      <c r="A29" s="360"/>
      <c r="B29" s="361"/>
      <c r="C29" s="361"/>
      <c r="D29" s="361"/>
      <c r="E29" s="361"/>
      <c r="F29" s="361"/>
      <c r="G29" s="362"/>
      <c r="J29" s="172"/>
      <c r="K29" s="172"/>
      <c r="L29" s="172"/>
      <c r="M29" s="172"/>
      <c r="N29" s="172"/>
      <c r="O29" s="172"/>
      <c r="P29" s="172"/>
    </row>
    <row r="30" spans="1:16" ht="12.75" customHeight="1" x14ac:dyDescent="0.2">
      <c r="A30" s="360"/>
      <c r="B30" s="361"/>
      <c r="C30" s="361"/>
      <c r="D30" s="361"/>
      <c r="E30" s="361"/>
      <c r="F30" s="361"/>
      <c r="G30" s="362"/>
      <c r="J30" s="172"/>
      <c r="K30" s="172"/>
      <c r="L30" s="172"/>
      <c r="M30" s="172"/>
      <c r="N30" s="172"/>
      <c r="O30" s="172"/>
      <c r="P30" s="172"/>
    </row>
    <row r="31" spans="1:16" ht="12.75" customHeight="1" x14ac:dyDescent="0.2">
      <c r="A31" s="360"/>
      <c r="B31" s="361"/>
      <c r="C31" s="361"/>
      <c r="D31" s="361"/>
      <c r="E31" s="361"/>
      <c r="F31" s="361"/>
      <c r="G31" s="362"/>
      <c r="J31" s="172"/>
      <c r="K31" s="172"/>
      <c r="L31" s="172"/>
      <c r="M31" s="172"/>
      <c r="N31" s="172"/>
      <c r="O31" s="172"/>
      <c r="P31" s="172"/>
    </row>
    <row r="32" spans="1:16" ht="12.75" customHeight="1" x14ac:dyDescent="0.2">
      <c r="A32" s="360"/>
      <c r="B32" s="361"/>
      <c r="C32" s="361"/>
      <c r="D32" s="361"/>
      <c r="E32" s="361"/>
      <c r="F32" s="361"/>
      <c r="G32" s="362"/>
      <c r="J32" s="172"/>
      <c r="K32" s="172"/>
      <c r="L32" s="172"/>
      <c r="M32" s="172"/>
      <c r="N32" s="172"/>
      <c r="O32" s="172"/>
      <c r="P32" s="172"/>
    </row>
    <row r="33" spans="1:16" ht="12.75" customHeight="1" x14ac:dyDescent="0.2">
      <c r="A33" s="360"/>
      <c r="B33" s="361"/>
      <c r="C33" s="361"/>
      <c r="D33" s="361"/>
      <c r="E33" s="361"/>
      <c r="F33" s="361"/>
      <c r="G33" s="362"/>
      <c r="H33" s="5"/>
      <c r="J33" s="172"/>
      <c r="K33" s="172"/>
      <c r="L33" s="172"/>
      <c r="M33" s="172"/>
      <c r="N33" s="172"/>
      <c r="O33" s="172"/>
      <c r="P33" s="172"/>
    </row>
    <row r="34" spans="1:16" ht="12.75" customHeight="1" x14ac:dyDescent="0.2">
      <c r="A34" s="360"/>
      <c r="B34" s="361"/>
      <c r="C34" s="361"/>
      <c r="D34" s="361"/>
      <c r="E34" s="361"/>
      <c r="F34" s="361"/>
      <c r="G34" s="362"/>
      <c r="H34" s="5"/>
      <c r="J34" s="172"/>
      <c r="K34" s="172"/>
      <c r="L34" s="172"/>
      <c r="M34" s="172"/>
      <c r="N34" s="172"/>
      <c r="O34" s="172"/>
      <c r="P34" s="172"/>
    </row>
    <row r="35" spans="1:16" ht="12.75" customHeight="1" x14ac:dyDescent="0.2">
      <c r="A35" s="360"/>
      <c r="B35" s="361"/>
      <c r="C35" s="361"/>
      <c r="D35" s="361"/>
      <c r="E35" s="361"/>
      <c r="F35" s="361"/>
      <c r="G35" s="362"/>
      <c r="H35" s="6"/>
      <c r="J35" s="172"/>
      <c r="K35" s="172"/>
      <c r="L35" s="172"/>
      <c r="M35" s="172"/>
      <c r="N35" s="172"/>
      <c r="O35" s="172"/>
      <c r="P35" s="172"/>
    </row>
    <row r="36" spans="1:16" ht="15.75" customHeight="1" x14ac:dyDescent="0.2">
      <c r="A36" s="360"/>
      <c r="B36" s="361"/>
      <c r="C36" s="361"/>
      <c r="D36" s="361"/>
      <c r="E36" s="361"/>
      <c r="F36" s="361"/>
      <c r="G36" s="362"/>
      <c r="H36" s="7"/>
      <c r="J36" s="172"/>
      <c r="K36" s="172"/>
      <c r="L36" s="172"/>
      <c r="M36" s="172"/>
      <c r="N36" s="172"/>
      <c r="O36" s="172"/>
      <c r="P36" s="172"/>
    </row>
    <row r="37" spans="1:16" ht="12.75" customHeight="1" x14ac:dyDescent="0.2">
      <c r="A37" s="360"/>
      <c r="B37" s="361"/>
      <c r="C37" s="361"/>
      <c r="D37" s="361"/>
      <c r="E37" s="361"/>
      <c r="F37" s="361"/>
      <c r="G37" s="362"/>
      <c r="H37" s="15"/>
      <c r="J37" s="172"/>
      <c r="K37" s="172"/>
      <c r="L37" s="172"/>
      <c r="M37" s="172"/>
      <c r="N37" s="172"/>
      <c r="O37" s="172"/>
      <c r="P37" s="172"/>
    </row>
    <row r="38" spans="1:16" ht="12.75" customHeight="1" x14ac:dyDescent="0.2">
      <c r="A38" s="360"/>
      <c r="B38" s="361"/>
      <c r="C38" s="361"/>
      <c r="D38" s="361"/>
      <c r="E38" s="361"/>
      <c r="F38" s="361"/>
      <c r="G38" s="362"/>
      <c r="H38" s="15"/>
      <c r="J38" s="172"/>
      <c r="K38" s="172"/>
      <c r="L38" s="172"/>
      <c r="M38" s="172"/>
      <c r="N38" s="172"/>
      <c r="O38" s="172"/>
      <c r="P38" s="172"/>
    </row>
    <row r="39" spans="1:16" ht="13.5" customHeight="1" x14ac:dyDescent="0.2">
      <c r="A39" s="360"/>
      <c r="B39" s="361"/>
      <c r="C39" s="361"/>
      <c r="D39" s="361"/>
      <c r="E39" s="361"/>
      <c r="F39" s="361"/>
      <c r="G39" s="362"/>
      <c r="H39" s="15"/>
    </row>
    <row r="40" spans="1:16" x14ac:dyDescent="0.2">
      <c r="A40" s="360"/>
      <c r="B40" s="361"/>
      <c r="C40" s="361"/>
      <c r="D40" s="361"/>
      <c r="E40" s="361"/>
      <c r="F40" s="361"/>
      <c r="G40" s="362"/>
      <c r="H40" s="15"/>
    </row>
    <row r="41" spans="1:16" ht="12.75" customHeight="1" x14ac:dyDescent="0.2">
      <c r="A41" s="360"/>
      <c r="B41" s="361"/>
      <c r="C41" s="361"/>
      <c r="D41" s="361"/>
      <c r="E41" s="361"/>
      <c r="F41" s="361"/>
      <c r="G41" s="362"/>
      <c r="H41" s="15"/>
    </row>
    <row r="42" spans="1:16" ht="12.75" customHeight="1" x14ac:dyDescent="0.2">
      <c r="A42" s="360"/>
      <c r="B42" s="361"/>
      <c r="C42" s="361"/>
      <c r="D42" s="361"/>
      <c r="E42" s="361"/>
      <c r="F42" s="361"/>
      <c r="G42" s="362"/>
      <c r="H42" s="15"/>
    </row>
    <row r="43" spans="1:16" ht="12.75" customHeight="1" x14ac:dyDescent="0.2">
      <c r="A43" s="360"/>
      <c r="B43" s="361"/>
      <c r="C43" s="361"/>
      <c r="D43" s="361"/>
      <c r="E43" s="361"/>
      <c r="F43" s="361"/>
      <c r="G43" s="362"/>
      <c r="H43" s="15"/>
    </row>
    <row r="44" spans="1:16" ht="12.75" customHeight="1" x14ac:dyDescent="0.2">
      <c r="A44" s="360"/>
      <c r="B44" s="361"/>
      <c r="C44" s="361"/>
      <c r="D44" s="361"/>
      <c r="E44" s="361"/>
      <c r="F44" s="361"/>
      <c r="G44" s="362"/>
      <c r="H44" s="15"/>
    </row>
    <row r="45" spans="1:16" ht="12.75" customHeight="1" x14ac:dyDescent="0.2">
      <c r="A45" s="360"/>
      <c r="B45" s="361"/>
      <c r="C45" s="361"/>
      <c r="D45" s="361"/>
      <c r="E45" s="361"/>
      <c r="F45" s="361"/>
      <c r="G45" s="362"/>
      <c r="H45" s="15"/>
    </row>
    <row r="46" spans="1:16" ht="12.75" customHeight="1" x14ac:dyDescent="0.2">
      <c r="A46" s="360"/>
      <c r="B46" s="361"/>
      <c r="C46" s="361"/>
      <c r="D46" s="361"/>
      <c r="E46" s="361"/>
      <c r="F46" s="361"/>
      <c r="G46" s="362"/>
      <c r="H46" s="15"/>
    </row>
    <row r="47" spans="1:16" ht="12.75" customHeight="1" x14ac:dyDescent="0.2">
      <c r="A47" s="360"/>
      <c r="B47" s="361"/>
      <c r="C47" s="361"/>
      <c r="D47" s="361"/>
      <c r="E47" s="361"/>
      <c r="F47" s="361"/>
      <c r="G47" s="362"/>
      <c r="H47" s="15"/>
    </row>
    <row r="48" spans="1:16" ht="13.5" customHeight="1" thickBot="1" x14ac:dyDescent="0.25">
      <c r="A48" s="363"/>
      <c r="B48" s="364"/>
      <c r="C48" s="364"/>
      <c r="D48" s="364"/>
      <c r="E48" s="364"/>
      <c r="F48" s="364"/>
      <c r="G48" s="365"/>
    </row>
  </sheetData>
  <mergeCells count="16">
    <mergeCell ref="G12:G13"/>
    <mergeCell ref="G10:G11"/>
    <mergeCell ref="A27:G48"/>
    <mergeCell ref="A1:E1"/>
    <mergeCell ref="A4:B5"/>
    <mergeCell ref="C4:D5"/>
    <mergeCell ref="E10:F11"/>
    <mergeCell ref="E12:F13"/>
    <mergeCell ref="E16:F17"/>
    <mergeCell ref="E18:F19"/>
    <mergeCell ref="E20:F21"/>
    <mergeCell ref="E14:F15"/>
    <mergeCell ref="G14:G15"/>
    <mergeCell ref="G18:G19"/>
    <mergeCell ref="G20:G21"/>
    <mergeCell ref="G16:G17"/>
  </mergeCells>
  <conditionalFormatting sqref="H33:H34">
    <cfRule type="expression" dxfId="234" priority="10">
      <formula>ISNUMBER(SEARCH(TEXT(#REF!,"ddd"),#REF!))</formula>
    </cfRule>
  </conditionalFormatting>
  <conditionalFormatting sqref="A10:D10 A11:A12 D11:D12 B11:C21">
    <cfRule type="expression" dxfId="233" priority="11">
      <formula>ISNUMBER(SEARCH(TEXT(#REF!,"ddd"),#REF!))</formula>
    </cfRule>
  </conditionalFormatting>
  <conditionalFormatting sqref="D14:D17">
    <cfRule type="expression" dxfId="232" priority="9">
      <formula>ISNUMBER(SEARCH(TEXT(#REF!,"ddd"),#REF!))</formula>
    </cfRule>
  </conditionalFormatting>
  <conditionalFormatting sqref="A14:A17">
    <cfRule type="expression" dxfId="231" priority="7">
      <formula>ISNUMBER(SEARCH(TEXT(#REF!,"ddd"),#REF!))</formula>
    </cfRule>
  </conditionalFormatting>
  <conditionalFormatting sqref="A13 D13">
    <cfRule type="expression" dxfId="230" priority="8">
      <formula>ISNUMBER(SEARCH(TEXT(#REF!,"ddd"),#REF!))</formula>
    </cfRule>
  </conditionalFormatting>
  <conditionalFormatting sqref="D18:D19">
    <cfRule type="expression" dxfId="229" priority="6">
      <formula>ISNUMBER(SEARCH(TEXT(#REF!,"ddd"),#REF!))</formula>
    </cfRule>
  </conditionalFormatting>
  <conditionalFormatting sqref="A18:A19">
    <cfRule type="expression" dxfId="228" priority="5">
      <formula>ISNUMBER(SEARCH(TEXT(#REF!,"ddd"),#REF!))</formula>
    </cfRule>
  </conditionalFormatting>
  <conditionalFormatting sqref="D20:D21">
    <cfRule type="expression" dxfId="227" priority="4">
      <formula>ISNUMBER(SEARCH(TEXT(#REF!,"ddd"),#REF!))</formula>
    </cfRule>
  </conditionalFormatting>
  <conditionalFormatting sqref="A20:A21">
    <cfRule type="expression" dxfId="226" priority="3">
      <formula>ISNUMBER(SEARCH(TEXT(#REF!,"ddd"),#REF!))</formula>
    </cfRule>
  </conditionalFormatting>
  <dataValidations count="2">
    <dataValidation type="custom" allowBlank="1" showInputMessage="1" showErrorMessage="1" sqref="C10:C21" xr:uid="{4F212908-23AF-466D-9778-178968C41C5C}">
      <formula1>AND($C10&lt;=1,ISNUMBER($C10),($C10&gt;=$B10))</formula1>
    </dataValidation>
    <dataValidation type="custom" allowBlank="1" showInputMessage="1" showErrorMessage="1" sqref="B10:B21" xr:uid="{AEEBD95F-A7F6-4ED0-914F-9BB696E59685}">
      <formula1>AND($B10&lt;=1,ISNUMBER($B10))</formula1>
    </dataValidation>
  </dataValidations>
  <pageMargins left="0.11811023622047245" right="0" top="0.11811023622047245" bottom="0" header="0" footer="0"/>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DAE92-418B-44AA-8A1C-4B65872D1BE5}">
  <sheetPr codeName="Sheet17">
    <pageSetUpPr fitToPage="1"/>
  </sheetPr>
  <dimension ref="A1:P71"/>
  <sheetViews>
    <sheetView showGridLines="0" topLeftCell="A7" zoomScaleNormal="100" workbookViewId="0">
      <selection activeCell="G21" sqref="G21"/>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9</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43885</v>
      </c>
      <c r="B3" s="133"/>
      <c r="C3" s="134">
        <f>A32</f>
        <v>43891</v>
      </c>
      <c r="D3" s="32"/>
      <c r="E3" s="126" t="s">
        <v>5</v>
      </c>
      <c r="F3" s="138">
        <f>Sumcolor(E3,D10:D47)</f>
        <v>0</v>
      </c>
      <c r="G3" s="139">
        <f>SUM(Først:Sist!F3)</f>
        <v>0.76388888888888862</v>
      </c>
      <c r="H3" s="12"/>
    </row>
    <row r="4" spans="1:8" ht="15.75" x14ac:dyDescent="0.2">
      <c r="A4" s="357" t="s">
        <v>85</v>
      </c>
      <c r="B4" s="358"/>
      <c r="C4" s="358" t="s">
        <v>86</v>
      </c>
      <c r="D4" s="358"/>
      <c r="E4" s="127" t="s">
        <v>7</v>
      </c>
      <c r="F4" s="138">
        <f>Sumcolor(E4,D10:D47)</f>
        <v>0.10416666666666674</v>
      </c>
      <c r="G4" s="139">
        <f>SUM(Først:Sist!F4)</f>
        <v>3.8298611111111116</v>
      </c>
      <c r="H4" s="12"/>
    </row>
    <row r="5" spans="1:8" ht="20.25" customHeight="1" x14ac:dyDescent="0.2">
      <c r="A5" s="360"/>
      <c r="B5" s="361"/>
      <c r="C5" s="361"/>
      <c r="D5" s="361"/>
      <c r="E5" s="128" t="s">
        <v>8</v>
      </c>
      <c r="F5" s="138">
        <f>Sumcolor(E5,D10:D47)</f>
        <v>0.10416666666666669</v>
      </c>
      <c r="G5" s="139">
        <f>SUM(Først:Sist!F5)</f>
        <v>0.90972222222222132</v>
      </c>
      <c r="H5" s="12"/>
    </row>
    <row r="6" spans="1:8" ht="21.75" thickBot="1" x14ac:dyDescent="0.25">
      <c r="A6" s="125">
        <f>SUM(D10:D47)</f>
        <v>0.61805555555555558</v>
      </c>
      <c r="B6" s="34"/>
      <c r="C6" s="124">
        <f>SUM(Først:Sist!A6)</f>
        <v>7.6006944444444429</v>
      </c>
      <c r="D6" s="35"/>
      <c r="E6" s="129" t="s">
        <v>9</v>
      </c>
      <c r="F6" s="140">
        <f>Sumcolor(E6,D10:D47)</f>
        <v>0.4097222222222221</v>
      </c>
      <c r="G6" s="141">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75" x14ac:dyDescent="0.2">
      <c r="A10" s="146">
        <v>43885</v>
      </c>
      <c r="B10" s="147">
        <v>0.61458333333333337</v>
      </c>
      <c r="C10" s="147">
        <v>0.625</v>
      </c>
      <c r="D10" s="148">
        <f>(C10-B10)</f>
        <v>1.041666666666663E-2</v>
      </c>
      <c r="E10" s="368" t="s">
        <v>95</v>
      </c>
      <c r="F10" s="369"/>
      <c r="G10" s="355"/>
    </row>
    <row r="11" spans="1:8" ht="15.75" customHeight="1" thickBot="1" x14ac:dyDescent="0.25">
      <c r="A11" s="153"/>
      <c r="B11" s="154"/>
      <c r="C11" s="154"/>
      <c r="D11" s="155"/>
      <c r="E11" s="370"/>
      <c r="F11" s="371"/>
      <c r="G11" s="356"/>
    </row>
    <row r="12" spans="1:8" ht="15.75" x14ac:dyDescent="0.2">
      <c r="A12" s="156">
        <v>43885</v>
      </c>
      <c r="B12" s="157">
        <v>0.625</v>
      </c>
      <c r="C12" s="157">
        <v>0.72916666666666663</v>
      </c>
      <c r="D12" s="158">
        <f>(C12-B12)</f>
        <v>0.10416666666666663</v>
      </c>
      <c r="E12" s="390" t="s">
        <v>94</v>
      </c>
      <c r="F12" s="391"/>
      <c r="G12" s="355"/>
    </row>
    <row r="13" spans="1:8" ht="16.5" thickBot="1" x14ac:dyDescent="0.25">
      <c r="A13" s="159"/>
      <c r="B13" s="160"/>
      <c r="C13" s="160"/>
      <c r="D13" s="161"/>
      <c r="E13" s="382"/>
      <c r="F13" s="383"/>
      <c r="G13" s="356"/>
    </row>
    <row r="14" spans="1:8" ht="12.75" customHeight="1" x14ac:dyDescent="0.2">
      <c r="A14" s="156">
        <v>43885</v>
      </c>
      <c r="B14" s="157">
        <v>0.80208333333333337</v>
      </c>
      <c r="C14" s="157">
        <v>0.85416666666666663</v>
      </c>
      <c r="D14" s="158">
        <f>(C14-B14)</f>
        <v>5.2083333333333259E-2</v>
      </c>
      <c r="E14" s="390" t="s">
        <v>94</v>
      </c>
      <c r="F14" s="391"/>
      <c r="G14" s="388"/>
    </row>
    <row r="15" spans="1:8" ht="18.75" customHeight="1" thickBot="1" x14ac:dyDescent="0.25">
      <c r="A15" s="159"/>
      <c r="B15" s="160"/>
      <c r="C15" s="160"/>
      <c r="D15" s="161"/>
      <c r="E15" s="382"/>
      <c r="F15" s="383"/>
      <c r="G15" s="389"/>
    </row>
    <row r="16" spans="1:8" ht="15.75" x14ac:dyDescent="0.2">
      <c r="A16" s="146">
        <v>43887</v>
      </c>
      <c r="B16" s="147">
        <v>0.42708333333333331</v>
      </c>
      <c r="C16" s="147">
        <v>0.4513888888888889</v>
      </c>
      <c r="D16" s="148">
        <f>(C16-B16)</f>
        <v>2.430555555555558E-2</v>
      </c>
      <c r="E16" s="392" t="s">
        <v>95</v>
      </c>
      <c r="F16" s="393"/>
      <c r="G16" s="355"/>
    </row>
    <row r="17" spans="1:7" ht="16.5" thickBot="1" x14ac:dyDescent="0.25">
      <c r="A17" s="168"/>
      <c r="B17" s="169"/>
      <c r="C17" s="169"/>
      <c r="D17" s="170"/>
      <c r="E17" s="394"/>
      <c r="F17" s="395"/>
      <c r="G17" s="356"/>
    </row>
    <row r="18" spans="1:7" ht="13.9" customHeight="1" x14ac:dyDescent="0.2">
      <c r="A18" s="162">
        <v>43887</v>
      </c>
      <c r="B18" s="163">
        <v>0.79166666666666663</v>
      </c>
      <c r="C18" s="163">
        <v>0.89583333333333337</v>
      </c>
      <c r="D18" s="164">
        <f>(C18-B18)</f>
        <v>0.10416666666666674</v>
      </c>
      <c r="E18" s="396" t="s">
        <v>96</v>
      </c>
      <c r="F18" s="397"/>
      <c r="G18" s="400" t="s">
        <v>162</v>
      </c>
    </row>
    <row r="19" spans="1:7" ht="23.25" customHeight="1" thickBot="1" x14ac:dyDescent="0.25">
      <c r="A19" s="165"/>
      <c r="B19" s="166"/>
      <c r="C19" s="166"/>
      <c r="D19" s="167"/>
      <c r="E19" s="398"/>
      <c r="F19" s="399"/>
      <c r="G19" s="401"/>
    </row>
    <row r="20" spans="1:7" ht="16.899999999999999" customHeight="1" x14ac:dyDescent="0.2">
      <c r="A20" s="146">
        <v>43888</v>
      </c>
      <c r="B20" s="176">
        <v>0.41666666666666669</v>
      </c>
      <c r="C20" s="176">
        <v>0.43055555555555558</v>
      </c>
      <c r="D20" s="177">
        <f>(C20-B20)</f>
        <v>1.3888888888888895E-2</v>
      </c>
      <c r="E20" s="392" t="s">
        <v>97</v>
      </c>
      <c r="F20" s="393"/>
      <c r="G20" s="174"/>
    </row>
    <row r="21" spans="1:7" ht="13.9" customHeight="1" thickBot="1" x14ac:dyDescent="0.25">
      <c r="A21" s="168"/>
      <c r="B21" s="169"/>
      <c r="C21" s="169"/>
      <c r="D21" s="170"/>
      <c r="E21" s="394"/>
      <c r="F21" s="395"/>
      <c r="G21" s="173"/>
    </row>
    <row r="22" spans="1:7" ht="13.9" customHeight="1" x14ac:dyDescent="0.2">
      <c r="A22" s="146">
        <v>43889</v>
      </c>
      <c r="B22" s="176">
        <v>0.50694444444444442</v>
      </c>
      <c r="C22" s="176">
        <v>0.5625</v>
      </c>
      <c r="D22" s="177">
        <f>(C22-B22)</f>
        <v>5.555555555555558E-2</v>
      </c>
      <c r="E22" s="402" t="s">
        <v>98</v>
      </c>
      <c r="F22" s="403"/>
      <c r="G22" s="174"/>
    </row>
    <row r="23" spans="1:7" ht="13.9" customHeight="1" thickBot="1" x14ac:dyDescent="0.25">
      <c r="A23" s="175"/>
      <c r="B23" s="169"/>
      <c r="C23" s="169"/>
      <c r="D23" s="170"/>
      <c r="E23" s="394"/>
      <c r="F23" s="395"/>
      <c r="G23" s="173"/>
    </row>
    <row r="24" spans="1:7" ht="13.9" customHeight="1" x14ac:dyDescent="0.2">
      <c r="A24" s="156">
        <v>43890</v>
      </c>
      <c r="B24" s="144">
        <v>0.51736111111111105</v>
      </c>
      <c r="C24" s="144">
        <v>0.55208333333333337</v>
      </c>
      <c r="D24" s="145">
        <f>(C24-B24)</f>
        <v>3.4722222222222321E-2</v>
      </c>
      <c r="E24" s="380" t="s">
        <v>99</v>
      </c>
      <c r="F24" s="381"/>
      <c r="G24" s="174"/>
    </row>
    <row r="25" spans="1:7" ht="13.9" customHeight="1" thickBot="1" x14ac:dyDescent="0.25">
      <c r="A25" s="149"/>
      <c r="B25" s="160"/>
      <c r="C25" s="160"/>
      <c r="D25" s="161"/>
      <c r="E25" s="382"/>
      <c r="F25" s="383"/>
      <c r="G25" s="173"/>
    </row>
    <row r="26" spans="1:7" ht="13.9" customHeight="1" x14ac:dyDescent="0.2">
      <c r="A26" s="156">
        <v>43890</v>
      </c>
      <c r="B26" s="144">
        <v>0.55208333333333337</v>
      </c>
      <c r="C26" s="144">
        <v>0.625</v>
      </c>
      <c r="D26" s="145">
        <f>(C26-B26)</f>
        <v>7.291666666666663E-2</v>
      </c>
      <c r="E26" s="380" t="s">
        <v>101</v>
      </c>
      <c r="F26" s="381"/>
      <c r="G26" s="174"/>
    </row>
    <row r="27" spans="1:7" ht="12.75" customHeight="1" thickBot="1" x14ac:dyDescent="0.25">
      <c r="A27" s="149"/>
      <c r="B27" s="160"/>
      <c r="C27" s="160"/>
      <c r="D27" s="161"/>
      <c r="E27" s="382"/>
      <c r="F27" s="383"/>
      <c r="G27" s="173"/>
    </row>
    <row r="28" spans="1:7" ht="13.9" customHeight="1" x14ac:dyDescent="0.2">
      <c r="A28" s="156">
        <v>43890</v>
      </c>
      <c r="B28" s="144">
        <v>0.64583333333333337</v>
      </c>
      <c r="C28" s="144">
        <v>0.68055555555555547</v>
      </c>
      <c r="D28" s="145">
        <f>(C28-B28)</f>
        <v>3.4722222222222099E-2</v>
      </c>
      <c r="E28" s="380" t="s">
        <v>102</v>
      </c>
      <c r="F28" s="381"/>
      <c r="G28" s="174"/>
    </row>
    <row r="29" spans="1:7" ht="13.9" customHeight="1" thickBot="1" x14ac:dyDescent="0.25">
      <c r="A29" s="149"/>
      <c r="B29" s="160"/>
      <c r="C29" s="160"/>
      <c r="D29" s="161"/>
      <c r="E29" s="382"/>
      <c r="F29" s="383"/>
      <c r="G29" s="173"/>
    </row>
    <row r="30" spans="1:7" ht="13.9" customHeight="1" x14ac:dyDescent="0.2">
      <c r="A30" s="156">
        <v>43890</v>
      </c>
      <c r="B30" s="157">
        <v>0.68055555555555547</v>
      </c>
      <c r="C30" s="157">
        <v>0.75</v>
      </c>
      <c r="D30" s="158">
        <f>(C30-B30)</f>
        <v>6.9444444444444531E-2</v>
      </c>
      <c r="E30" s="390" t="s">
        <v>100</v>
      </c>
      <c r="F30" s="391"/>
      <c r="G30" s="174"/>
    </row>
    <row r="31" spans="1:7" ht="21" customHeight="1" thickBot="1" x14ac:dyDescent="0.25">
      <c r="A31" s="149"/>
      <c r="B31" s="160"/>
      <c r="C31" s="160"/>
      <c r="D31" s="161"/>
      <c r="E31" s="382"/>
      <c r="F31" s="383"/>
      <c r="G31" s="174"/>
    </row>
    <row r="32" spans="1:7" ht="15.75" x14ac:dyDescent="0.2">
      <c r="A32" s="156">
        <v>43891</v>
      </c>
      <c r="B32" s="144">
        <v>0.75</v>
      </c>
      <c r="C32" s="144">
        <v>0.79166666666666663</v>
      </c>
      <c r="D32" s="145">
        <f>(C32-B32)</f>
        <v>4.166666666666663E-2</v>
      </c>
      <c r="E32" s="380" t="s">
        <v>103</v>
      </c>
      <c r="F32" s="381"/>
      <c r="G32" s="355"/>
    </row>
    <row r="33" spans="1:16" ht="19.149999999999999" customHeight="1" thickBot="1" x14ac:dyDescent="0.25">
      <c r="A33" s="150"/>
      <c r="B33" s="151"/>
      <c r="C33" s="151"/>
      <c r="D33" s="152"/>
      <c r="E33" s="382"/>
      <c r="F33" s="383"/>
      <c r="G33" s="356"/>
    </row>
    <row r="34" spans="1:16" x14ac:dyDescent="0.2">
      <c r="A34" s="179"/>
    </row>
    <row r="35" spans="1:16" x14ac:dyDescent="0.2">
      <c r="A35" s="178"/>
    </row>
    <row r="37" spans="1:16" ht="19.5" thickBot="1" x14ac:dyDescent="0.25">
      <c r="A37" s="28" t="s">
        <v>16</v>
      </c>
      <c r="B37" s="29"/>
      <c r="C37" s="30"/>
      <c r="D37" s="20"/>
      <c r="E37" s="20"/>
      <c r="F37" s="20"/>
      <c r="G37" s="20"/>
    </row>
    <row r="38" spans="1:16" ht="13.5" thickBot="1" x14ac:dyDescent="0.25">
      <c r="D38" s="21"/>
      <c r="E38" s="21"/>
      <c r="F38" s="21"/>
      <c r="G38" s="21"/>
      <c r="J38" s="171"/>
      <c r="K38" s="172"/>
      <c r="L38" s="172"/>
      <c r="M38" s="172"/>
      <c r="N38" s="172"/>
      <c r="O38" s="172"/>
      <c r="P38" s="172"/>
    </row>
    <row r="39" spans="1:16" ht="12.75" customHeight="1" x14ac:dyDescent="0.2">
      <c r="A39" s="357" t="s">
        <v>104</v>
      </c>
      <c r="B39" s="358"/>
      <c r="C39" s="358"/>
      <c r="D39" s="358"/>
      <c r="E39" s="358"/>
      <c r="F39" s="358"/>
      <c r="G39" s="359"/>
      <c r="J39" s="172"/>
      <c r="K39" s="172"/>
      <c r="L39" s="172"/>
      <c r="M39" s="172"/>
      <c r="N39" s="172"/>
      <c r="O39" s="172"/>
      <c r="P39" s="172"/>
    </row>
    <row r="40" spans="1:16" ht="12.75" customHeight="1" x14ac:dyDescent="0.2">
      <c r="A40" s="360"/>
      <c r="B40" s="361"/>
      <c r="C40" s="361"/>
      <c r="D40" s="361"/>
      <c r="E40" s="361"/>
      <c r="F40" s="361"/>
      <c r="G40" s="362"/>
      <c r="J40" s="172"/>
      <c r="K40" s="172"/>
      <c r="L40" s="172"/>
      <c r="M40" s="172"/>
      <c r="N40" s="172"/>
      <c r="O40" s="172"/>
      <c r="P40" s="172"/>
    </row>
    <row r="41" spans="1:16" ht="12.75" customHeight="1" x14ac:dyDescent="0.2">
      <c r="A41" s="360"/>
      <c r="B41" s="361"/>
      <c r="C41" s="361"/>
      <c r="D41" s="361"/>
      <c r="E41" s="361"/>
      <c r="F41" s="361"/>
      <c r="G41" s="362"/>
      <c r="J41" s="172"/>
      <c r="K41" s="172"/>
      <c r="L41" s="172"/>
      <c r="M41" s="172"/>
      <c r="N41" s="172"/>
      <c r="O41" s="172"/>
      <c r="P41" s="172"/>
    </row>
    <row r="42" spans="1:16" ht="12.75" customHeight="1" x14ac:dyDescent="0.2">
      <c r="A42" s="360"/>
      <c r="B42" s="361"/>
      <c r="C42" s="361"/>
      <c r="D42" s="361"/>
      <c r="E42" s="361"/>
      <c r="F42" s="361"/>
      <c r="G42" s="362"/>
      <c r="J42" s="172"/>
      <c r="K42" s="172"/>
      <c r="L42" s="172"/>
      <c r="M42" s="172"/>
      <c r="N42" s="172"/>
      <c r="O42" s="172"/>
      <c r="P42" s="172"/>
    </row>
    <row r="43" spans="1:16" ht="12.75" customHeight="1" x14ac:dyDescent="0.2">
      <c r="A43" s="360"/>
      <c r="B43" s="361"/>
      <c r="C43" s="361"/>
      <c r="D43" s="361"/>
      <c r="E43" s="361"/>
      <c r="F43" s="361"/>
      <c r="G43" s="362"/>
      <c r="J43" s="172"/>
      <c r="K43" s="172"/>
      <c r="L43" s="172"/>
      <c r="M43" s="172"/>
      <c r="N43" s="172"/>
      <c r="O43" s="172"/>
      <c r="P43" s="172"/>
    </row>
    <row r="44" spans="1:16" ht="12.75" customHeight="1" x14ac:dyDescent="0.2">
      <c r="A44" s="360"/>
      <c r="B44" s="361"/>
      <c r="C44" s="361"/>
      <c r="D44" s="361"/>
      <c r="E44" s="361"/>
      <c r="F44" s="361"/>
      <c r="G44" s="362"/>
      <c r="J44" s="172"/>
      <c r="K44" s="172"/>
      <c r="L44" s="172"/>
      <c r="M44" s="172"/>
      <c r="N44" s="172"/>
      <c r="O44" s="172"/>
      <c r="P44" s="172"/>
    </row>
    <row r="45" spans="1:16" ht="12.75" customHeight="1" x14ac:dyDescent="0.2">
      <c r="A45" s="360"/>
      <c r="B45" s="361"/>
      <c r="C45" s="361"/>
      <c r="D45" s="361"/>
      <c r="E45" s="361"/>
      <c r="F45" s="361"/>
      <c r="G45" s="362"/>
      <c r="H45" s="5"/>
      <c r="J45" s="172"/>
      <c r="K45" s="172"/>
      <c r="L45" s="172"/>
      <c r="M45" s="172"/>
      <c r="N45" s="172"/>
      <c r="O45" s="172"/>
      <c r="P45" s="172"/>
    </row>
    <row r="46" spans="1:16" ht="12.75" customHeight="1" x14ac:dyDescent="0.2">
      <c r="A46" s="360"/>
      <c r="B46" s="361"/>
      <c r="C46" s="361"/>
      <c r="D46" s="361"/>
      <c r="E46" s="361"/>
      <c r="F46" s="361"/>
      <c r="G46" s="362"/>
      <c r="H46" s="5"/>
      <c r="J46" s="172"/>
      <c r="K46" s="172"/>
      <c r="L46" s="172"/>
      <c r="M46" s="172"/>
      <c r="N46" s="172"/>
      <c r="O46" s="172"/>
      <c r="P46" s="172"/>
    </row>
    <row r="47" spans="1:16" ht="12.75" customHeight="1" x14ac:dyDescent="0.2">
      <c r="A47" s="360"/>
      <c r="B47" s="361"/>
      <c r="C47" s="361"/>
      <c r="D47" s="361"/>
      <c r="E47" s="361"/>
      <c r="F47" s="361"/>
      <c r="G47" s="362"/>
      <c r="H47" s="6"/>
      <c r="J47" s="172"/>
      <c r="K47" s="172"/>
      <c r="L47" s="172"/>
      <c r="M47" s="172"/>
      <c r="N47" s="172"/>
      <c r="O47" s="172"/>
      <c r="P47" s="172"/>
    </row>
    <row r="48" spans="1:16" ht="15.75" customHeight="1" x14ac:dyDescent="0.2">
      <c r="A48" s="360"/>
      <c r="B48" s="361"/>
      <c r="C48" s="361"/>
      <c r="D48" s="361"/>
      <c r="E48" s="361"/>
      <c r="F48" s="361"/>
      <c r="G48" s="362"/>
      <c r="H48" s="7"/>
      <c r="J48" s="172"/>
      <c r="K48" s="172"/>
      <c r="L48" s="172"/>
      <c r="M48" s="172"/>
      <c r="N48" s="172"/>
      <c r="O48" s="172"/>
      <c r="P48" s="172"/>
    </row>
    <row r="49" spans="1:16" ht="12.75" customHeight="1" x14ac:dyDescent="0.2">
      <c r="A49" s="360"/>
      <c r="B49" s="361"/>
      <c r="C49" s="361"/>
      <c r="D49" s="361"/>
      <c r="E49" s="361"/>
      <c r="F49" s="361"/>
      <c r="G49" s="362"/>
      <c r="H49" s="15"/>
      <c r="J49" s="172"/>
      <c r="K49" s="172"/>
      <c r="L49" s="172"/>
      <c r="M49" s="172"/>
      <c r="N49" s="172"/>
      <c r="O49" s="172"/>
      <c r="P49" s="172"/>
    </row>
    <row r="50" spans="1:16" ht="12.75" customHeight="1" x14ac:dyDescent="0.2">
      <c r="A50" s="360"/>
      <c r="B50" s="361"/>
      <c r="C50" s="361"/>
      <c r="D50" s="361"/>
      <c r="E50" s="361"/>
      <c r="F50" s="361"/>
      <c r="G50" s="362"/>
      <c r="H50" s="15"/>
      <c r="J50" s="172"/>
      <c r="K50" s="172"/>
      <c r="L50" s="172"/>
      <c r="M50" s="172"/>
      <c r="N50" s="172"/>
      <c r="O50" s="172"/>
      <c r="P50" s="172"/>
    </row>
    <row r="51" spans="1:16" ht="13.5" customHeight="1" x14ac:dyDescent="0.2">
      <c r="A51" s="360"/>
      <c r="B51" s="361"/>
      <c r="C51" s="361"/>
      <c r="D51" s="361"/>
      <c r="E51" s="361"/>
      <c r="F51" s="361"/>
      <c r="G51" s="362"/>
      <c r="H51" s="15"/>
    </row>
    <row r="52" spans="1:16" ht="12.75" customHeight="1" x14ac:dyDescent="0.2">
      <c r="A52" s="360"/>
      <c r="B52" s="361"/>
      <c r="C52" s="361"/>
      <c r="D52" s="361"/>
      <c r="E52" s="361"/>
      <c r="F52" s="361"/>
      <c r="G52" s="362"/>
      <c r="H52" s="15"/>
    </row>
    <row r="53" spans="1:16" ht="12.75" customHeight="1" x14ac:dyDescent="0.2">
      <c r="A53" s="360"/>
      <c r="B53" s="361"/>
      <c r="C53" s="361"/>
      <c r="D53" s="361"/>
      <c r="E53" s="361"/>
      <c r="F53" s="361"/>
      <c r="G53" s="362"/>
      <c r="H53" s="15"/>
    </row>
    <row r="54" spans="1:16" ht="12.75" customHeight="1" x14ac:dyDescent="0.2">
      <c r="A54" s="360"/>
      <c r="B54" s="361"/>
      <c r="C54" s="361"/>
      <c r="D54" s="361"/>
      <c r="E54" s="361"/>
      <c r="F54" s="361"/>
      <c r="G54" s="362"/>
      <c r="H54" s="15"/>
    </row>
    <row r="55" spans="1:16" ht="12.75" customHeight="1" x14ac:dyDescent="0.2">
      <c r="A55" s="360"/>
      <c r="B55" s="361"/>
      <c r="C55" s="361"/>
      <c r="D55" s="361"/>
      <c r="E55" s="361"/>
      <c r="F55" s="361"/>
      <c r="G55" s="362"/>
      <c r="H55" s="15"/>
    </row>
    <row r="56" spans="1:16" ht="12.75" customHeight="1" x14ac:dyDescent="0.2">
      <c r="A56" s="360"/>
      <c r="B56" s="361"/>
      <c r="C56" s="361"/>
      <c r="D56" s="361"/>
      <c r="E56" s="361"/>
      <c r="F56" s="361"/>
      <c r="G56" s="362"/>
      <c r="H56" s="15"/>
    </row>
    <row r="57" spans="1:16" ht="12.75" customHeight="1" x14ac:dyDescent="0.2">
      <c r="A57" s="360"/>
      <c r="B57" s="361"/>
      <c r="C57" s="361"/>
      <c r="D57" s="361"/>
      <c r="E57" s="361"/>
      <c r="F57" s="361"/>
      <c r="G57" s="362"/>
      <c r="H57" s="15"/>
      <c r="J57" s="178"/>
    </row>
    <row r="58" spans="1:16" ht="12.75" customHeight="1" x14ac:dyDescent="0.2">
      <c r="A58" s="360"/>
      <c r="B58" s="361"/>
      <c r="C58" s="361"/>
      <c r="D58" s="361"/>
      <c r="E58" s="361"/>
      <c r="F58" s="361"/>
      <c r="G58" s="362"/>
      <c r="H58" s="15"/>
      <c r="J58" s="178"/>
    </row>
    <row r="59" spans="1:16" ht="12.75" customHeight="1" x14ac:dyDescent="0.2">
      <c r="A59" s="360"/>
      <c r="B59" s="361"/>
      <c r="C59" s="361"/>
      <c r="D59" s="361"/>
      <c r="E59" s="361"/>
      <c r="F59" s="361"/>
      <c r="G59" s="362"/>
      <c r="H59" s="15"/>
    </row>
    <row r="60" spans="1:16" ht="13.5" customHeight="1" x14ac:dyDescent="0.2">
      <c r="A60" s="360"/>
      <c r="B60" s="361"/>
      <c r="C60" s="361"/>
      <c r="D60" s="361"/>
      <c r="E60" s="361"/>
      <c r="F60" s="361"/>
      <c r="G60" s="362"/>
    </row>
    <row r="61" spans="1:16" x14ac:dyDescent="0.2">
      <c r="A61" s="360"/>
      <c r="B61" s="361"/>
      <c r="C61" s="361"/>
      <c r="D61" s="361"/>
      <c r="E61" s="361"/>
      <c r="F61" s="361"/>
      <c r="G61" s="362"/>
    </row>
    <row r="62" spans="1:16" x14ac:dyDescent="0.2">
      <c r="A62" s="360"/>
      <c r="B62" s="361"/>
      <c r="C62" s="361"/>
      <c r="D62" s="361"/>
      <c r="E62" s="361"/>
      <c r="F62" s="361"/>
      <c r="G62" s="362"/>
    </row>
    <row r="63" spans="1:16" x14ac:dyDescent="0.2">
      <c r="A63" s="360"/>
      <c r="B63" s="361"/>
      <c r="C63" s="361"/>
      <c r="D63" s="361"/>
      <c r="E63" s="361"/>
      <c r="F63" s="361"/>
      <c r="G63" s="362"/>
    </row>
    <row r="64" spans="1:16" x14ac:dyDescent="0.2">
      <c r="A64" s="360"/>
      <c r="B64" s="361"/>
      <c r="C64" s="361"/>
      <c r="D64" s="361"/>
      <c r="E64" s="361"/>
      <c r="F64" s="361"/>
      <c r="G64" s="362"/>
    </row>
    <row r="65" spans="1:7" x14ac:dyDescent="0.2">
      <c r="A65" s="360"/>
      <c r="B65" s="361"/>
      <c r="C65" s="361"/>
      <c r="D65" s="361"/>
      <c r="E65" s="361"/>
      <c r="F65" s="361"/>
      <c r="G65" s="362"/>
    </row>
    <row r="66" spans="1:7" x14ac:dyDescent="0.2">
      <c r="A66" s="360"/>
      <c r="B66" s="361"/>
      <c r="C66" s="361"/>
      <c r="D66" s="361"/>
      <c r="E66" s="361"/>
      <c r="F66" s="361"/>
      <c r="G66" s="362"/>
    </row>
    <row r="67" spans="1:7" x14ac:dyDescent="0.2">
      <c r="A67" s="360"/>
      <c r="B67" s="361"/>
      <c r="C67" s="361"/>
      <c r="D67" s="361"/>
      <c r="E67" s="361"/>
      <c r="F67" s="361"/>
      <c r="G67" s="362"/>
    </row>
    <row r="68" spans="1:7" x14ac:dyDescent="0.2">
      <c r="A68" s="360"/>
      <c r="B68" s="361"/>
      <c r="C68" s="361"/>
      <c r="D68" s="361"/>
      <c r="E68" s="361"/>
      <c r="F68" s="361"/>
      <c r="G68" s="362"/>
    </row>
    <row r="69" spans="1:7" x14ac:dyDescent="0.2">
      <c r="A69" s="360"/>
      <c r="B69" s="361"/>
      <c r="C69" s="361"/>
      <c r="D69" s="361"/>
      <c r="E69" s="361"/>
      <c r="F69" s="361"/>
      <c r="G69" s="362"/>
    </row>
    <row r="70" spans="1:7" x14ac:dyDescent="0.2">
      <c r="A70" s="360"/>
      <c r="B70" s="361"/>
      <c r="C70" s="361"/>
      <c r="D70" s="361"/>
      <c r="E70" s="361"/>
      <c r="F70" s="361"/>
      <c r="G70" s="362"/>
    </row>
    <row r="71" spans="1:7" ht="13.5" thickBot="1" x14ac:dyDescent="0.25">
      <c r="A71" s="363"/>
      <c r="B71" s="364"/>
      <c r="C71" s="364"/>
      <c r="D71" s="364"/>
      <c r="E71" s="364"/>
      <c r="F71" s="364"/>
      <c r="G71" s="365"/>
    </row>
  </sheetData>
  <mergeCells count="22">
    <mergeCell ref="A1:E1"/>
    <mergeCell ref="A4:B5"/>
    <mergeCell ref="C4:D5"/>
    <mergeCell ref="E10:F11"/>
    <mergeCell ref="A39:G71"/>
    <mergeCell ref="E12:F13"/>
    <mergeCell ref="G12:G13"/>
    <mergeCell ref="E32:F33"/>
    <mergeCell ref="G32:G33"/>
    <mergeCell ref="E14:F15"/>
    <mergeCell ref="G14:G15"/>
    <mergeCell ref="E16:F17"/>
    <mergeCell ref="G16:G17"/>
    <mergeCell ref="E18:F19"/>
    <mergeCell ref="G18:G19"/>
    <mergeCell ref="E22:F23"/>
    <mergeCell ref="E30:F31"/>
    <mergeCell ref="E24:F25"/>
    <mergeCell ref="E28:F29"/>
    <mergeCell ref="G10:G11"/>
    <mergeCell ref="E26:F27"/>
    <mergeCell ref="E20:F21"/>
  </mergeCells>
  <conditionalFormatting sqref="H45:H46">
    <cfRule type="expression" dxfId="225" priority="15">
      <formula>ISNUMBER(SEARCH(TEXT(#REF!,"ddd"),#REF!))</formula>
    </cfRule>
  </conditionalFormatting>
  <conditionalFormatting sqref="A10:D10 A11:A12 D11:D12 B11:C33">
    <cfRule type="expression" dxfId="224" priority="16">
      <formula>ISNUMBER(SEARCH(TEXT(#REF!,"ddd"),#REF!))</formula>
    </cfRule>
  </conditionalFormatting>
  <conditionalFormatting sqref="D14:D17">
    <cfRule type="expression" dxfId="223" priority="14">
      <formula>ISNUMBER(SEARCH(TEXT(#REF!,"ddd"),#REF!))</formula>
    </cfRule>
  </conditionalFormatting>
  <conditionalFormatting sqref="A14:A17">
    <cfRule type="expression" dxfId="222" priority="12">
      <formula>ISNUMBER(SEARCH(TEXT(#REF!,"ddd"),#REF!))</formula>
    </cfRule>
  </conditionalFormatting>
  <conditionalFormatting sqref="A13 D13">
    <cfRule type="expression" dxfId="221" priority="13">
      <formula>ISNUMBER(SEARCH(TEXT(#REF!,"ddd"),#REF!))</formula>
    </cfRule>
  </conditionalFormatting>
  <conditionalFormatting sqref="D18:D31">
    <cfRule type="expression" dxfId="220" priority="11">
      <formula>ISNUMBER(SEARCH(TEXT(#REF!,"ddd"),#REF!))</formula>
    </cfRule>
  </conditionalFormatting>
  <conditionalFormatting sqref="A18:A19 A21 A23 A25 A27 A29 A31">
    <cfRule type="expression" dxfId="219" priority="10">
      <formula>ISNUMBER(SEARCH(TEXT(#REF!,"ddd"),#REF!))</formula>
    </cfRule>
  </conditionalFormatting>
  <conditionalFormatting sqref="D32:D33">
    <cfRule type="expression" dxfId="218" priority="9">
      <formula>ISNUMBER(SEARCH(TEXT(#REF!,"ddd"),#REF!))</formula>
    </cfRule>
  </conditionalFormatting>
  <conditionalFormatting sqref="A33">
    <cfRule type="expression" dxfId="217" priority="8">
      <formula>ISNUMBER(SEARCH(TEXT(#REF!,"ddd"),#REF!))</formula>
    </cfRule>
  </conditionalFormatting>
  <conditionalFormatting sqref="A20">
    <cfRule type="expression" dxfId="216" priority="7">
      <formula>ISNUMBER(SEARCH(TEXT(#REF!,"ddd"),#REF!))</formula>
    </cfRule>
  </conditionalFormatting>
  <conditionalFormatting sqref="A22">
    <cfRule type="expression" dxfId="215" priority="6">
      <formula>ISNUMBER(SEARCH(TEXT(#REF!,"ddd"),#REF!))</formula>
    </cfRule>
  </conditionalFormatting>
  <conditionalFormatting sqref="A24">
    <cfRule type="expression" dxfId="214" priority="5">
      <formula>ISNUMBER(SEARCH(TEXT(#REF!,"ddd"),#REF!))</formula>
    </cfRule>
  </conditionalFormatting>
  <conditionalFormatting sqref="A26">
    <cfRule type="expression" dxfId="213" priority="4">
      <formula>ISNUMBER(SEARCH(TEXT(#REF!,"ddd"),#REF!))</formula>
    </cfRule>
  </conditionalFormatting>
  <conditionalFormatting sqref="A32">
    <cfRule type="expression" dxfId="212" priority="3">
      <formula>ISNUMBER(SEARCH(TEXT(#REF!,"ddd"),#REF!))</formula>
    </cfRule>
  </conditionalFormatting>
  <conditionalFormatting sqref="A28">
    <cfRule type="expression" dxfId="211" priority="2">
      <formula>ISNUMBER(SEARCH(TEXT(#REF!,"ddd"),#REF!))</formula>
    </cfRule>
  </conditionalFormatting>
  <conditionalFormatting sqref="A30">
    <cfRule type="expression" dxfId="210" priority="1">
      <formula>ISNUMBER(SEARCH(TEXT(#REF!,"ddd"),#REF!))</formula>
    </cfRule>
  </conditionalFormatting>
  <dataValidations count="2">
    <dataValidation type="custom" allowBlank="1" showInputMessage="1" showErrorMessage="1" sqref="B10:B33" xr:uid="{29C0018F-8DD9-4AE1-A26D-9813280C548C}">
      <formula1>AND($B10&lt;=1,ISNUMBER($B10))</formula1>
    </dataValidation>
    <dataValidation type="custom" allowBlank="1" showInputMessage="1" showErrorMessage="1" sqref="C10:C33" xr:uid="{E1445AFC-4E92-44BE-93C8-F536E7BC6262}">
      <formula1>AND($C10&lt;=1,ISNUMBER($C10),($C10&gt;=$B10))</formula1>
    </dataValidation>
  </dataValidations>
  <pageMargins left="0.25" right="0.25" top="0.75" bottom="0.75" header="0.3" footer="0.3"/>
  <pageSetup paperSize="9" scale="67"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0BB97-C19C-4CF8-B3D8-7D9E3E5F11FC}">
  <sheetPr codeName="Sheet18">
    <pageSetUpPr fitToPage="1"/>
  </sheetPr>
  <dimension ref="A1:P55"/>
  <sheetViews>
    <sheetView showGridLines="0" zoomScaleNormal="100" workbookViewId="0">
      <selection activeCell="I46" sqref="I46"/>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10</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43892</v>
      </c>
      <c r="B3" s="133"/>
      <c r="C3" s="134">
        <f>A16</f>
        <v>43898</v>
      </c>
      <c r="D3" s="32"/>
      <c r="E3" s="126" t="s">
        <v>5</v>
      </c>
      <c r="F3" s="138">
        <f>Sumcolor(E3,D10:D31)</f>
        <v>0</v>
      </c>
      <c r="G3" s="139">
        <f>SUM(Først:Sist!F3)</f>
        <v>0.76388888888888862</v>
      </c>
      <c r="H3" s="12"/>
    </row>
    <row r="4" spans="1:8" ht="15.75" x14ac:dyDescent="0.2">
      <c r="A4" s="357" t="s">
        <v>85</v>
      </c>
      <c r="B4" s="358"/>
      <c r="C4" s="358" t="s">
        <v>86</v>
      </c>
      <c r="D4" s="358"/>
      <c r="E4" s="127" t="s">
        <v>7</v>
      </c>
      <c r="F4" s="138">
        <f>Sumcolor(E4,D10:D31)</f>
        <v>5.902777777777779E-2</v>
      </c>
      <c r="G4" s="139">
        <f>SUM(Først:Sist!F4)</f>
        <v>3.8298611111111116</v>
      </c>
      <c r="H4" s="12"/>
    </row>
    <row r="5" spans="1:8" ht="20.25" customHeight="1" x14ac:dyDescent="0.2">
      <c r="A5" s="360"/>
      <c r="B5" s="361"/>
      <c r="C5" s="361"/>
      <c r="D5" s="361"/>
      <c r="E5" s="128" t="s">
        <v>8</v>
      </c>
      <c r="F5" s="138">
        <f>Sumcolor(E5,D10:D31)</f>
        <v>1.7361111111111049E-2</v>
      </c>
      <c r="G5" s="139">
        <f>SUM(Først:Sist!F5)</f>
        <v>0.90972222222222132</v>
      </c>
      <c r="H5" s="12"/>
    </row>
    <row r="6" spans="1:8" ht="21.75" thickBot="1" x14ac:dyDescent="0.25">
      <c r="A6" s="125">
        <f>SUM(D10:D31)</f>
        <v>0.22222222222222221</v>
      </c>
      <c r="B6" s="34"/>
      <c r="C6" s="124">
        <f>SUM(Først:Sist!A6)</f>
        <v>7.6006944444444429</v>
      </c>
      <c r="D6" s="35"/>
      <c r="E6" s="129" t="s">
        <v>9</v>
      </c>
      <c r="F6" s="140">
        <f>Sumcolor(E6,D10:D31)</f>
        <v>0.14583333333333337</v>
      </c>
      <c r="G6" s="141">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75" x14ac:dyDescent="0.2">
      <c r="A10" s="146">
        <v>43892</v>
      </c>
      <c r="B10" s="147">
        <v>0.58680555555555558</v>
      </c>
      <c r="C10" s="147">
        <v>0.60416666666666663</v>
      </c>
      <c r="D10" s="148">
        <f>(C10-B10)</f>
        <v>1.7361111111111049E-2</v>
      </c>
      <c r="E10" s="368" t="s">
        <v>106</v>
      </c>
      <c r="F10" s="369"/>
      <c r="G10" s="355"/>
    </row>
    <row r="11" spans="1:8" ht="15.75" customHeight="1" thickBot="1" x14ac:dyDescent="0.25">
      <c r="A11" s="153"/>
      <c r="B11" s="154"/>
      <c r="C11" s="154"/>
      <c r="D11" s="155"/>
      <c r="E11" s="370"/>
      <c r="F11" s="371"/>
      <c r="G11" s="356"/>
    </row>
    <row r="12" spans="1:8" ht="15.75" x14ac:dyDescent="0.2">
      <c r="A12" s="162">
        <v>43892</v>
      </c>
      <c r="B12" s="163">
        <v>0.60416666666666663</v>
      </c>
      <c r="C12" s="163">
        <v>0.66319444444444442</v>
      </c>
      <c r="D12" s="164">
        <f>(C12-B12)</f>
        <v>5.902777777777779E-2</v>
      </c>
      <c r="E12" s="396" t="s">
        <v>108</v>
      </c>
      <c r="F12" s="397"/>
      <c r="G12" s="404" t="s">
        <v>107</v>
      </c>
    </row>
    <row r="13" spans="1:8" ht="16.5" thickBot="1" x14ac:dyDescent="0.25">
      <c r="A13" s="165"/>
      <c r="B13" s="166"/>
      <c r="C13" s="166"/>
      <c r="D13" s="167"/>
      <c r="E13" s="398"/>
      <c r="F13" s="399"/>
      <c r="G13" s="401"/>
    </row>
    <row r="14" spans="1:8" ht="12.75" customHeight="1" x14ac:dyDescent="0.2">
      <c r="A14" s="156">
        <v>43898</v>
      </c>
      <c r="B14" s="157">
        <v>0.54166666666666663</v>
      </c>
      <c r="C14" s="157">
        <v>0.64583333333333337</v>
      </c>
      <c r="D14" s="158">
        <f>(C14-B14)</f>
        <v>0.10416666666666674</v>
      </c>
      <c r="E14" s="390" t="s">
        <v>105</v>
      </c>
      <c r="F14" s="391"/>
      <c r="G14" s="388"/>
    </row>
    <row r="15" spans="1:8" ht="18.75" customHeight="1" thickBot="1" x14ac:dyDescent="0.25">
      <c r="A15" s="159"/>
      <c r="B15" s="160"/>
      <c r="C15" s="160"/>
      <c r="D15" s="161"/>
      <c r="E15" s="382"/>
      <c r="F15" s="383"/>
      <c r="G15" s="389"/>
    </row>
    <row r="16" spans="1:8" ht="15.75" x14ac:dyDescent="0.2">
      <c r="A16" s="156">
        <v>43898</v>
      </c>
      <c r="B16" s="157">
        <v>0.83333333333333337</v>
      </c>
      <c r="C16" s="157">
        <v>0.875</v>
      </c>
      <c r="D16" s="158">
        <f>(C16-B16)</f>
        <v>4.166666666666663E-2</v>
      </c>
      <c r="E16" s="390" t="s">
        <v>110</v>
      </c>
      <c r="F16" s="391"/>
      <c r="G16" s="355"/>
    </row>
    <row r="17" spans="1:16" ht="19.899999999999999" customHeight="1" thickBot="1" x14ac:dyDescent="0.25">
      <c r="A17" s="159"/>
      <c r="B17" s="160"/>
      <c r="C17" s="160"/>
      <c r="D17" s="161"/>
      <c r="E17" s="382"/>
      <c r="F17" s="383"/>
      <c r="G17" s="356"/>
    </row>
    <row r="18" spans="1:16" x14ac:dyDescent="0.2">
      <c r="A18" s="179"/>
    </row>
    <row r="19" spans="1:16" x14ac:dyDescent="0.2">
      <c r="A19" s="178"/>
    </row>
    <row r="21" spans="1:16" ht="19.5" thickBot="1" x14ac:dyDescent="0.25">
      <c r="A21" s="28" t="s">
        <v>16</v>
      </c>
      <c r="B21" s="29"/>
      <c r="C21" s="30"/>
      <c r="D21" s="20"/>
      <c r="E21" s="20"/>
      <c r="F21" s="20"/>
      <c r="G21" s="20"/>
    </row>
    <row r="22" spans="1:16" ht="13.5" thickBot="1" x14ac:dyDescent="0.25">
      <c r="D22" s="21"/>
      <c r="E22" s="21"/>
      <c r="F22" s="21"/>
      <c r="G22" s="21"/>
      <c r="J22" s="171"/>
      <c r="K22" s="172"/>
      <c r="L22" s="172"/>
      <c r="M22" s="172"/>
      <c r="N22" s="172"/>
      <c r="O22" s="172"/>
      <c r="P22" s="172"/>
    </row>
    <row r="23" spans="1:16" ht="12.75" customHeight="1" x14ac:dyDescent="0.2">
      <c r="A23" s="357" t="s">
        <v>109</v>
      </c>
      <c r="B23" s="358"/>
      <c r="C23" s="358"/>
      <c r="D23" s="358"/>
      <c r="E23" s="358"/>
      <c r="F23" s="358"/>
      <c r="G23" s="359"/>
      <c r="J23" s="172"/>
      <c r="K23" s="172"/>
      <c r="L23" s="172"/>
      <c r="M23" s="172"/>
      <c r="N23" s="172"/>
      <c r="O23" s="172"/>
      <c r="P23" s="172"/>
    </row>
    <row r="24" spans="1:16" ht="12.75" customHeight="1" x14ac:dyDescent="0.2">
      <c r="A24" s="360"/>
      <c r="B24" s="361"/>
      <c r="C24" s="361"/>
      <c r="D24" s="361"/>
      <c r="E24" s="361"/>
      <c r="F24" s="361"/>
      <c r="G24" s="362"/>
      <c r="J24" s="172"/>
      <c r="K24" s="172"/>
      <c r="L24" s="172"/>
      <c r="M24" s="172"/>
      <c r="N24" s="172"/>
      <c r="O24" s="172"/>
      <c r="P24" s="172"/>
    </row>
    <row r="25" spans="1:16" ht="12.75" customHeight="1" x14ac:dyDescent="0.2">
      <c r="A25" s="360"/>
      <c r="B25" s="361"/>
      <c r="C25" s="361"/>
      <c r="D25" s="361"/>
      <c r="E25" s="361"/>
      <c r="F25" s="361"/>
      <c r="G25" s="362"/>
      <c r="J25" s="172"/>
      <c r="K25" s="172"/>
      <c r="L25" s="172"/>
      <c r="M25" s="172"/>
      <c r="N25" s="172"/>
      <c r="O25" s="172"/>
      <c r="P25" s="172"/>
    </row>
    <row r="26" spans="1:16" ht="12.75" customHeight="1" x14ac:dyDescent="0.2">
      <c r="A26" s="360"/>
      <c r="B26" s="361"/>
      <c r="C26" s="361"/>
      <c r="D26" s="361"/>
      <c r="E26" s="361"/>
      <c r="F26" s="361"/>
      <c r="G26" s="362"/>
      <c r="J26" s="172"/>
      <c r="K26" s="172"/>
      <c r="L26" s="172"/>
      <c r="M26" s="172"/>
      <c r="N26" s="172"/>
      <c r="O26" s="172"/>
      <c r="P26" s="172"/>
    </row>
    <row r="27" spans="1:16" ht="12.75" customHeight="1" x14ac:dyDescent="0.2">
      <c r="A27" s="360"/>
      <c r="B27" s="361"/>
      <c r="C27" s="361"/>
      <c r="D27" s="361"/>
      <c r="E27" s="361"/>
      <c r="F27" s="361"/>
      <c r="G27" s="362"/>
      <c r="J27" s="172"/>
      <c r="K27" s="172"/>
      <c r="L27" s="172"/>
      <c r="M27" s="172"/>
      <c r="N27" s="172"/>
      <c r="O27" s="172"/>
      <c r="P27" s="172"/>
    </row>
    <row r="28" spans="1:16" ht="12.75" customHeight="1" x14ac:dyDescent="0.2">
      <c r="A28" s="360"/>
      <c r="B28" s="361"/>
      <c r="C28" s="361"/>
      <c r="D28" s="361"/>
      <c r="E28" s="361"/>
      <c r="F28" s="361"/>
      <c r="G28" s="362"/>
      <c r="J28" s="172"/>
      <c r="K28" s="172"/>
      <c r="L28" s="172"/>
      <c r="M28" s="172"/>
      <c r="N28" s="172"/>
      <c r="O28" s="172"/>
      <c r="P28" s="172"/>
    </row>
    <row r="29" spans="1:16" ht="12.75" customHeight="1" x14ac:dyDescent="0.2">
      <c r="A29" s="360"/>
      <c r="B29" s="361"/>
      <c r="C29" s="361"/>
      <c r="D29" s="361"/>
      <c r="E29" s="361"/>
      <c r="F29" s="361"/>
      <c r="G29" s="362"/>
      <c r="H29" s="5"/>
      <c r="J29" s="172"/>
      <c r="K29" s="172"/>
      <c r="L29" s="172"/>
      <c r="M29" s="172"/>
      <c r="N29" s="172"/>
      <c r="O29" s="172"/>
      <c r="P29" s="172"/>
    </row>
    <row r="30" spans="1:16" ht="12.75" customHeight="1" x14ac:dyDescent="0.2">
      <c r="A30" s="360"/>
      <c r="B30" s="361"/>
      <c r="C30" s="361"/>
      <c r="D30" s="361"/>
      <c r="E30" s="361"/>
      <c r="F30" s="361"/>
      <c r="G30" s="362"/>
      <c r="H30" s="5"/>
      <c r="J30" s="172"/>
      <c r="K30" s="172"/>
      <c r="L30" s="172"/>
      <c r="M30" s="172"/>
      <c r="N30" s="172"/>
      <c r="O30" s="172"/>
      <c r="P30" s="172"/>
    </row>
    <row r="31" spans="1:16" ht="12.75" customHeight="1" x14ac:dyDescent="0.2">
      <c r="A31" s="360"/>
      <c r="B31" s="361"/>
      <c r="C31" s="361"/>
      <c r="D31" s="361"/>
      <c r="E31" s="361"/>
      <c r="F31" s="361"/>
      <c r="G31" s="362"/>
      <c r="H31" s="6"/>
      <c r="J31" s="172"/>
      <c r="K31" s="172"/>
      <c r="L31" s="172"/>
      <c r="M31" s="172"/>
      <c r="N31" s="172"/>
      <c r="O31" s="172"/>
      <c r="P31" s="172"/>
    </row>
    <row r="32" spans="1:16" ht="15.75" customHeight="1" x14ac:dyDescent="0.2">
      <c r="A32" s="360"/>
      <c r="B32" s="361"/>
      <c r="C32" s="361"/>
      <c r="D32" s="361"/>
      <c r="E32" s="361"/>
      <c r="F32" s="361"/>
      <c r="G32" s="362"/>
      <c r="H32" s="7"/>
      <c r="J32" s="172"/>
      <c r="K32" s="172"/>
      <c r="L32" s="172"/>
      <c r="M32" s="172"/>
      <c r="N32" s="172"/>
      <c r="O32" s="172"/>
      <c r="P32" s="172"/>
    </row>
    <row r="33" spans="1:16" ht="12.75" customHeight="1" x14ac:dyDescent="0.2">
      <c r="A33" s="360"/>
      <c r="B33" s="361"/>
      <c r="C33" s="361"/>
      <c r="D33" s="361"/>
      <c r="E33" s="361"/>
      <c r="F33" s="361"/>
      <c r="G33" s="362"/>
      <c r="H33" s="15"/>
      <c r="J33" s="172"/>
      <c r="K33" s="172"/>
      <c r="L33" s="172"/>
      <c r="M33" s="172"/>
      <c r="N33" s="172"/>
      <c r="O33" s="172"/>
      <c r="P33" s="172"/>
    </row>
    <row r="34" spans="1:16" ht="12.75" customHeight="1" x14ac:dyDescent="0.2">
      <c r="A34" s="360"/>
      <c r="B34" s="361"/>
      <c r="C34" s="361"/>
      <c r="D34" s="361"/>
      <c r="E34" s="361"/>
      <c r="F34" s="361"/>
      <c r="G34" s="362"/>
      <c r="H34" s="15"/>
      <c r="J34" s="172"/>
      <c r="K34" s="172"/>
      <c r="L34" s="172"/>
      <c r="M34" s="172"/>
      <c r="N34" s="172"/>
      <c r="O34" s="172"/>
      <c r="P34" s="172"/>
    </row>
    <row r="35" spans="1:16" ht="13.5" customHeight="1" x14ac:dyDescent="0.2">
      <c r="A35" s="360"/>
      <c r="B35" s="361"/>
      <c r="C35" s="361"/>
      <c r="D35" s="361"/>
      <c r="E35" s="361"/>
      <c r="F35" s="361"/>
      <c r="G35" s="362"/>
      <c r="H35" s="15"/>
    </row>
    <row r="36" spans="1:16" ht="12.75" customHeight="1" x14ac:dyDescent="0.2">
      <c r="A36" s="360"/>
      <c r="B36" s="361"/>
      <c r="C36" s="361"/>
      <c r="D36" s="361"/>
      <c r="E36" s="361"/>
      <c r="F36" s="361"/>
      <c r="G36" s="362"/>
      <c r="H36" s="15"/>
    </row>
    <row r="37" spans="1:16" ht="12.75" customHeight="1" x14ac:dyDescent="0.2">
      <c r="A37" s="360"/>
      <c r="B37" s="361"/>
      <c r="C37" s="361"/>
      <c r="D37" s="361"/>
      <c r="E37" s="361"/>
      <c r="F37" s="361"/>
      <c r="G37" s="362"/>
      <c r="H37" s="15"/>
    </row>
    <row r="38" spans="1:16" ht="12.75" customHeight="1" x14ac:dyDescent="0.2">
      <c r="A38" s="360"/>
      <c r="B38" s="361"/>
      <c r="C38" s="361"/>
      <c r="D38" s="361"/>
      <c r="E38" s="361"/>
      <c r="F38" s="361"/>
      <c r="G38" s="362"/>
      <c r="H38" s="15"/>
    </row>
    <row r="39" spans="1:16" ht="12.75" customHeight="1" x14ac:dyDescent="0.2">
      <c r="A39" s="360"/>
      <c r="B39" s="361"/>
      <c r="C39" s="361"/>
      <c r="D39" s="361"/>
      <c r="E39" s="361"/>
      <c r="F39" s="361"/>
      <c r="G39" s="362"/>
      <c r="H39" s="15"/>
    </row>
    <row r="40" spans="1:16" ht="12.75" customHeight="1" x14ac:dyDescent="0.2">
      <c r="A40" s="360"/>
      <c r="B40" s="361"/>
      <c r="C40" s="361"/>
      <c r="D40" s="361"/>
      <c r="E40" s="361"/>
      <c r="F40" s="361"/>
      <c r="G40" s="362"/>
      <c r="H40" s="15"/>
    </row>
    <row r="41" spans="1:16" ht="12.75" customHeight="1" x14ac:dyDescent="0.2">
      <c r="A41" s="360"/>
      <c r="B41" s="361"/>
      <c r="C41" s="361"/>
      <c r="D41" s="361"/>
      <c r="E41" s="361"/>
      <c r="F41" s="361"/>
      <c r="G41" s="362"/>
      <c r="H41" s="15"/>
      <c r="J41" s="178"/>
    </row>
    <row r="42" spans="1:16" ht="12.75" customHeight="1" x14ac:dyDescent="0.2">
      <c r="A42" s="360"/>
      <c r="B42" s="361"/>
      <c r="C42" s="361"/>
      <c r="D42" s="361"/>
      <c r="E42" s="361"/>
      <c r="F42" s="361"/>
      <c r="G42" s="362"/>
      <c r="H42" s="15"/>
      <c r="J42" s="178"/>
    </row>
    <row r="43" spans="1:16" ht="12.75" customHeight="1" x14ac:dyDescent="0.2">
      <c r="A43" s="360"/>
      <c r="B43" s="361"/>
      <c r="C43" s="361"/>
      <c r="D43" s="361"/>
      <c r="E43" s="361"/>
      <c r="F43" s="361"/>
      <c r="G43" s="362"/>
      <c r="H43" s="15"/>
    </row>
    <row r="44" spans="1:16" ht="13.5" customHeight="1" x14ac:dyDescent="0.2">
      <c r="A44" s="360"/>
      <c r="B44" s="361"/>
      <c r="C44" s="361"/>
      <c r="D44" s="361"/>
      <c r="E44" s="361"/>
      <c r="F44" s="361"/>
      <c r="G44" s="362"/>
    </row>
    <row r="45" spans="1:16" ht="12.6" customHeight="1" x14ac:dyDescent="0.2">
      <c r="A45" s="360"/>
      <c r="B45" s="361"/>
      <c r="C45" s="361"/>
      <c r="D45" s="361"/>
      <c r="E45" s="361"/>
      <c r="F45" s="361"/>
      <c r="G45" s="362"/>
    </row>
    <row r="46" spans="1:16" ht="12.6" customHeight="1" x14ac:dyDescent="0.2">
      <c r="A46" s="360"/>
      <c r="B46" s="361"/>
      <c r="C46" s="361"/>
      <c r="D46" s="361"/>
      <c r="E46" s="361"/>
      <c r="F46" s="361"/>
      <c r="G46" s="362"/>
    </row>
    <row r="47" spans="1:16" ht="12.6" customHeight="1" x14ac:dyDescent="0.2">
      <c r="A47" s="360"/>
      <c r="B47" s="361"/>
      <c r="C47" s="361"/>
      <c r="D47" s="361"/>
      <c r="E47" s="361"/>
      <c r="F47" s="361"/>
      <c r="G47" s="362"/>
    </row>
    <row r="48" spans="1:16" ht="12.6" customHeight="1" x14ac:dyDescent="0.2">
      <c r="A48" s="360"/>
      <c r="B48" s="361"/>
      <c r="C48" s="361"/>
      <c r="D48" s="361"/>
      <c r="E48" s="361"/>
      <c r="F48" s="361"/>
      <c r="G48" s="362"/>
    </row>
    <row r="49" spans="1:7" ht="12.6" customHeight="1" x14ac:dyDescent="0.2">
      <c r="A49" s="360"/>
      <c r="B49" s="361"/>
      <c r="C49" s="361"/>
      <c r="D49" s="361"/>
      <c r="E49" s="361"/>
      <c r="F49" s="361"/>
      <c r="G49" s="362"/>
    </row>
    <row r="50" spans="1:7" ht="12.6" customHeight="1" x14ac:dyDescent="0.2">
      <c r="A50" s="360"/>
      <c r="B50" s="361"/>
      <c r="C50" s="361"/>
      <c r="D50" s="361"/>
      <c r="E50" s="361"/>
      <c r="F50" s="361"/>
      <c r="G50" s="362"/>
    </row>
    <row r="51" spans="1:7" ht="12.6" customHeight="1" x14ac:dyDescent="0.2">
      <c r="A51" s="360"/>
      <c r="B51" s="361"/>
      <c r="C51" s="361"/>
      <c r="D51" s="361"/>
      <c r="E51" s="361"/>
      <c r="F51" s="361"/>
      <c r="G51" s="362"/>
    </row>
    <row r="52" spans="1:7" ht="12.6" customHeight="1" x14ac:dyDescent="0.2">
      <c r="A52" s="360"/>
      <c r="B52" s="361"/>
      <c r="C52" s="361"/>
      <c r="D52" s="361"/>
      <c r="E52" s="361"/>
      <c r="F52" s="361"/>
      <c r="G52" s="362"/>
    </row>
    <row r="53" spans="1:7" ht="12.6" customHeight="1" x14ac:dyDescent="0.2">
      <c r="A53" s="360"/>
      <c r="B53" s="361"/>
      <c r="C53" s="361"/>
      <c r="D53" s="361"/>
      <c r="E53" s="361"/>
      <c r="F53" s="361"/>
      <c r="G53" s="362"/>
    </row>
    <row r="54" spans="1:7" ht="12.6" customHeight="1" x14ac:dyDescent="0.2">
      <c r="A54" s="360"/>
      <c r="B54" s="361"/>
      <c r="C54" s="361"/>
      <c r="D54" s="361"/>
      <c r="E54" s="361"/>
      <c r="F54" s="361"/>
      <c r="G54" s="362"/>
    </row>
    <row r="55" spans="1:7" ht="13.15" customHeight="1" thickBot="1" x14ac:dyDescent="0.25">
      <c r="A55" s="363"/>
      <c r="B55" s="364"/>
      <c r="C55" s="364"/>
      <c r="D55" s="364"/>
      <c r="E55" s="364"/>
      <c r="F55" s="364"/>
      <c r="G55" s="365"/>
    </row>
  </sheetData>
  <mergeCells count="12">
    <mergeCell ref="E12:F13"/>
    <mergeCell ref="G12:G13"/>
    <mergeCell ref="A1:E1"/>
    <mergeCell ref="A4:B5"/>
    <mergeCell ref="C4:D5"/>
    <mergeCell ref="E10:F11"/>
    <mergeCell ref="G10:G11"/>
    <mergeCell ref="A23:G55"/>
    <mergeCell ref="E14:F15"/>
    <mergeCell ref="G14:G15"/>
    <mergeCell ref="E16:F17"/>
    <mergeCell ref="G16:G17"/>
  </mergeCells>
  <conditionalFormatting sqref="H29:H30">
    <cfRule type="expression" dxfId="209" priority="15">
      <formula>ISNUMBER(SEARCH(TEXT(#REF!,"ddd"),#REF!))</formula>
    </cfRule>
  </conditionalFormatting>
  <conditionalFormatting sqref="A10:D10 A11:A12 D11:D12 B11:C17">
    <cfRule type="expression" dxfId="208" priority="16">
      <formula>ISNUMBER(SEARCH(TEXT(#REF!,"ddd"),#REF!))</formula>
    </cfRule>
  </conditionalFormatting>
  <conditionalFormatting sqref="D14:D17">
    <cfRule type="expression" dxfId="207" priority="14">
      <formula>ISNUMBER(SEARCH(TEXT(#REF!,"ddd"),#REF!))</formula>
    </cfRule>
  </conditionalFormatting>
  <conditionalFormatting sqref="A14:A17">
    <cfRule type="expression" dxfId="206" priority="12">
      <formula>ISNUMBER(SEARCH(TEXT(#REF!,"ddd"),#REF!))</formula>
    </cfRule>
  </conditionalFormatting>
  <conditionalFormatting sqref="A13 D13">
    <cfRule type="expression" dxfId="205" priority="13">
      <formula>ISNUMBER(SEARCH(TEXT(#REF!,"ddd"),#REF!))</formula>
    </cfRule>
  </conditionalFormatting>
  <dataValidations count="2">
    <dataValidation type="custom" allowBlank="1" showInputMessage="1" showErrorMessage="1" sqref="C10:C17" xr:uid="{6D52905E-EF0D-499C-AE59-8F05FA7817DC}">
      <formula1>AND($C10&lt;=1,ISNUMBER($C10),($C10&gt;=$B10))</formula1>
    </dataValidation>
    <dataValidation type="custom" allowBlank="1" showInputMessage="1" showErrorMessage="1" sqref="B10:B17" xr:uid="{4070CDF7-ED0A-4962-AB4D-BC1241A13E71}">
      <formula1>AND($B10&lt;=1,ISNUMBER($B10))</formula1>
    </dataValidation>
  </dataValidations>
  <pageMargins left="0.23622047244094491" right="0" top="0.39370078740157483" bottom="0.39370078740157483" header="0.31496062992125984" footer="0.31496062992125984"/>
  <pageSetup paperSize="9" scale="97"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9E1CB-0576-49B5-984E-D1D6B037E14C}">
  <sheetPr codeName="Sheet19">
    <pageSetUpPr fitToPage="1"/>
  </sheetPr>
  <dimension ref="A1:Q101"/>
  <sheetViews>
    <sheetView showGridLines="0" zoomScaleNormal="100" workbookViewId="0">
      <selection activeCell="J17" sqref="J17"/>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11</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43899</v>
      </c>
      <c r="B3" s="133"/>
      <c r="C3" s="134">
        <f>A30</f>
        <v>43903</v>
      </c>
      <c r="D3" s="32"/>
      <c r="E3" s="126" t="s">
        <v>5</v>
      </c>
      <c r="F3" s="138">
        <f>Sumcolor(E3,D10:D50)</f>
        <v>0</v>
      </c>
      <c r="G3" s="139">
        <f>SUM(Først:Sist!F3)</f>
        <v>0.76388888888888862</v>
      </c>
      <c r="H3" s="12"/>
    </row>
    <row r="4" spans="1:8" ht="15.75" x14ac:dyDescent="0.2">
      <c r="A4" s="357" t="s">
        <v>85</v>
      </c>
      <c r="B4" s="358"/>
      <c r="C4" s="358" t="s">
        <v>86</v>
      </c>
      <c r="D4" s="358"/>
      <c r="E4" s="127" t="s">
        <v>7</v>
      </c>
      <c r="F4" s="138">
        <f>Sumcolor(E4,D10:D50)</f>
        <v>0.34374999999999989</v>
      </c>
      <c r="G4" s="139">
        <f>SUM(Først:Sist!F4)</f>
        <v>3.8298611111111116</v>
      </c>
      <c r="H4" s="12"/>
    </row>
    <row r="5" spans="1:8" ht="20.25" customHeight="1" x14ac:dyDescent="0.2">
      <c r="A5" s="360"/>
      <c r="B5" s="361"/>
      <c r="C5" s="361"/>
      <c r="D5" s="361"/>
      <c r="E5" s="128" t="s">
        <v>8</v>
      </c>
      <c r="F5" s="138">
        <f>Sumcolor(E5,D10:D50)</f>
        <v>7.291666666666663E-2</v>
      </c>
      <c r="G5" s="139">
        <f>SUM(Først:Sist!F5)</f>
        <v>0.90972222222222132</v>
      </c>
      <c r="H5" s="12"/>
    </row>
    <row r="6" spans="1:8" ht="21.75" thickBot="1" x14ac:dyDescent="0.25">
      <c r="A6" s="125">
        <f>SUM(D10:D50)</f>
        <v>0.77430555555555536</v>
      </c>
      <c r="B6" s="34"/>
      <c r="C6" s="124">
        <f>SUM(Først:Sist!A6)</f>
        <v>7.6006944444444429</v>
      </c>
      <c r="D6" s="35"/>
      <c r="E6" s="129" t="s">
        <v>9</v>
      </c>
      <c r="F6" s="140">
        <f>Sumcolor(E6,D10:D50)</f>
        <v>0.35763888888888884</v>
      </c>
      <c r="G6" s="141">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75" x14ac:dyDescent="0.2">
      <c r="A10" s="146">
        <v>43899</v>
      </c>
      <c r="B10" s="147">
        <v>0.58333333333333337</v>
      </c>
      <c r="C10" s="147">
        <v>0.59722222222222221</v>
      </c>
      <c r="D10" s="148">
        <f>(C10-B10)</f>
        <v>1.388888888888884E-2</v>
      </c>
      <c r="E10" s="406" t="s">
        <v>111</v>
      </c>
      <c r="F10" s="369"/>
      <c r="G10" s="400"/>
    </row>
    <row r="11" spans="1:8" ht="15.75" customHeight="1" thickBot="1" x14ac:dyDescent="0.25">
      <c r="A11" s="153"/>
      <c r="B11" s="154"/>
      <c r="C11" s="154"/>
      <c r="D11" s="155"/>
      <c r="E11" s="370"/>
      <c r="F11" s="371"/>
      <c r="G11" s="401"/>
    </row>
    <row r="12" spans="1:8" ht="15.75" x14ac:dyDescent="0.2">
      <c r="A12" s="156">
        <v>43899</v>
      </c>
      <c r="B12" s="157">
        <v>0.60416666666666663</v>
      </c>
      <c r="C12" s="157">
        <v>0.63194444444444442</v>
      </c>
      <c r="D12" s="158">
        <f>(C12-B12)</f>
        <v>2.777777777777779E-2</v>
      </c>
      <c r="E12" s="390" t="s">
        <v>113</v>
      </c>
      <c r="F12" s="391"/>
      <c r="G12" s="400"/>
    </row>
    <row r="13" spans="1:8" ht="16.5" thickBot="1" x14ac:dyDescent="0.25">
      <c r="A13" s="159"/>
      <c r="B13" s="160"/>
      <c r="C13" s="160"/>
      <c r="D13" s="161"/>
      <c r="E13" s="382"/>
      <c r="F13" s="383"/>
      <c r="G13" s="401"/>
    </row>
    <row r="14" spans="1:8" ht="12.75" customHeight="1" x14ac:dyDescent="0.2">
      <c r="A14" s="162">
        <v>43901</v>
      </c>
      <c r="B14" s="163">
        <v>0.4375</v>
      </c>
      <c r="C14" s="163">
        <v>0.46875</v>
      </c>
      <c r="D14" s="164">
        <f>(C14-B14)</f>
        <v>3.125E-2</v>
      </c>
      <c r="E14" s="396" t="s">
        <v>117</v>
      </c>
      <c r="F14" s="397"/>
      <c r="G14" s="407"/>
    </row>
    <row r="15" spans="1:8" ht="18.75" customHeight="1" thickBot="1" x14ac:dyDescent="0.25">
      <c r="A15" s="165"/>
      <c r="B15" s="166"/>
      <c r="C15" s="166"/>
      <c r="D15" s="167"/>
      <c r="E15" s="398"/>
      <c r="F15" s="399"/>
      <c r="G15" s="408"/>
    </row>
    <row r="16" spans="1:8" ht="15.75" x14ac:dyDescent="0.2">
      <c r="A16" s="146">
        <v>43901</v>
      </c>
      <c r="B16" s="147">
        <v>0.53472222222222221</v>
      </c>
      <c r="C16" s="147">
        <v>0.5625</v>
      </c>
      <c r="D16" s="148">
        <f>(C16-B16)</f>
        <v>2.777777777777779E-2</v>
      </c>
      <c r="E16" s="409" t="s">
        <v>111</v>
      </c>
      <c r="F16" s="410"/>
      <c r="G16" s="400"/>
    </row>
    <row r="17" spans="1:7" ht="16.5" thickBot="1" x14ac:dyDescent="0.25">
      <c r="A17" s="168"/>
      <c r="B17" s="169"/>
      <c r="C17" s="169"/>
      <c r="D17" s="170"/>
      <c r="E17" s="411"/>
      <c r="F17" s="412"/>
      <c r="G17" s="401"/>
    </row>
    <row r="18" spans="1:7" ht="13.9" customHeight="1" x14ac:dyDescent="0.2">
      <c r="A18" s="162">
        <v>43902</v>
      </c>
      <c r="B18" s="163">
        <v>0.73611111111111116</v>
      </c>
      <c r="C18" s="163">
        <v>0.79166666666666663</v>
      </c>
      <c r="D18" s="164">
        <f>(C18-B18)</f>
        <v>5.5555555555555469E-2</v>
      </c>
      <c r="E18" s="396" t="s">
        <v>122</v>
      </c>
      <c r="F18" s="397"/>
      <c r="G18" s="404" t="s">
        <v>112</v>
      </c>
    </row>
    <row r="19" spans="1:7" ht="23.25" customHeight="1" thickBot="1" x14ac:dyDescent="0.25">
      <c r="A19" s="165"/>
      <c r="B19" s="166"/>
      <c r="C19" s="166"/>
      <c r="D19" s="167"/>
      <c r="E19" s="398"/>
      <c r="F19" s="399"/>
      <c r="G19" s="401"/>
    </row>
    <row r="20" spans="1:7" ht="16.899999999999999" customHeight="1" x14ac:dyDescent="0.2">
      <c r="A20" s="162">
        <v>43902</v>
      </c>
      <c r="B20" s="181">
        <v>0.92361111111111116</v>
      </c>
      <c r="C20" s="181">
        <v>0.97916666666666663</v>
      </c>
      <c r="D20" s="182">
        <f>(C20-B20)</f>
        <v>5.5555555555555469E-2</v>
      </c>
      <c r="E20" s="413" t="s">
        <v>123</v>
      </c>
      <c r="F20" s="414"/>
      <c r="G20" s="185" t="s">
        <v>112</v>
      </c>
    </row>
    <row r="21" spans="1:7" ht="18.75" customHeight="1" thickBot="1" x14ac:dyDescent="0.25">
      <c r="A21" s="183"/>
      <c r="B21" s="166"/>
      <c r="C21" s="166"/>
      <c r="D21" s="167"/>
      <c r="E21" s="398"/>
      <c r="F21" s="399"/>
      <c r="G21" s="180"/>
    </row>
    <row r="22" spans="1:7" ht="13.9" customHeight="1" x14ac:dyDescent="0.2">
      <c r="A22" s="146">
        <v>43903</v>
      </c>
      <c r="B22" s="176">
        <v>0.51736111111111105</v>
      </c>
      <c r="C22" s="176">
        <v>0.53472222222222221</v>
      </c>
      <c r="D22" s="177">
        <f>(C22-B22)</f>
        <v>1.736111111111116E-2</v>
      </c>
      <c r="E22" s="409" t="s">
        <v>111</v>
      </c>
      <c r="F22" s="410"/>
      <c r="G22" s="184"/>
    </row>
    <row r="23" spans="1:7" ht="13.9" customHeight="1" thickBot="1" x14ac:dyDescent="0.25">
      <c r="A23" s="175"/>
      <c r="B23" s="169"/>
      <c r="C23" s="169"/>
      <c r="D23" s="170"/>
      <c r="E23" s="411"/>
      <c r="F23" s="412"/>
      <c r="G23" s="180"/>
    </row>
    <row r="24" spans="1:7" ht="13.9" customHeight="1" x14ac:dyDescent="0.2">
      <c r="A24" s="156">
        <v>43903</v>
      </c>
      <c r="B24" s="144">
        <v>0.53472222222222221</v>
      </c>
      <c r="C24" s="144">
        <v>0.54513888888888895</v>
      </c>
      <c r="D24" s="145">
        <f>(C24-B24)</f>
        <v>1.0416666666666741E-2</v>
      </c>
      <c r="E24" s="380" t="s">
        <v>114</v>
      </c>
      <c r="F24" s="381"/>
      <c r="G24" s="184"/>
    </row>
    <row r="25" spans="1:7" ht="24" customHeight="1" thickBot="1" x14ac:dyDescent="0.25">
      <c r="A25" s="149"/>
      <c r="B25" s="160"/>
      <c r="C25" s="160"/>
      <c r="D25" s="161"/>
      <c r="E25" s="382"/>
      <c r="F25" s="383"/>
      <c r="G25" s="180"/>
    </row>
    <row r="26" spans="1:7" ht="13.9" customHeight="1" x14ac:dyDescent="0.2">
      <c r="A26" s="156">
        <v>43903</v>
      </c>
      <c r="B26" s="144">
        <v>0.54513888888888895</v>
      </c>
      <c r="C26" s="144">
        <v>0.56944444444444442</v>
      </c>
      <c r="D26" s="145">
        <f>(C26-B26)</f>
        <v>2.4305555555555469E-2</v>
      </c>
      <c r="E26" s="380" t="s">
        <v>118</v>
      </c>
      <c r="F26" s="381"/>
      <c r="G26" s="184"/>
    </row>
    <row r="27" spans="1:7" ht="18.75" customHeight="1" thickBot="1" x14ac:dyDescent="0.25">
      <c r="A27" s="149"/>
      <c r="B27" s="160"/>
      <c r="C27" s="160"/>
      <c r="D27" s="161"/>
      <c r="E27" s="382"/>
      <c r="F27" s="383"/>
      <c r="G27" s="180"/>
    </row>
    <row r="28" spans="1:7" ht="13.9" customHeight="1" x14ac:dyDescent="0.2">
      <c r="A28" s="162">
        <v>43903</v>
      </c>
      <c r="B28" s="163">
        <v>0.65625</v>
      </c>
      <c r="C28" s="163">
        <v>0.73611111111111116</v>
      </c>
      <c r="D28" s="164">
        <f>(C28-B28)</f>
        <v>7.986111111111116E-2</v>
      </c>
      <c r="E28" s="396" t="s">
        <v>124</v>
      </c>
      <c r="F28" s="397"/>
      <c r="G28" s="185" t="s">
        <v>112</v>
      </c>
    </row>
    <row r="29" spans="1:7" ht="22.5" customHeight="1" thickBot="1" x14ac:dyDescent="0.25">
      <c r="A29" s="183"/>
      <c r="B29" s="166"/>
      <c r="C29" s="166"/>
      <c r="D29" s="167"/>
      <c r="E29" s="398"/>
      <c r="F29" s="399"/>
      <c r="G29" s="184"/>
    </row>
    <row r="30" spans="1:7" ht="13.9" customHeight="1" x14ac:dyDescent="0.2">
      <c r="A30" s="156">
        <v>43903</v>
      </c>
      <c r="B30" s="144">
        <v>0.75</v>
      </c>
      <c r="C30" s="144">
        <v>0.77083333333333337</v>
      </c>
      <c r="D30" s="145">
        <f>(C30-B30)</f>
        <v>2.083333333333337E-2</v>
      </c>
      <c r="E30" s="380" t="s">
        <v>121</v>
      </c>
      <c r="F30" s="381"/>
      <c r="G30" s="400"/>
    </row>
    <row r="31" spans="1:7" ht="7.5" customHeight="1" thickBot="1" x14ac:dyDescent="0.25">
      <c r="A31" s="150"/>
      <c r="B31" s="151"/>
      <c r="C31" s="151"/>
      <c r="D31" s="152"/>
      <c r="E31" s="382"/>
      <c r="F31" s="383"/>
      <c r="G31" s="401"/>
    </row>
    <row r="32" spans="1:7" ht="15.75" x14ac:dyDescent="0.2">
      <c r="A32" s="162">
        <v>43903</v>
      </c>
      <c r="B32" s="163">
        <v>0.77083333333333337</v>
      </c>
      <c r="C32" s="163">
        <v>0.8125</v>
      </c>
      <c r="D32" s="164">
        <f>C32-B32</f>
        <v>4.166666666666663E-2</v>
      </c>
      <c r="E32" s="396" t="s">
        <v>120</v>
      </c>
      <c r="F32" s="397"/>
      <c r="G32" s="186"/>
    </row>
    <row r="33" spans="1:16" ht="12" customHeight="1" thickBot="1" x14ac:dyDescent="0.25">
      <c r="A33" s="165"/>
      <c r="B33" s="166"/>
      <c r="C33" s="166"/>
      <c r="D33" s="167"/>
      <c r="E33" s="398"/>
      <c r="F33" s="399"/>
      <c r="G33" s="187"/>
    </row>
    <row r="34" spans="1:16" ht="19.5" customHeight="1" x14ac:dyDescent="0.2">
      <c r="A34" s="162">
        <v>43905</v>
      </c>
      <c r="B34" s="163">
        <v>0.51388888888888895</v>
      </c>
      <c r="C34" s="181">
        <v>0.57638888888888895</v>
      </c>
      <c r="D34" s="182">
        <f>C34-B34</f>
        <v>6.25E-2</v>
      </c>
      <c r="E34" s="396" t="s">
        <v>124</v>
      </c>
      <c r="F34" s="397"/>
      <c r="G34" s="188" t="s">
        <v>112</v>
      </c>
    </row>
    <row r="35" spans="1:16" ht="13.5" thickBot="1" x14ac:dyDescent="0.25">
      <c r="A35" s="189"/>
      <c r="B35" s="190"/>
      <c r="C35" s="191"/>
      <c r="D35" s="191"/>
      <c r="E35" s="398"/>
      <c r="F35" s="399"/>
      <c r="G35" s="192"/>
    </row>
    <row r="36" spans="1:16" ht="15.75" x14ac:dyDescent="0.2">
      <c r="A36" s="146">
        <v>43905</v>
      </c>
      <c r="B36" s="176">
        <v>0.58333333333333337</v>
      </c>
      <c r="C36" s="147">
        <v>0.59722222222222221</v>
      </c>
      <c r="D36" s="148">
        <f>C36-B36</f>
        <v>1.388888888888884E-2</v>
      </c>
      <c r="E36" s="392" t="s">
        <v>106</v>
      </c>
      <c r="F36" s="393"/>
      <c r="G36" s="186"/>
    </row>
    <row r="37" spans="1:16" ht="12.75" customHeight="1" thickBot="1" x14ac:dyDescent="0.25">
      <c r="A37" s="168"/>
      <c r="B37" s="169"/>
      <c r="C37" s="169"/>
      <c r="D37" s="170"/>
      <c r="E37" s="394"/>
      <c r="F37" s="395"/>
      <c r="G37" s="187"/>
    </row>
    <row r="38" spans="1:16" ht="15.75" x14ac:dyDescent="0.2">
      <c r="A38" s="183">
        <v>43905</v>
      </c>
      <c r="B38" s="163">
        <v>0.59722222222222221</v>
      </c>
      <c r="C38" s="163">
        <v>0.61458333333333337</v>
      </c>
      <c r="D38" s="164">
        <f>C38-B38</f>
        <v>1.736111111111116E-2</v>
      </c>
      <c r="E38" s="396" t="s">
        <v>119</v>
      </c>
      <c r="F38" s="397"/>
      <c r="G38" s="186"/>
    </row>
    <row r="39" spans="1:16" ht="18.75" customHeight="1" thickBot="1" x14ac:dyDescent="0.25">
      <c r="A39" s="165"/>
      <c r="B39" s="166"/>
      <c r="C39" s="166"/>
      <c r="D39" s="167"/>
      <c r="E39" s="398"/>
      <c r="F39" s="399"/>
      <c r="G39" s="187"/>
      <c r="J39" s="171"/>
      <c r="K39" s="172"/>
    </row>
    <row r="40" spans="1:16" ht="12.75" customHeight="1" x14ac:dyDescent="0.2">
      <c r="A40" s="156">
        <v>43905</v>
      </c>
      <c r="B40" s="157">
        <v>0.64583333333333337</v>
      </c>
      <c r="C40" s="157">
        <v>0.74305555555555547</v>
      </c>
      <c r="D40" s="145">
        <f>C40-B40</f>
        <v>9.7222222222222099E-2</v>
      </c>
      <c r="E40" s="405" t="s">
        <v>115</v>
      </c>
      <c r="F40" s="391"/>
      <c r="G40" s="193"/>
      <c r="J40" s="172"/>
      <c r="K40" s="172"/>
    </row>
    <row r="41" spans="1:16" ht="23.25" customHeight="1" thickBot="1" x14ac:dyDescent="0.25">
      <c r="A41" s="159"/>
      <c r="B41" s="160"/>
      <c r="C41" s="160"/>
      <c r="D41" s="161"/>
      <c r="E41" s="382"/>
      <c r="F41" s="383"/>
      <c r="G41" s="194"/>
      <c r="J41" s="172"/>
      <c r="K41" s="172"/>
    </row>
    <row r="42" spans="1:16" ht="15" customHeight="1" x14ac:dyDescent="0.2">
      <c r="A42" s="156">
        <v>43905</v>
      </c>
      <c r="B42" s="157">
        <v>0.8125</v>
      </c>
      <c r="C42" s="157">
        <v>0.98958333333333337</v>
      </c>
      <c r="D42" s="145">
        <f>C42-B42</f>
        <v>0.17708333333333337</v>
      </c>
      <c r="E42" s="405" t="s">
        <v>116</v>
      </c>
      <c r="F42" s="391"/>
      <c r="G42" s="193"/>
      <c r="J42" s="172"/>
      <c r="K42" s="172"/>
    </row>
    <row r="43" spans="1:16" ht="34.5" customHeight="1" thickBot="1" x14ac:dyDescent="0.25">
      <c r="A43" s="159"/>
      <c r="B43" s="160"/>
      <c r="C43" s="160"/>
      <c r="D43" s="161"/>
      <c r="E43" s="382"/>
      <c r="F43" s="383"/>
      <c r="G43" s="194"/>
      <c r="J43" s="172"/>
      <c r="K43" s="172"/>
      <c r="L43" s="172"/>
      <c r="M43" s="172"/>
      <c r="N43" s="172"/>
      <c r="O43" s="172"/>
      <c r="P43" s="172"/>
    </row>
    <row r="44" spans="1:16" ht="15.75" customHeight="1" x14ac:dyDescent="0.2">
      <c r="J44" s="172"/>
      <c r="K44" s="172"/>
      <c r="L44" s="172"/>
      <c r="M44" s="172"/>
      <c r="N44" s="172"/>
      <c r="O44" s="172"/>
      <c r="P44" s="172"/>
    </row>
    <row r="45" spans="1:16" ht="9" customHeight="1" x14ac:dyDescent="0.2">
      <c r="A45" s="178"/>
      <c r="J45" s="172"/>
      <c r="K45" s="172"/>
      <c r="L45" s="172"/>
      <c r="M45" s="172"/>
      <c r="N45" s="172"/>
      <c r="O45" s="172"/>
      <c r="P45" s="172"/>
    </row>
    <row r="46" spans="1:16" ht="15" customHeight="1" x14ac:dyDescent="0.2">
      <c r="J46" s="172"/>
      <c r="K46" s="172"/>
      <c r="L46" s="172"/>
    </row>
    <row r="47" spans="1:16" ht="26.25" customHeight="1" x14ac:dyDescent="0.2">
      <c r="J47" s="172"/>
      <c r="K47" s="172"/>
      <c r="L47" s="172"/>
    </row>
    <row r="48" spans="1:16" ht="12.75" customHeight="1" x14ac:dyDescent="0.2">
      <c r="J48" s="172"/>
      <c r="K48" s="172"/>
      <c r="L48" s="172"/>
    </row>
    <row r="49" spans="1:12" ht="12.75" customHeight="1" x14ac:dyDescent="0.2">
      <c r="J49" s="172"/>
      <c r="K49" s="172"/>
      <c r="L49" s="172"/>
    </row>
    <row r="50" spans="1:12" ht="12.75" customHeight="1" x14ac:dyDescent="0.2">
      <c r="J50" s="172"/>
      <c r="K50" s="172"/>
    </row>
    <row r="51" spans="1:12" ht="12.75" customHeight="1" x14ac:dyDescent="0.2">
      <c r="J51" s="172"/>
      <c r="K51" s="172"/>
    </row>
    <row r="52" spans="1:12" ht="21.75" customHeight="1" thickBot="1" x14ac:dyDescent="0.25">
      <c r="A52" s="28" t="s">
        <v>16</v>
      </c>
      <c r="B52" s="29"/>
      <c r="C52" s="30"/>
      <c r="D52" s="20"/>
      <c r="E52" s="20"/>
      <c r="F52" s="20"/>
      <c r="G52" s="20"/>
      <c r="H52" s="5"/>
      <c r="J52" s="172"/>
      <c r="K52" s="172"/>
    </row>
    <row r="53" spans="1:12" ht="23.25" customHeight="1" thickBot="1" x14ac:dyDescent="0.25">
      <c r="D53" s="21"/>
      <c r="E53" s="21"/>
      <c r="F53" s="21"/>
      <c r="G53" s="21"/>
      <c r="H53" s="5"/>
      <c r="J53" s="172"/>
      <c r="K53" s="172"/>
    </row>
    <row r="54" spans="1:12" ht="20.25" customHeight="1" x14ac:dyDescent="0.2">
      <c r="A54" s="357" t="s">
        <v>125</v>
      </c>
      <c r="B54" s="358"/>
      <c r="C54" s="358"/>
      <c r="D54" s="358"/>
      <c r="E54" s="358"/>
      <c r="F54" s="358"/>
      <c r="G54" s="359"/>
      <c r="H54" s="6"/>
      <c r="J54" s="172"/>
      <c r="K54" s="172"/>
    </row>
    <row r="55" spans="1:12" ht="15.75" customHeight="1" x14ac:dyDescent="0.2">
      <c r="A55" s="360"/>
      <c r="B55" s="361"/>
      <c r="C55" s="361"/>
      <c r="D55" s="361"/>
      <c r="E55" s="361"/>
      <c r="F55" s="361"/>
      <c r="G55" s="362"/>
      <c r="H55" s="7"/>
      <c r="J55" s="172"/>
      <c r="K55" s="172"/>
    </row>
    <row r="56" spans="1:12" ht="12.75" customHeight="1" x14ac:dyDescent="0.2">
      <c r="A56" s="360"/>
      <c r="B56" s="361"/>
      <c r="C56" s="361"/>
      <c r="D56" s="361"/>
      <c r="E56" s="361"/>
      <c r="F56" s="361"/>
      <c r="G56" s="362"/>
      <c r="H56" s="15"/>
      <c r="J56" s="172"/>
      <c r="K56" s="172"/>
    </row>
    <row r="57" spans="1:12" ht="12.75" customHeight="1" x14ac:dyDescent="0.2">
      <c r="A57" s="360"/>
      <c r="B57" s="361"/>
      <c r="C57" s="361"/>
      <c r="D57" s="361"/>
      <c r="E57" s="361"/>
      <c r="F57" s="361"/>
      <c r="G57" s="362"/>
      <c r="H57" s="15"/>
      <c r="J57" s="172"/>
      <c r="K57" s="172"/>
    </row>
    <row r="58" spans="1:12" ht="13.5" customHeight="1" x14ac:dyDescent="0.2">
      <c r="A58" s="360"/>
      <c r="B58" s="361"/>
      <c r="C58" s="361"/>
      <c r="D58" s="361"/>
      <c r="E58" s="361"/>
      <c r="F58" s="361"/>
      <c r="G58" s="362"/>
      <c r="H58" s="15"/>
    </row>
    <row r="59" spans="1:12" ht="12.75" customHeight="1" x14ac:dyDescent="0.2">
      <c r="A59" s="360"/>
      <c r="B59" s="361"/>
      <c r="C59" s="361"/>
      <c r="D59" s="361"/>
      <c r="E59" s="361"/>
      <c r="F59" s="361"/>
      <c r="G59" s="362"/>
      <c r="H59" s="15"/>
    </row>
    <row r="60" spans="1:12" ht="12.75" customHeight="1" x14ac:dyDescent="0.2">
      <c r="A60" s="360"/>
      <c r="B60" s="361"/>
      <c r="C60" s="361"/>
      <c r="D60" s="361"/>
      <c r="E60" s="361"/>
      <c r="F60" s="361"/>
      <c r="G60" s="362"/>
      <c r="H60" s="15"/>
    </row>
    <row r="61" spans="1:12" ht="12.75" customHeight="1" x14ac:dyDescent="0.2">
      <c r="A61" s="360"/>
      <c r="B61" s="361"/>
      <c r="C61" s="361"/>
      <c r="D61" s="361"/>
      <c r="E61" s="361"/>
      <c r="F61" s="361"/>
      <c r="G61" s="362"/>
      <c r="H61" s="15"/>
    </row>
    <row r="62" spans="1:12" ht="12.75" customHeight="1" x14ac:dyDescent="0.2">
      <c r="A62" s="360"/>
      <c r="B62" s="361"/>
      <c r="C62" s="361"/>
      <c r="D62" s="361"/>
      <c r="E62" s="361"/>
      <c r="F62" s="361"/>
      <c r="G62" s="362"/>
      <c r="H62" s="15"/>
    </row>
    <row r="63" spans="1:12" ht="12.75" customHeight="1" x14ac:dyDescent="0.2">
      <c r="A63" s="360"/>
      <c r="B63" s="361"/>
      <c r="C63" s="361"/>
      <c r="D63" s="361"/>
      <c r="E63" s="361"/>
      <c r="F63" s="361"/>
      <c r="G63" s="362"/>
      <c r="H63" s="15"/>
    </row>
    <row r="64" spans="1:12" ht="12.75" customHeight="1" x14ac:dyDescent="0.2">
      <c r="A64" s="360"/>
      <c r="B64" s="361"/>
      <c r="C64" s="361"/>
      <c r="D64" s="361"/>
      <c r="E64" s="361"/>
      <c r="F64" s="361"/>
      <c r="G64" s="362"/>
      <c r="H64" s="15"/>
      <c r="J64" s="178"/>
    </row>
    <row r="65" spans="1:10" ht="12.75" customHeight="1" x14ac:dyDescent="0.2">
      <c r="A65" s="360"/>
      <c r="B65" s="361"/>
      <c r="C65" s="361"/>
      <c r="D65" s="361"/>
      <c r="E65" s="361"/>
      <c r="F65" s="361"/>
      <c r="G65" s="362"/>
      <c r="H65" s="15"/>
      <c r="J65" s="178"/>
    </row>
    <row r="66" spans="1:10" ht="12.75" customHeight="1" x14ac:dyDescent="0.2">
      <c r="A66" s="360"/>
      <c r="B66" s="361"/>
      <c r="C66" s="361"/>
      <c r="D66" s="361"/>
      <c r="E66" s="361"/>
      <c r="F66" s="361"/>
      <c r="G66" s="362"/>
      <c r="H66" s="15"/>
    </row>
    <row r="67" spans="1:10" ht="13.5" customHeight="1" x14ac:dyDescent="0.2">
      <c r="A67" s="360"/>
      <c r="B67" s="361"/>
      <c r="C67" s="361"/>
      <c r="D67" s="361"/>
      <c r="E67" s="361"/>
      <c r="F67" s="361"/>
      <c r="G67" s="362"/>
    </row>
    <row r="68" spans="1:10" ht="12.75" customHeight="1" x14ac:dyDescent="0.2">
      <c r="A68" s="360"/>
      <c r="B68" s="361"/>
      <c r="C68" s="361"/>
      <c r="D68" s="361"/>
      <c r="E68" s="361"/>
      <c r="F68" s="361"/>
      <c r="G68" s="362"/>
    </row>
    <row r="69" spans="1:10" ht="12.75" customHeight="1" x14ac:dyDescent="0.2">
      <c r="A69" s="360"/>
      <c r="B69" s="361"/>
      <c r="C69" s="361"/>
      <c r="D69" s="361"/>
      <c r="E69" s="361"/>
      <c r="F69" s="361"/>
      <c r="G69" s="362"/>
    </row>
    <row r="70" spans="1:10" ht="12.75" customHeight="1" x14ac:dyDescent="0.2">
      <c r="A70" s="360"/>
      <c r="B70" s="361"/>
      <c r="C70" s="361"/>
      <c r="D70" s="361"/>
      <c r="E70" s="361"/>
      <c r="F70" s="361"/>
      <c r="G70" s="362"/>
    </row>
    <row r="71" spans="1:10" ht="12.75" customHeight="1" x14ac:dyDescent="0.2">
      <c r="A71" s="360"/>
      <c r="B71" s="361"/>
      <c r="C71" s="361"/>
      <c r="D71" s="361"/>
      <c r="E71" s="361"/>
      <c r="F71" s="361"/>
      <c r="G71" s="362"/>
    </row>
    <row r="72" spans="1:10" ht="12.75" customHeight="1" x14ac:dyDescent="0.2">
      <c r="A72" s="360"/>
      <c r="B72" s="361"/>
      <c r="C72" s="361"/>
      <c r="D72" s="361"/>
      <c r="E72" s="361"/>
      <c r="F72" s="361"/>
      <c r="G72" s="362"/>
    </row>
    <row r="73" spans="1:10" ht="12.75" customHeight="1" x14ac:dyDescent="0.2">
      <c r="A73" s="360"/>
      <c r="B73" s="361"/>
      <c r="C73" s="361"/>
      <c r="D73" s="361"/>
      <c r="E73" s="361"/>
      <c r="F73" s="361"/>
      <c r="G73" s="362"/>
    </row>
    <row r="74" spans="1:10" ht="12.75" customHeight="1" x14ac:dyDescent="0.2">
      <c r="A74" s="360"/>
      <c r="B74" s="361"/>
      <c r="C74" s="361"/>
      <c r="D74" s="361"/>
      <c r="E74" s="361"/>
      <c r="F74" s="361"/>
      <c r="G74" s="362"/>
    </row>
    <row r="75" spans="1:10" ht="12.75" customHeight="1" x14ac:dyDescent="0.2">
      <c r="A75" s="360"/>
      <c r="B75" s="361"/>
      <c r="C75" s="361"/>
      <c r="D75" s="361"/>
      <c r="E75" s="361"/>
      <c r="F75" s="361"/>
      <c r="G75" s="362"/>
    </row>
    <row r="76" spans="1:10" ht="12.75" customHeight="1" x14ac:dyDescent="0.2">
      <c r="A76" s="360"/>
      <c r="B76" s="361"/>
      <c r="C76" s="361"/>
      <c r="D76" s="361"/>
      <c r="E76" s="361"/>
      <c r="F76" s="361"/>
      <c r="G76" s="362"/>
    </row>
    <row r="77" spans="1:10" ht="12.75" customHeight="1" x14ac:dyDescent="0.2">
      <c r="A77" s="360"/>
      <c r="B77" s="361"/>
      <c r="C77" s="361"/>
      <c r="D77" s="361"/>
      <c r="E77" s="361"/>
      <c r="F77" s="361"/>
      <c r="G77" s="362"/>
    </row>
    <row r="78" spans="1:10" ht="13.5" customHeight="1" x14ac:dyDescent="0.2">
      <c r="A78" s="360"/>
      <c r="B78" s="361"/>
      <c r="C78" s="361"/>
      <c r="D78" s="361"/>
      <c r="E78" s="361"/>
      <c r="F78" s="361"/>
      <c r="G78" s="362"/>
    </row>
    <row r="79" spans="1:10" ht="12.75" customHeight="1" x14ac:dyDescent="0.2">
      <c r="A79" s="360"/>
      <c r="B79" s="361"/>
      <c r="C79" s="361"/>
      <c r="D79" s="361"/>
      <c r="E79" s="361"/>
      <c r="F79" s="361"/>
      <c r="G79" s="362"/>
    </row>
    <row r="80" spans="1:10" ht="12.75" customHeight="1" x14ac:dyDescent="0.2">
      <c r="A80" s="360"/>
      <c r="B80" s="361"/>
      <c r="C80" s="361"/>
      <c r="D80" s="361"/>
      <c r="E80" s="361"/>
      <c r="F80" s="361"/>
      <c r="G80" s="362"/>
    </row>
    <row r="81" spans="1:17" ht="177" customHeight="1" x14ac:dyDescent="0.2">
      <c r="A81" s="360"/>
      <c r="B81" s="361"/>
      <c r="C81" s="361"/>
      <c r="D81" s="361"/>
      <c r="E81" s="361"/>
      <c r="F81" s="361"/>
      <c r="G81" s="362"/>
    </row>
    <row r="82" spans="1:17" ht="12.75" customHeight="1" x14ac:dyDescent="0.2">
      <c r="A82" s="360"/>
      <c r="B82" s="361"/>
      <c r="C82" s="361"/>
      <c r="D82" s="361"/>
      <c r="E82" s="361"/>
      <c r="F82" s="361"/>
      <c r="G82" s="362"/>
    </row>
    <row r="83" spans="1:17" ht="12.75" customHeight="1" x14ac:dyDescent="0.2">
      <c r="A83" s="360"/>
      <c r="B83" s="361"/>
      <c r="C83" s="361"/>
      <c r="D83" s="361"/>
      <c r="E83" s="361"/>
      <c r="F83" s="361"/>
      <c r="G83" s="362"/>
    </row>
    <row r="84" spans="1:17" ht="12.75" customHeight="1" x14ac:dyDescent="0.2">
      <c r="A84" s="360"/>
      <c r="B84" s="361"/>
      <c r="C84" s="361"/>
      <c r="D84" s="361"/>
      <c r="E84" s="361"/>
      <c r="F84" s="361"/>
      <c r="G84" s="362"/>
    </row>
    <row r="85" spans="1:17" ht="12.75" customHeight="1" x14ac:dyDescent="0.2">
      <c r="A85" s="360"/>
      <c r="B85" s="361"/>
      <c r="C85" s="361"/>
      <c r="D85" s="361"/>
      <c r="E85" s="361"/>
      <c r="F85" s="361"/>
      <c r="G85" s="362"/>
    </row>
    <row r="86" spans="1:17" ht="12.75" customHeight="1" thickBot="1" x14ac:dyDescent="0.25">
      <c r="A86" s="363"/>
      <c r="B86" s="364"/>
      <c r="C86" s="364"/>
      <c r="D86" s="364"/>
      <c r="E86" s="364"/>
      <c r="F86" s="364"/>
      <c r="G86" s="365"/>
    </row>
    <row r="87" spans="1:17" ht="12.75" customHeight="1" x14ac:dyDescent="0.2"/>
    <row r="88" spans="1:17" ht="71.25" customHeight="1" x14ac:dyDescent="0.2"/>
    <row r="92" spans="1:17" x14ac:dyDescent="0.2">
      <c r="L92" s="172"/>
    </row>
    <row r="93" spans="1:17" x14ac:dyDescent="0.2">
      <c r="L93" s="172"/>
    </row>
    <row r="94" spans="1:17" x14ac:dyDescent="0.2">
      <c r="L94" s="172"/>
    </row>
    <row r="95" spans="1:17" x14ac:dyDescent="0.2">
      <c r="L95" s="172"/>
    </row>
    <row r="96" spans="1:17" x14ac:dyDescent="0.2">
      <c r="L96" s="172"/>
      <c r="M96" s="172"/>
      <c r="N96" s="172"/>
      <c r="O96" s="172"/>
      <c r="P96" s="172"/>
      <c r="Q96" s="172"/>
    </row>
    <row r="97" spans="12:17" x14ac:dyDescent="0.2">
      <c r="L97" s="172"/>
      <c r="M97" s="172"/>
      <c r="N97" s="172"/>
      <c r="O97" s="172"/>
      <c r="P97" s="172"/>
      <c r="Q97" s="172"/>
    </row>
    <row r="98" spans="12:17" x14ac:dyDescent="0.2">
      <c r="L98" s="172"/>
      <c r="M98" s="172"/>
      <c r="N98" s="172"/>
      <c r="O98" s="172"/>
      <c r="P98" s="172"/>
      <c r="Q98" s="172"/>
    </row>
    <row r="99" spans="12:17" x14ac:dyDescent="0.2">
      <c r="L99" s="172"/>
      <c r="M99" s="172"/>
      <c r="N99" s="172"/>
      <c r="O99" s="172"/>
      <c r="P99" s="172"/>
      <c r="Q99" s="172"/>
    </row>
    <row r="100" spans="12:17" x14ac:dyDescent="0.2">
      <c r="L100" s="172"/>
      <c r="M100" s="172"/>
      <c r="N100" s="172"/>
      <c r="O100" s="172"/>
      <c r="P100" s="172"/>
      <c r="Q100" s="172"/>
    </row>
    <row r="101" spans="12:17" x14ac:dyDescent="0.2">
      <c r="L101" s="172"/>
      <c r="M101" s="172"/>
      <c r="N101" s="172"/>
      <c r="O101" s="172"/>
      <c r="P101" s="172"/>
      <c r="Q101" s="172"/>
    </row>
  </sheetData>
  <mergeCells count="27">
    <mergeCell ref="E30:F31"/>
    <mergeCell ref="G30:G31"/>
    <mergeCell ref="E28:F29"/>
    <mergeCell ref="E20:F21"/>
    <mergeCell ref="E22:F23"/>
    <mergeCell ref="E24:F25"/>
    <mergeCell ref="E26:F27"/>
    <mergeCell ref="E14:F15"/>
    <mergeCell ref="G14:G15"/>
    <mergeCell ref="E16:F17"/>
    <mergeCell ref="G16:G17"/>
    <mergeCell ref="E18:F19"/>
    <mergeCell ref="G18:G19"/>
    <mergeCell ref="E12:F13"/>
    <mergeCell ref="G12:G13"/>
    <mergeCell ref="A1:E1"/>
    <mergeCell ref="A4:B5"/>
    <mergeCell ref="C4:D5"/>
    <mergeCell ref="E10:F11"/>
    <mergeCell ref="G10:G11"/>
    <mergeCell ref="A54:G86"/>
    <mergeCell ref="E38:F39"/>
    <mergeCell ref="E36:F37"/>
    <mergeCell ref="E32:F33"/>
    <mergeCell ref="E40:F41"/>
    <mergeCell ref="E42:F43"/>
    <mergeCell ref="E34:F35"/>
  </mergeCells>
  <conditionalFormatting sqref="H52:H53">
    <cfRule type="expression" dxfId="204" priority="30">
      <formula>ISNUMBER(SEARCH(TEXT(#REF!,"ddd"),#REF!))</formula>
    </cfRule>
  </conditionalFormatting>
  <conditionalFormatting sqref="A10:D10 D11:D12 A11:A12 M43:N45 B36:C41 B11:C34">
    <cfRule type="expression" dxfId="203" priority="31">
      <formula>ISNUMBER(SEARCH(TEXT(#REF!,"ddd"),#REF!))</formula>
    </cfRule>
  </conditionalFormatting>
  <conditionalFormatting sqref="D14:D17">
    <cfRule type="expression" dxfId="202" priority="29">
      <formula>ISNUMBER(SEARCH(TEXT(#REF!,"ddd"),#REF!))</formula>
    </cfRule>
  </conditionalFormatting>
  <conditionalFormatting sqref="A14:A17">
    <cfRule type="expression" dxfId="201" priority="27">
      <formula>ISNUMBER(SEARCH(TEXT(#REF!,"ddd"),#REF!))</formula>
    </cfRule>
  </conditionalFormatting>
  <conditionalFormatting sqref="A13 D13">
    <cfRule type="expression" dxfId="200" priority="28">
      <formula>ISNUMBER(SEARCH(TEXT(#REF!,"ddd"),#REF!))</formula>
    </cfRule>
  </conditionalFormatting>
  <conditionalFormatting sqref="O43:O45 D36:D41 D18:D34">
    <cfRule type="expression" dxfId="199" priority="26">
      <formula>ISNUMBER(SEARCH(TEXT(#REF!,"ddd"),#REF!))</formula>
    </cfRule>
  </conditionalFormatting>
  <conditionalFormatting sqref="A19 A21 A23 A25 A27 A29 A31 A36:A41 A33:A34 L43:L47">
    <cfRule type="expression" dxfId="198" priority="25">
      <formula>ISNUMBER(SEARCH(TEXT(#REF!,"ddd"),#REF!))</formula>
    </cfRule>
  </conditionalFormatting>
  <conditionalFormatting sqref="D30:D31">
    <cfRule type="expression" dxfId="197" priority="24">
      <formula>ISNUMBER(SEARCH(TEXT(#REF!,"ddd"),#REF!))</formula>
    </cfRule>
  </conditionalFormatting>
  <conditionalFormatting sqref="A31">
    <cfRule type="expression" dxfId="196" priority="23">
      <formula>ISNUMBER(SEARCH(TEXT(#REF!,"ddd"),#REF!))</formula>
    </cfRule>
  </conditionalFormatting>
  <conditionalFormatting sqref="A22">
    <cfRule type="expression" dxfId="195" priority="20">
      <formula>ISNUMBER(SEARCH(TEXT(#REF!,"ddd"),#REF!))</formula>
    </cfRule>
  </conditionalFormatting>
  <conditionalFormatting sqref="A18">
    <cfRule type="expression" dxfId="194" priority="15">
      <formula>ISNUMBER(SEARCH(TEXT(#REF!,"ddd"),#REF!))</formula>
    </cfRule>
  </conditionalFormatting>
  <conditionalFormatting sqref="A20">
    <cfRule type="expression" dxfId="193" priority="13">
      <formula>ISNUMBER(SEARCH(TEXT(#REF!,"ddd"),#REF!))</formula>
    </cfRule>
  </conditionalFormatting>
  <conditionalFormatting sqref="A24">
    <cfRule type="expression" dxfId="192" priority="12">
      <formula>ISNUMBER(SEARCH(TEXT(#REF!,"ddd"),#REF!))</formula>
    </cfRule>
  </conditionalFormatting>
  <conditionalFormatting sqref="A26">
    <cfRule type="expression" dxfId="191" priority="11">
      <formula>ISNUMBER(SEARCH(TEXT(#REF!,"ddd"),#REF!))</formula>
    </cfRule>
  </conditionalFormatting>
  <conditionalFormatting sqref="A28">
    <cfRule type="expression" dxfId="190" priority="10">
      <formula>ISNUMBER(SEARCH(TEXT(#REF!,"ddd"),#REF!))</formula>
    </cfRule>
  </conditionalFormatting>
  <conditionalFormatting sqref="A30">
    <cfRule type="expression" dxfId="189" priority="9">
      <formula>ISNUMBER(SEARCH(TEXT(#REF!,"ddd"),#REF!))</formula>
    </cfRule>
  </conditionalFormatting>
  <conditionalFormatting sqref="A32">
    <cfRule type="expression" dxfId="188" priority="8">
      <formula>ISNUMBER(SEARCH(TEXT(#REF!,"ddd"),#REF!))</formula>
    </cfRule>
  </conditionalFormatting>
  <conditionalFormatting sqref="A42:A43">
    <cfRule type="expression" dxfId="187" priority="4">
      <formula>ISNUMBER(SEARCH(TEXT(#REF!,"ddd"),#REF!))</formula>
    </cfRule>
  </conditionalFormatting>
  <conditionalFormatting sqref="B42:C43">
    <cfRule type="expression" dxfId="186" priority="6">
      <formula>ISNUMBER(SEARCH(TEXT(#REF!,"ddd"),#REF!))</formula>
    </cfRule>
  </conditionalFormatting>
  <conditionalFormatting sqref="D42:D43">
    <cfRule type="expression" dxfId="185" priority="5">
      <formula>ISNUMBER(SEARCH(TEXT(#REF!,"ddd"),#REF!))</formula>
    </cfRule>
  </conditionalFormatting>
  <conditionalFormatting sqref="N96:O100">
    <cfRule type="expression" dxfId="184" priority="3">
      <formula>ISNUMBER(SEARCH(TEXT(#REF!,"ddd"),#REF!))</formula>
    </cfRule>
  </conditionalFormatting>
  <conditionalFormatting sqref="P96:P100">
    <cfRule type="expression" dxfId="183" priority="2">
      <formula>ISNUMBER(SEARCH(TEXT(#REF!,"ddd"),#REF!))</formula>
    </cfRule>
  </conditionalFormatting>
  <conditionalFormatting sqref="M96:M100">
    <cfRule type="expression" dxfId="182" priority="1">
      <formula>ISNUMBER(SEARCH(TEXT(#REF!,"ddd"),#REF!))</formula>
    </cfRule>
  </conditionalFormatting>
  <dataValidations count="2">
    <dataValidation type="custom" allowBlank="1" showInputMessage="1" showErrorMessage="1" sqref="C10:C34 C36:C43" xr:uid="{05C7B6EC-16E8-4891-B91B-53D399BEC733}">
      <formula1>AND($C10&lt;=1,ISNUMBER($C10),($C10&gt;=$B10))</formula1>
    </dataValidation>
    <dataValidation type="custom" allowBlank="1" showInputMessage="1" showErrorMessage="1" sqref="B10:B34 B36:B43" xr:uid="{9FA8D26D-B93D-459C-8803-D1B84DD5ED5D}">
      <formula1>AND($B10&lt;=1,ISNUMBER($B10))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E361A-151B-4B2F-BC22-63802D89587A}">
  <sheetPr codeName="Sheet20">
    <pageSetUpPr fitToPage="1"/>
  </sheetPr>
  <dimension ref="A1:Q101"/>
  <sheetViews>
    <sheetView showGridLines="0" zoomScaleNormal="100" workbookViewId="0">
      <selection activeCell="E10" sqref="E10:F11"/>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12</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43906</v>
      </c>
      <c r="B3" s="133"/>
      <c r="C3" s="134">
        <v>43912</v>
      </c>
      <c r="D3" s="32"/>
      <c r="E3" s="126" t="s">
        <v>5</v>
      </c>
      <c r="F3" s="138">
        <f>Sumcolor(E3,D10:D15)</f>
        <v>0</v>
      </c>
      <c r="G3" s="139">
        <f>SUM(Først:Sist!F3)</f>
        <v>0.76388888888888862</v>
      </c>
      <c r="H3" s="12"/>
    </row>
    <row r="4" spans="1:8" ht="15.75" x14ac:dyDescent="0.2">
      <c r="A4" s="357" t="s">
        <v>85</v>
      </c>
      <c r="B4" s="358"/>
      <c r="C4" s="358" t="s">
        <v>86</v>
      </c>
      <c r="D4" s="358"/>
      <c r="E4" s="127" t="s">
        <v>7</v>
      </c>
      <c r="F4" s="138">
        <f>Sumcolor(E4,D10:D15)</f>
        <v>0</v>
      </c>
      <c r="G4" s="139">
        <f>SUM(Først:Sist!F4)</f>
        <v>3.8298611111111116</v>
      </c>
      <c r="H4" s="12"/>
    </row>
    <row r="5" spans="1:8" ht="20.25" customHeight="1" x14ac:dyDescent="0.2">
      <c r="A5" s="360"/>
      <c r="B5" s="361"/>
      <c r="C5" s="361"/>
      <c r="D5" s="361"/>
      <c r="E5" s="128" t="s">
        <v>8</v>
      </c>
      <c r="F5" s="138">
        <f>Sumcolor(E5,D10:D15)</f>
        <v>3.8194444444444364E-2</v>
      </c>
      <c r="G5" s="139">
        <f>SUM(Først:Sist!F5)</f>
        <v>0.90972222222222132</v>
      </c>
      <c r="H5" s="12"/>
    </row>
    <row r="6" spans="1:8" ht="21.75" thickBot="1" x14ac:dyDescent="0.25">
      <c r="A6" s="125">
        <f>SUM(D10:D15)</f>
        <v>3.8194444444444364E-2</v>
      </c>
      <c r="B6" s="34"/>
      <c r="C6" s="124">
        <f>SUM(Først:Sist!A6)</f>
        <v>7.6006944444444429</v>
      </c>
      <c r="D6" s="35"/>
      <c r="E6" s="129" t="s">
        <v>9</v>
      </c>
      <c r="F6" s="140">
        <f>Sumcolor(E6,D10:D15)</f>
        <v>0</v>
      </c>
      <c r="G6" s="141">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75" x14ac:dyDescent="0.2">
      <c r="A10" s="146">
        <v>43906</v>
      </c>
      <c r="B10" s="147">
        <v>0.58333333333333337</v>
      </c>
      <c r="C10" s="147">
        <v>0.60416666666666663</v>
      </c>
      <c r="D10" s="148">
        <f>(C10-B10)</f>
        <v>2.0833333333333259E-2</v>
      </c>
      <c r="E10" s="368" t="s">
        <v>126</v>
      </c>
      <c r="F10" s="369"/>
      <c r="G10" s="400"/>
    </row>
    <row r="11" spans="1:8" ht="18" customHeight="1" thickBot="1" x14ac:dyDescent="0.25">
      <c r="A11" s="153"/>
      <c r="B11" s="154"/>
      <c r="C11" s="154"/>
      <c r="D11" s="155"/>
      <c r="E11" s="370"/>
      <c r="F11" s="371"/>
      <c r="G11" s="401"/>
    </row>
    <row r="12" spans="1:8" ht="15.75" x14ac:dyDescent="0.2">
      <c r="A12" s="146">
        <v>43908</v>
      </c>
      <c r="B12" s="147">
        <v>0.48958333333333331</v>
      </c>
      <c r="C12" s="147">
        <v>0.50694444444444442</v>
      </c>
      <c r="D12" s="148">
        <f>(C12-B12)</f>
        <v>1.7361111111111105E-2</v>
      </c>
      <c r="E12" s="368" t="s">
        <v>127</v>
      </c>
      <c r="F12" s="369"/>
      <c r="G12" s="400"/>
    </row>
    <row r="13" spans="1:8" ht="16.5" thickBot="1" x14ac:dyDescent="0.25">
      <c r="A13" s="168"/>
      <c r="B13" s="169"/>
      <c r="C13" s="169"/>
      <c r="D13" s="170"/>
      <c r="E13" s="370"/>
      <c r="F13" s="371"/>
      <c r="G13" s="401"/>
    </row>
    <row r="14" spans="1:8" ht="12.75" customHeight="1" x14ac:dyDescent="0.2"/>
    <row r="15" spans="1:8" ht="18.75" customHeight="1" x14ac:dyDescent="0.2"/>
    <row r="17" spans="1:7" ht="19.5" thickBot="1" x14ac:dyDescent="0.25">
      <c r="A17" s="28" t="s">
        <v>16</v>
      </c>
      <c r="B17" s="29"/>
      <c r="C17" s="30"/>
      <c r="D17" s="20"/>
      <c r="E17" s="20"/>
      <c r="F17" s="20"/>
      <c r="G17" s="20"/>
    </row>
    <row r="18" spans="1:7" ht="13.9" customHeight="1" thickBot="1" x14ac:dyDescent="0.25">
      <c r="D18" s="21"/>
      <c r="E18" s="21"/>
      <c r="F18" s="21"/>
      <c r="G18" s="21"/>
    </row>
    <row r="19" spans="1:7" ht="23.25" customHeight="1" x14ac:dyDescent="0.2">
      <c r="A19" s="357" t="s">
        <v>131</v>
      </c>
      <c r="B19" s="358"/>
      <c r="C19" s="358"/>
      <c r="D19" s="358"/>
      <c r="E19" s="358"/>
      <c r="F19" s="358"/>
      <c r="G19" s="359"/>
    </row>
    <row r="20" spans="1:7" ht="16.5" customHeight="1" x14ac:dyDescent="0.2">
      <c r="A20" s="360"/>
      <c r="B20" s="361"/>
      <c r="C20" s="361"/>
      <c r="D20" s="361"/>
      <c r="E20" s="361"/>
      <c r="F20" s="361"/>
      <c r="G20" s="362"/>
    </row>
    <row r="21" spans="1:7" ht="18.75" customHeight="1" x14ac:dyDescent="0.2">
      <c r="A21" s="360"/>
      <c r="B21" s="361"/>
      <c r="C21" s="361"/>
      <c r="D21" s="361"/>
      <c r="E21" s="361"/>
      <c r="F21" s="361"/>
      <c r="G21" s="362"/>
    </row>
    <row r="22" spans="1:7" ht="3.75" customHeight="1" x14ac:dyDescent="0.2">
      <c r="A22" s="360"/>
      <c r="B22" s="361"/>
      <c r="C22" s="361"/>
      <c r="D22" s="361"/>
      <c r="E22" s="361"/>
      <c r="F22" s="361"/>
      <c r="G22" s="362"/>
    </row>
    <row r="23" spans="1:7" ht="13.5" hidden="1" customHeight="1" x14ac:dyDescent="0.2">
      <c r="A23" s="360"/>
      <c r="B23" s="361"/>
      <c r="C23" s="361"/>
      <c r="D23" s="361"/>
      <c r="E23" s="361"/>
      <c r="F23" s="361"/>
      <c r="G23" s="362"/>
    </row>
    <row r="24" spans="1:7" ht="13.5" hidden="1" customHeight="1" x14ac:dyDescent="0.2">
      <c r="A24" s="360"/>
      <c r="B24" s="361"/>
      <c r="C24" s="361"/>
      <c r="D24" s="361"/>
      <c r="E24" s="361"/>
      <c r="F24" s="361"/>
      <c r="G24" s="362"/>
    </row>
    <row r="25" spans="1:7" ht="24" hidden="1" customHeight="1" x14ac:dyDescent="0.2">
      <c r="A25" s="360"/>
      <c r="B25" s="361"/>
      <c r="C25" s="361"/>
      <c r="D25" s="361"/>
      <c r="E25" s="361"/>
      <c r="F25" s="361"/>
      <c r="G25" s="362"/>
    </row>
    <row r="26" spans="1:7" ht="13.5" hidden="1" customHeight="1" x14ac:dyDescent="0.2">
      <c r="A26" s="360"/>
      <c r="B26" s="361"/>
      <c r="C26" s="361"/>
      <c r="D26" s="361"/>
      <c r="E26" s="361"/>
      <c r="F26" s="361"/>
      <c r="G26" s="362"/>
    </row>
    <row r="27" spans="1:7" ht="18.75" hidden="1" customHeight="1" x14ac:dyDescent="0.2">
      <c r="A27" s="360"/>
      <c r="B27" s="361"/>
      <c r="C27" s="361"/>
      <c r="D27" s="361"/>
      <c r="E27" s="361"/>
      <c r="F27" s="361"/>
      <c r="G27" s="362"/>
    </row>
    <row r="28" spans="1:7" ht="13.5" hidden="1" customHeight="1" x14ac:dyDescent="0.2">
      <c r="A28" s="360"/>
      <c r="B28" s="361"/>
      <c r="C28" s="361"/>
      <c r="D28" s="361"/>
      <c r="E28" s="361"/>
      <c r="F28" s="361"/>
      <c r="G28" s="362"/>
    </row>
    <row r="29" spans="1:7" ht="5.25" hidden="1" customHeight="1" x14ac:dyDescent="0.2">
      <c r="A29" s="360"/>
      <c r="B29" s="361"/>
      <c r="C29" s="361"/>
      <c r="D29" s="361"/>
      <c r="E29" s="361"/>
      <c r="F29" s="361"/>
      <c r="G29" s="362"/>
    </row>
    <row r="30" spans="1:7" ht="13.5" hidden="1" customHeight="1" x14ac:dyDescent="0.2">
      <c r="A30" s="360"/>
      <c r="B30" s="361"/>
      <c r="C30" s="361"/>
      <c r="D30" s="361"/>
      <c r="E30" s="361"/>
      <c r="F30" s="361"/>
      <c r="G30" s="362"/>
    </row>
    <row r="31" spans="1:7" ht="7.5" hidden="1" customHeight="1" x14ac:dyDescent="0.2">
      <c r="A31" s="360"/>
      <c r="B31" s="361"/>
      <c r="C31" s="361"/>
      <c r="D31" s="361"/>
      <c r="E31" s="361"/>
      <c r="F31" s="361"/>
      <c r="G31" s="362"/>
    </row>
    <row r="32" spans="1:7" hidden="1" x14ac:dyDescent="0.2">
      <c r="A32" s="360"/>
      <c r="B32" s="361"/>
      <c r="C32" s="361"/>
      <c r="D32" s="361"/>
      <c r="E32" s="361"/>
      <c r="F32" s="361"/>
      <c r="G32" s="362"/>
    </row>
    <row r="33" spans="1:10" ht="12" hidden="1" customHeight="1" x14ac:dyDescent="0.2">
      <c r="A33" s="360"/>
      <c r="B33" s="361"/>
      <c r="C33" s="361"/>
      <c r="D33" s="361"/>
      <c r="E33" s="361"/>
      <c r="F33" s="361"/>
      <c r="G33" s="362"/>
    </row>
    <row r="34" spans="1:10" ht="19.5" hidden="1" customHeight="1" x14ac:dyDescent="0.2">
      <c r="A34" s="360"/>
      <c r="B34" s="361"/>
      <c r="C34" s="361"/>
      <c r="D34" s="361"/>
      <c r="E34" s="361"/>
      <c r="F34" s="361"/>
      <c r="G34" s="362"/>
    </row>
    <row r="35" spans="1:10" hidden="1" x14ac:dyDescent="0.2">
      <c r="A35" s="360"/>
      <c r="B35" s="361"/>
      <c r="C35" s="361"/>
      <c r="D35" s="361"/>
      <c r="E35" s="361"/>
      <c r="F35" s="361"/>
      <c r="G35" s="362"/>
    </row>
    <row r="36" spans="1:10" hidden="1" x14ac:dyDescent="0.2">
      <c r="A36" s="360"/>
      <c r="B36" s="361"/>
      <c r="C36" s="361"/>
      <c r="D36" s="361"/>
      <c r="E36" s="361"/>
      <c r="F36" s="361"/>
      <c r="G36" s="362"/>
    </row>
    <row r="37" spans="1:10" ht="12.75" hidden="1" customHeight="1" x14ac:dyDescent="0.2">
      <c r="A37" s="360"/>
      <c r="B37" s="361"/>
      <c r="C37" s="361"/>
      <c r="D37" s="361"/>
      <c r="E37" s="361"/>
      <c r="F37" s="361"/>
      <c r="G37" s="362"/>
    </row>
    <row r="38" spans="1:10" hidden="1" x14ac:dyDescent="0.2">
      <c r="A38" s="360"/>
      <c r="B38" s="361"/>
      <c r="C38" s="361"/>
      <c r="D38" s="361"/>
      <c r="E38" s="361"/>
      <c r="F38" s="361"/>
      <c r="G38" s="362"/>
    </row>
    <row r="39" spans="1:10" ht="18.75" hidden="1" customHeight="1" x14ac:dyDescent="0.2">
      <c r="A39" s="360"/>
      <c r="B39" s="361"/>
      <c r="C39" s="361"/>
      <c r="D39" s="361"/>
      <c r="E39" s="361"/>
      <c r="F39" s="361"/>
      <c r="G39" s="362"/>
      <c r="J39" s="171"/>
    </row>
    <row r="40" spans="1:10" ht="12.75" hidden="1" customHeight="1" x14ac:dyDescent="0.2">
      <c r="A40" s="360"/>
      <c r="B40" s="361"/>
      <c r="C40" s="361"/>
      <c r="D40" s="361"/>
      <c r="E40" s="361"/>
      <c r="F40" s="361"/>
      <c r="G40" s="362"/>
      <c r="J40" s="172"/>
    </row>
    <row r="41" spans="1:10" ht="23.25" hidden="1" customHeight="1" x14ac:dyDescent="0.2">
      <c r="A41" s="360"/>
      <c r="B41" s="361"/>
      <c r="C41" s="361"/>
      <c r="D41" s="361"/>
      <c r="E41" s="361"/>
      <c r="F41" s="361"/>
      <c r="G41" s="362"/>
      <c r="J41" s="172"/>
    </row>
    <row r="42" spans="1:10" ht="15" hidden="1" customHeight="1" x14ac:dyDescent="0.2">
      <c r="A42" s="360"/>
      <c r="B42" s="361"/>
      <c r="C42" s="361"/>
      <c r="D42" s="361"/>
      <c r="E42" s="361"/>
      <c r="F42" s="361"/>
      <c r="G42" s="362"/>
      <c r="J42" s="172"/>
    </row>
    <row r="43" spans="1:10" ht="34.5" hidden="1" customHeight="1" x14ac:dyDescent="0.2">
      <c r="A43" s="360"/>
      <c r="B43" s="361"/>
      <c r="C43" s="361"/>
      <c r="D43" s="361"/>
      <c r="E43" s="361"/>
      <c r="F43" s="361"/>
      <c r="G43" s="362"/>
      <c r="J43" s="172"/>
    </row>
    <row r="44" spans="1:10" ht="15.75" hidden="1" customHeight="1" x14ac:dyDescent="0.2">
      <c r="A44" s="360"/>
      <c r="B44" s="361"/>
      <c r="C44" s="361"/>
      <c r="D44" s="361"/>
      <c r="E44" s="361"/>
      <c r="F44" s="361"/>
      <c r="G44" s="362"/>
      <c r="J44" s="172"/>
    </row>
    <row r="45" spans="1:10" ht="9" hidden="1" customHeight="1" x14ac:dyDescent="0.2">
      <c r="A45" s="360"/>
      <c r="B45" s="361"/>
      <c r="C45" s="361"/>
      <c r="D45" s="361"/>
      <c r="E45" s="361"/>
      <c r="F45" s="361"/>
      <c r="G45" s="362"/>
      <c r="J45" s="172"/>
    </row>
    <row r="46" spans="1:10" ht="15" hidden="1" customHeight="1" x14ac:dyDescent="0.2">
      <c r="A46" s="360"/>
      <c r="B46" s="361"/>
      <c r="C46" s="361"/>
      <c r="D46" s="361"/>
      <c r="E46" s="361"/>
      <c r="F46" s="361"/>
      <c r="G46" s="362"/>
      <c r="J46" s="172"/>
    </row>
    <row r="47" spans="1:10" ht="26.25" hidden="1" customHeight="1" x14ac:dyDescent="0.2">
      <c r="A47" s="360"/>
      <c r="B47" s="361"/>
      <c r="C47" s="361"/>
      <c r="D47" s="361"/>
      <c r="E47" s="361"/>
      <c r="F47" s="361"/>
      <c r="G47" s="362"/>
      <c r="J47" s="172"/>
    </row>
    <row r="48" spans="1:10" ht="12.75" hidden="1" customHeight="1" x14ac:dyDescent="0.2">
      <c r="A48" s="360"/>
      <c r="B48" s="361"/>
      <c r="C48" s="361"/>
      <c r="D48" s="361"/>
      <c r="E48" s="361"/>
      <c r="F48" s="361"/>
      <c r="G48" s="362"/>
      <c r="J48" s="172"/>
    </row>
    <row r="49" spans="1:10" ht="12.75" hidden="1" customHeight="1" x14ac:dyDescent="0.2">
      <c r="A49" s="360"/>
      <c r="B49" s="361"/>
      <c r="C49" s="361"/>
      <c r="D49" s="361"/>
      <c r="E49" s="361"/>
      <c r="F49" s="361"/>
      <c r="G49" s="362"/>
      <c r="J49" s="172"/>
    </row>
    <row r="50" spans="1:10" ht="44.25" hidden="1" customHeight="1" x14ac:dyDescent="0.2">
      <c r="A50" s="360"/>
      <c r="B50" s="361"/>
      <c r="C50" s="361"/>
      <c r="D50" s="361"/>
      <c r="E50" s="361"/>
      <c r="F50" s="361"/>
      <c r="G50" s="362"/>
      <c r="J50" s="172"/>
    </row>
    <row r="51" spans="1:10" ht="161.25" customHeight="1" thickBot="1" x14ac:dyDescent="0.25">
      <c r="A51" s="363"/>
      <c r="B51" s="364"/>
      <c r="C51" s="364"/>
      <c r="D51" s="364"/>
      <c r="E51" s="364"/>
      <c r="F51" s="364"/>
      <c r="G51" s="365"/>
      <c r="J51" s="172"/>
    </row>
    <row r="52" spans="1:10" ht="21.75" customHeight="1" x14ac:dyDescent="0.2">
      <c r="H52" s="5"/>
      <c r="J52" s="172"/>
    </row>
    <row r="53" spans="1:10" ht="23.25" customHeight="1" x14ac:dyDescent="0.2">
      <c r="H53" s="5"/>
      <c r="J53" s="172"/>
    </row>
    <row r="54" spans="1:10" ht="20.25" customHeight="1" x14ac:dyDescent="0.2">
      <c r="H54" s="6"/>
      <c r="J54" s="172"/>
    </row>
    <row r="55" spans="1:10" ht="15.75" customHeight="1" x14ac:dyDescent="0.2">
      <c r="H55" s="7"/>
      <c r="J55" s="172"/>
    </row>
    <row r="56" spans="1:10" ht="12.75" customHeight="1" x14ac:dyDescent="0.2">
      <c r="H56" s="15"/>
      <c r="J56" s="172"/>
    </row>
    <row r="57" spans="1:10" ht="12.75" customHeight="1" x14ac:dyDescent="0.2">
      <c r="H57" s="15"/>
      <c r="J57" s="172"/>
    </row>
    <row r="58" spans="1:10" ht="13.5" customHeight="1" x14ac:dyDescent="0.2">
      <c r="H58" s="15"/>
    </row>
    <row r="59" spans="1:10" ht="12.75" customHeight="1" x14ac:dyDescent="0.2">
      <c r="H59" s="15"/>
    </row>
    <row r="60" spans="1:10" ht="12.75" customHeight="1" x14ac:dyDescent="0.2">
      <c r="H60" s="15"/>
    </row>
    <row r="61" spans="1:10" ht="12.75" customHeight="1" x14ac:dyDescent="0.2">
      <c r="H61" s="15"/>
    </row>
    <row r="62" spans="1:10" ht="12.75" customHeight="1" x14ac:dyDescent="0.2">
      <c r="H62" s="15"/>
    </row>
    <row r="63" spans="1:10" ht="12.75" customHeight="1" x14ac:dyDescent="0.2">
      <c r="H63" s="15"/>
    </row>
    <row r="64" spans="1:10" ht="12.75" customHeight="1" x14ac:dyDescent="0.2">
      <c r="H64" s="15"/>
      <c r="J64" s="178"/>
    </row>
    <row r="65" spans="8:10" ht="12.75" customHeight="1" x14ac:dyDescent="0.2">
      <c r="H65" s="15"/>
      <c r="J65" s="178"/>
    </row>
    <row r="66" spans="8:10" ht="12.75" customHeight="1" x14ac:dyDescent="0.2">
      <c r="H66" s="15"/>
    </row>
    <row r="67" spans="8:10" ht="13.5" customHeight="1" x14ac:dyDescent="0.2"/>
    <row r="68" spans="8:10" ht="12.75" customHeight="1" x14ac:dyDescent="0.2"/>
    <row r="69" spans="8:10" ht="12.75" customHeight="1" x14ac:dyDescent="0.2"/>
    <row r="70" spans="8:10" ht="12.75" customHeight="1" x14ac:dyDescent="0.2"/>
    <row r="71" spans="8:10" ht="12.75" customHeight="1" x14ac:dyDescent="0.2"/>
    <row r="72" spans="8:10" ht="12.75" customHeight="1" x14ac:dyDescent="0.2"/>
    <row r="73" spans="8:10" ht="12.75" customHeight="1" x14ac:dyDescent="0.2"/>
    <row r="74" spans="8:10" ht="12.75" customHeight="1" x14ac:dyDescent="0.2"/>
    <row r="75" spans="8:10" ht="12.75" customHeight="1" x14ac:dyDescent="0.2"/>
    <row r="76" spans="8:10" ht="12.75" customHeight="1" x14ac:dyDescent="0.2"/>
    <row r="77" spans="8:10" ht="12.75" customHeight="1" x14ac:dyDescent="0.2"/>
    <row r="78" spans="8:10" ht="13.5" customHeight="1" x14ac:dyDescent="0.2"/>
    <row r="79" spans="8:10" ht="12.75" customHeight="1" x14ac:dyDescent="0.2"/>
    <row r="80" spans="8:10" ht="12.75" customHeight="1" x14ac:dyDescent="0.2"/>
    <row r="81" spans="12:17" ht="177" customHeight="1" x14ac:dyDescent="0.2"/>
    <row r="82" spans="12:17" ht="12.75" customHeight="1" x14ac:dyDescent="0.2"/>
    <row r="83" spans="12:17" ht="12.75" customHeight="1" x14ac:dyDescent="0.2"/>
    <row r="84" spans="12:17" ht="12.75" customHeight="1" x14ac:dyDescent="0.2"/>
    <row r="85" spans="12:17" ht="12.75" customHeight="1" x14ac:dyDescent="0.2"/>
    <row r="86" spans="12:17" ht="12.75" customHeight="1" x14ac:dyDescent="0.2"/>
    <row r="87" spans="12:17" ht="12.75" customHeight="1" x14ac:dyDescent="0.2"/>
    <row r="88" spans="12:17" ht="71.25" customHeight="1" x14ac:dyDescent="0.2"/>
    <row r="92" spans="12:17" x14ac:dyDescent="0.2">
      <c r="L92" s="172"/>
    </row>
    <row r="93" spans="12:17" x14ac:dyDescent="0.2">
      <c r="L93" s="172"/>
    </row>
    <row r="94" spans="12:17" x14ac:dyDescent="0.2">
      <c r="L94" s="172"/>
    </row>
    <row r="95" spans="12:17" x14ac:dyDescent="0.2">
      <c r="L95" s="172"/>
    </row>
    <row r="96" spans="12:17" x14ac:dyDescent="0.2">
      <c r="L96" s="172"/>
      <c r="M96" s="172"/>
      <c r="N96" s="172"/>
      <c r="O96" s="172"/>
      <c r="P96" s="172"/>
      <c r="Q96" s="172"/>
    </row>
    <row r="97" spans="12:17" x14ac:dyDescent="0.2">
      <c r="L97" s="172"/>
      <c r="M97" s="172"/>
      <c r="N97" s="172"/>
      <c r="O97" s="172"/>
      <c r="P97" s="172"/>
      <c r="Q97" s="172"/>
    </row>
    <row r="98" spans="12:17" x14ac:dyDescent="0.2">
      <c r="L98" s="172"/>
      <c r="M98" s="172"/>
      <c r="N98" s="172"/>
      <c r="O98" s="172"/>
      <c r="P98" s="172"/>
      <c r="Q98" s="172"/>
    </row>
    <row r="99" spans="12:17" x14ac:dyDescent="0.2">
      <c r="L99" s="172"/>
      <c r="M99" s="172"/>
      <c r="N99" s="172"/>
      <c r="O99" s="172"/>
      <c r="P99" s="172"/>
      <c r="Q99" s="172"/>
    </row>
    <row r="100" spans="12:17" x14ac:dyDescent="0.2">
      <c r="L100" s="172"/>
      <c r="M100" s="172"/>
      <c r="N100" s="172"/>
      <c r="O100" s="172"/>
      <c r="P100" s="172"/>
      <c r="Q100" s="172"/>
    </row>
    <row r="101" spans="12:17" x14ac:dyDescent="0.2">
      <c r="L101" s="172"/>
      <c r="M101" s="172"/>
      <c r="N101" s="172"/>
      <c r="O101" s="172"/>
      <c r="P101" s="172"/>
      <c r="Q101" s="172"/>
    </row>
  </sheetData>
  <mergeCells count="8">
    <mergeCell ref="A19:G51"/>
    <mergeCell ref="E12:F13"/>
    <mergeCell ref="G12:G13"/>
    <mergeCell ref="A1:E1"/>
    <mergeCell ref="A4:B5"/>
    <mergeCell ref="C4:D5"/>
    <mergeCell ref="E10:F11"/>
    <mergeCell ref="G10:G11"/>
  </mergeCells>
  <conditionalFormatting sqref="H52:H53">
    <cfRule type="expression" dxfId="181" priority="22">
      <formula>ISNUMBER(SEARCH(TEXT(#REF!,"ddd"),#REF!))</formula>
    </cfRule>
  </conditionalFormatting>
  <conditionalFormatting sqref="A10:D10 D11:D12 A11:A12 B11:C13">
    <cfRule type="expression" dxfId="180" priority="23">
      <formula>ISNUMBER(SEARCH(TEXT(#REF!,"ddd"),#REF!))</formula>
    </cfRule>
  </conditionalFormatting>
  <conditionalFormatting sqref="A13 D13">
    <cfRule type="expression" dxfId="179" priority="20">
      <formula>ISNUMBER(SEARCH(TEXT(#REF!,"ddd"),#REF!))</formula>
    </cfRule>
  </conditionalFormatting>
  <conditionalFormatting sqref="N96:O100">
    <cfRule type="expression" dxfId="178" priority="3">
      <formula>ISNUMBER(SEARCH(TEXT(#REF!,"ddd"),#REF!))</formula>
    </cfRule>
  </conditionalFormatting>
  <conditionalFormatting sqref="P96:P100">
    <cfRule type="expression" dxfId="177" priority="2">
      <formula>ISNUMBER(SEARCH(TEXT(#REF!,"ddd"),#REF!))</formula>
    </cfRule>
  </conditionalFormatting>
  <conditionalFormatting sqref="M96:M100">
    <cfRule type="expression" dxfId="176" priority="1">
      <formula>ISNUMBER(SEARCH(TEXT(#REF!,"ddd"),#REF!))</formula>
    </cfRule>
  </conditionalFormatting>
  <dataValidations count="2">
    <dataValidation type="custom" allowBlank="1" showInputMessage="1" showErrorMessage="1" sqref="B10:B13" xr:uid="{BAEA31BC-4325-4B43-9A74-A331AAC52843}">
      <formula1>AND($B10&lt;=1,ISNUMBER($B10))</formula1>
    </dataValidation>
    <dataValidation type="custom" allowBlank="1" showInputMessage="1" showErrorMessage="1" sqref="C10:C13" xr:uid="{9C4DB6EA-5AFD-478C-A629-2F347D4492E1}">
      <formula1>AND($C10&lt;=1,ISNUMBER($C10),($C10&gt;=$B10))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B7D20-32CC-40C2-AE81-3A83F0E20566}">
  <sheetPr codeName="Sheet21">
    <pageSetUpPr fitToPage="1"/>
  </sheetPr>
  <dimension ref="A1:Q101"/>
  <sheetViews>
    <sheetView showGridLines="0" zoomScaleNormal="100" workbookViewId="0">
      <selection activeCell="J22" sqref="J22"/>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WEEKNUM(A12)</f>
        <v>13</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43913</v>
      </c>
      <c r="B3" s="133"/>
      <c r="C3" s="134">
        <f>A26</f>
        <v>43918</v>
      </c>
      <c r="D3" s="32"/>
      <c r="E3" s="126" t="s">
        <v>5</v>
      </c>
      <c r="F3" s="138">
        <f>Sumcolor(E3,D10:D31)</f>
        <v>0</v>
      </c>
      <c r="G3" s="201">
        <f>SUM(Først:Sist!F3)</f>
        <v>0.76388888888888862</v>
      </c>
      <c r="H3" s="12"/>
    </row>
    <row r="4" spans="1:8" ht="15.75" x14ac:dyDescent="0.2">
      <c r="A4" s="357" t="s">
        <v>85</v>
      </c>
      <c r="B4" s="358"/>
      <c r="C4" s="358" t="s">
        <v>86</v>
      </c>
      <c r="D4" s="358"/>
      <c r="E4" s="127" t="s">
        <v>7</v>
      </c>
      <c r="F4" s="138">
        <f>Sumcolor(E4,D10:D31)</f>
        <v>0.45833333333333337</v>
      </c>
      <c r="G4" s="201">
        <f>SUM(Først:Sist!F4)</f>
        <v>3.8298611111111116</v>
      </c>
      <c r="H4" s="12"/>
    </row>
    <row r="5" spans="1:8" ht="20.25" customHeight="1" x14ac:dyDescent="0.2">
      <c r="A5" s="360"/>
      <c r="B5" s="361"/>
      <c r="C5" s="361"/>
      <c r="D5" s="361"/>
      <c r="E5" s="128" t="s">
        <v>8</v>
      </c>
      <c r="F5" s="138">
        <f>Sumcolor(E5,D10:D31)</f>
        <v>3.819444444444442E-2</v>
      </c>
      <c r="G5" s="201">
        <f>SUM(Først:Sist!F5)</f>
        <v>0.90972222222222132</v>
      </c>
      <c r="H5" s="12"/>
    </row>
    <row r="6" spans="1:8" ht="21.75" thickBot="1" x14ac:dyDescent="0.25">
      <c r="A6" s="125">
        <f>SUM(D10:D31)</f>
        <v>0.64236111111111105</v>
      </c>
      <c r="B6" s="34"/>
      <c r="C6" s="124">
        <f>SUM(Først:Sist!A6)</f>
        <v>7.6006944444444429</v>
      </c>
      <c r="D6" s="35"/>
      <c r="E6" s="129" t="s">
        <v>9</v>
      </c>
      <c r="F6" s="140">
        <f>Sumcolor(E6,D10:D31)</f>
        <v>0.14583333333333326</v>
      </c>
      <c r="G6" s="202">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 customHeight="1" x14ac:dyDescent="0.2">
      <c r="A10" s="146">
        <v>43913</v>
      </c>
      <c r="B10" s="147">
        <v>0.58333333333333337</v>
      </c>
      <c r="C10" s="147">
        <v>0.60416666666666663</v>
      </c>
      <c r="D10" s="148">
        <f>(C10-B10)</f>
        <v>2.0833333333333259E-2</v>
      </c>
      <c r="E10" s="409" t="s">
        <v>130</v>
      </c>
      <c r="F10" s="410"/>
      <c r="G10" s="199"/>
    </row>
    <row r="11" spans="1:8" ht="11.25" customHeight="1" thickBot="1" x14ac:dyDescent="0.25">
      <c r="A11" s="168"/>
      <c r="B11" s="169"/>
      <c r="C11" s="169"/>
      <c r="D11" s="170"/>
      <c r="E11" s="411"/>
      <c r="F11" s="412"/>
      <c r="G11" s="200"/>
    </row>
    <row r="12" spans="1:8" ht="16.5" customHeight="1" x14ac:dyDescent="0.2">
      <c r="A12" s="162">
        <v>43914</v>
      </c>
      <c r="B12" s="163">
        <v>0.56597222222222221</v>
      </c>
      <c r="C12" s="163">
        <v>0.69097222222222221</v>
      </c>
      <c r="D12" s="164">
        <f>(C12-B12)</f>
        <v>0.125</v>
      </c>
      <c r="E12" s="415" t="s">
        <v>128</v>
      </c>
      <c r="F12" s="416"/>
      <c r="G12" s="197" t="s">
        <v>112</v>
      </c>
    </row>
    <row r="13" spans="1:8" ht="15.75" customHeight="1" thickBot="1" x14ac:dyDescent="0.25">
      <c r="A13" s="165"/>
      <c r="B13" s="166"/>
      <c r="C13" s="166"/>
      <c r="D13" s="167"/>
      <c r="E13" s="417"/>
      <c r="F13" s="418"/>
      <c r="G13" s="198"/>
    </row>
    <row r="14" spans="1:8" ht="12.75" customHeight="1" x14ac:dyDescent="0.2">
      <c r="A14" s="162">
        <v>43914</v>
      </c>
      <c r="B14" s="163">
        <v>0.86458333333333337</v>
      </c>
      <c r="C14" s="163">
        <v>1</v>
      </c>
      <c r="D14" s="164">
        <f>(C14-B14)</f>
        <v>0.13541666666666663</v>
      </c>
      <c r="E14" s="415" t="s">
        <v>135</v>
      </c>
      <c r="F14" s="416"/>
      <c r="G14" s="197" t="s">
        <v>112</v>
      </c>
    </row>
    <row r="15" spans="1:8" ht="18.75" customHeight="1" thickBot="1" x14ac:dyDescent="0.25">
      <c r="A15" s="165"/>
      <c r="B15" s="166"/>
      <c r="C15" s="166"/>
      <c r="D15" s="167"/>
      <c r="E15" s="417"/>
      <c r="F15" s="418"/>
      <c r="G15" s="198"/>
    </row>
    <row r="16" spans="1:8" ht="15.75" customHeight="1" x14ac:dyDescent="0.2">
      <c r="A16" s="162">
        <v>43915</v>
      </c>
      <c r="B16" s="181">
        <v>4.1666666666666664E-2</v>
      </c>
      <c r="C16" s="181">
        <v>0.1076388888888889</v>
      </c>
      <c r="D16" s="182">
        <f>(C16-B16)</f>
        <v>6.5972222222222238E-2</v>
      </c>
      <c r="E16" s="396" t="s">
        <v>134</v>
      </c>
      <c r="F16" s="397"/>
      <c r="G16" s="185" t="s">
        <v>112</v>
      </c>
    </row>
    <row r="17" spans="1:7" ht="16.5" thickBot="1" x14ac:dyDescent="0.25">
      <c r="A17" s="183"/>
      <c r="B17" s="166"/>
      <c r="C17" s="166"/>
      <c r="D17" s="167"/>
      <c r="E17" s="398"/>
      <c r="F17" s="399"/>
      <c r="G17" s="198"/>
    </row>
    <row r="18" spans="1:7" ht="13.9" customHeight="1" x14ac:dyDescent="0.2">
      <c r="A18" s="162">
        <v>43915</v>
      </c>
      <c r="B18" s="181">
        <v>0.85416666666666663</v>
      </c>
      <c r="C18" s="181">
        <v>0.875</v>
      </c>
      <c r="D18" s="182">
        <f>(C18-B18)</f>
        <v>2.083333333333337E-2</v>
      </c>
      <c r="E18" s="415" t="s">
        <v>136</v>
      </c>
      <c r="F18" s="416"/>
      <c r="G18" s="197" t="s">
        <v>112</v>
      </c>
    </row>
    <row r="19" spans="1:7" ht="14.25" customHeight="1" thickBot="1" x14ac:dyDescent="0.25">
      <c r="A19" s="183"/>
      <c r="B19" s="166"/>
      <c r="C19" s="166"/>
      <c r="D19" s="167"/>
      <c r="E19" s="417"/>
      <c r="F19" s="418"/>
      <c r="G19" s="198"/>
    </row>
    <row r="20" spans="1:7" ht="16.899999999999999" customHeight="1" x14ac:dyDescent="0.2">
      <c r="A20" s="162">
        <v>43915</v>
      </c>
      <c r="B20" s="181">
        <v>0.91666666666666663</v>
      </c>
      <c r="C20" s="181">
        <v>0.95833333333333337</v>
      </c>
      <c r="D20" s="182">
        <f>(C20-B20)</f>
        <v>4.1666666666666741E-2</v>
      </c>
      <c r="E20" s="396" t="s">
        <v>133</v>
      </c>
      <c r="F20" s="397"/>
      <c r="G20" s="185" t="s">
        <v>112</v>
      </c>
    </row>
    <row r="21" spans="1:7" ht="12" customHeight="1" thickBot="1" x14ac:dyDescent="0.25">
      <c r="A21" s="183"/>
      <c r="B21" s="166"/>
      <c r="C21" s="166"/>
      <c r="D21" s="167"/>
      <c r="E21" s="398"/>
      <c r="F21" s="399"/>
      <c r="G21" s="198"/>
    </row>
    <row r="22" spans="1:7" ht="13.9" customHeight="1" x14ac:dyDescent="0.2">
      <c r="A22" s="146">
        <v>43917</v>
      </c>
      <c r="B22" s="176">
        <v>0.50347222222222221</v>
      </c>
      <c r="C22" s="176">
        <v>0.52083333333333337</v>
      </c>
      <c r="D22" s="177">
        <f>(C22-B22)</f>
        <v>1.736111111111116E-2</v>
      </c>
      <c r="E22" s="392" t="s">
        <v>129</v>
      </c>
      <c r="F22" s="393"/>
      <c r="G22" s="184"/>
    </row>
    <row r="23" spans="1:7" ht="19.5" customHeight="1" thickBot="1" x14ac:dyDescent="0.25">
      <c r="A23" s="175"/>
      <c r="B23" s="169"/>
      <c r="C23" s="169"/>
      <c r="D23" s="170"/>
      <c r="E23" s="394"/>
      <c r="F23" s="395"/>
      <c r="G23" s="198"/>
    </row>
    <row r="24" spans="1:7" ht="13.9" customHeight="1" x14ac:dyDescent="0.2">
      <c r="A24" s="162">
        <v>43917</v>
      </c>
      <c r="B24" s="163">
        <v>0.5625</v>
      </c>
      <c r="C24" s="163">
        <v>0.63194444444444442</v>
      </c>
      <c r="D24" s="164">
        <f>(C24-B24)</f>
        <v>6.944444444444442E-2</v>
      </c>
      <c r="E24" s="396" t="s">
        <v>132</v>
      </c>
      <c r="F24" s="397"/>
      <c r="G24" s="185"/>
    </row>
    <row r="25" spans="1:7" ht="34.5" customHeight="1" thickBot="1" x14ac:dyDescent="0.25">
      <c r="A25" s="183"/>
      <c r="B25" s="166"/>
      <c r="C25" s="166"/>
      <c r="D25" s="167"/>
      <c r="E25" s="398"/>
      <c r="F25" s="399"/>
      <c r="G25" s="184"/>
    </row>
    <row r="26" spans="1:7" ht="13.9" customHeight="1" x14ac:dyDescent="0.2">
      <c r="A26" s="156">
        <v>43918</v>
      </c>
      <c r="B26" s="144">
        <v>0.59722222222222221</v>
      </c>
      <c r="C26" s="144">
        <v>0.62847222222222221</v>
      </c>
      <c r="D26" s="145">
        <f>(C26-B26)</f>
        <v>3.125E-2</v>
      </c>
      <c r="E26" s="380" t="s">
        <v>137</v>
      </c>
      <c r="F26" s="381"/>
      <c r="G26" s="400"/>
    </row>
    <row r="27" spans="1:7" ht="18.75" customHeight="1" thickBot="1" x14ac:dyDescent="0.25">
      <c r="A27" s="150"/>
      <c r="B27" s="151"/>
      <c r="C27" s="151"/>
      <c r="D27" s="152"/>
      <c r="E27" s="382"/>
      <c r="F27" s="383"/>
      <c r="G27" s="401"/>
    </row>
    <row r="28" spans="1:7" ht="13.9" customHeight="1" x14ac:dyDescent="0.2">
      <c r="A28" s="156">
        <v>43919</v>
      </c>
      <c r="B28" s="157">
        <v>0.86458333333333337</v>
      </c>
      <c r="C28" s="157">
        <v>0.97916666666666663</v>
      </c>
      <c r="D28" s="158">
        <f>C28-B28</f>
        <v>0.11458333333333326</v>
      </c>
      <c r="E28" s="390" t="s">
        <v>138</v>
      </c>
      <c r="F28" s="391"/>
      <c r="G28" s="195"/>
    </row>
    <row r="29" spans="1:7" ht="35.25" customHeight="1" thickBot="1" x14ac:dyDescent="0.25">
      <c r="A29" s="159"/>
      <c r="B29" s="160"/>
      <c r="C29" s="160"/>
      <c r="D29" s="161"/>
      <c r="E29" s="382"/>
      <c r="F29" s="383"/>
      <c r="G29" s="196"/>
    </row>
    <row r="30" spans="1:7" ht="13.9" customHeight="1" x14ac:dyDescent="0.2">
      <c r="A30" s="178"/>
    </row>
    <row r="31" spans="1:7" ht="21" customHeight="1" x14ac:dyDescent="0.2"/>
    <row r="33" spans="1:11" ht="12" customHeight="1" x14ac:dyDescent="0.2"/>
    <row r="34" spans="1:11" ht="19.5" customHeight="1" x14ac:dyDescent="0.2"/>
    <row r="37" spans="1:11" ht="21.75" customHeight="1" x14ac:dyDescent="0.2">
      <c r="H37" s="5"/>
    </row>
    <row r="38" spans="1:11" x14ac:dyDescent="0.2">
      <c r="H38" s="5"/>
    </row>
    <row r="39" spans="1:11" ht="18.75" customHeight="1" x14ac:dyDescent="0.2">
      <c r="H39" s="6"/>
      <c r="J39" s="171"/>
      <c r="K39" s="172"/>
    </row>
    <row r="40" spans="1:11" ht="12.75" customHeight="1" x14ac:dyDescent="0.2">
      <c r="H40" s="7"/>
      <c r="J40" s="172"/>
      <c r="K40" s="172"/>
    </row>
    <row r="41" spans="1:11" ht="23.25" customHeight="1" x14ac:dyDescent="0.2">
      <c r="H41" s="15"/>
      <c r="J41" s="172"/>
      <c r="K41" s="172"/>
    </row>
    <row r="42" spans="1:11" ht="15" customHeight="1" x14ac:dyDescent="0.2">
      <c r="H42" s="15"/>
      <c r="J42" s="172"/>
      <c r="K42" s="172"/>
    </row>
    <row r="43" spans="1:11" ht="34.5" customHeight="1" x14ac:dyDescent="0.2">
      <c r="H43" s="15"/>
      <c r="J43" s="172"/>
      <c r="K43" s="172"/>
    </row>
    <row r="44" spans="1:11" ht="15.75" customHeight="1" x14ac:dyDescent="0.2">
      <c r="H44" s="15"/>
      <c r="J44" s="172"/>
      <c r="K44" s="172"/>
    </row>
    <row r="45" spans="1:11" ht="9" customHeight="1" x14ac:dyDescent="0.2">
      <c r="H45" s="15"/>
      <c r="J45" s="172"/>
      <c r="K45" s="172"/>
    </row>
    <row r="46" spans="1:11" ht="15" customHeight="1" x14ac:dyDescent="0.2">
      <c r="H46" s="15"/>
      <c r="J46" s="172"/>
      <c r="K46" s="172"/>
    </row>
    <row r="47" spans="1:11" ht="26.25" customHeight="1" thickBot="1" x14ac:dyDescent="0.25">
      <c r="A47" s="28" t="s">
        <v>16</v>
      </c>
      <c r="B47" s="29"/>
      <c r="C47" s="30"/>
      <c r="D47" s="20"/>
      <c r="E47" s="20"/>
      <c r="F47" s="20"/>
      <c r="G47" s="20"/>
      <c r="H47" s="15"/>
      <c r="J47" s="172"/>
    </row>
    <row r="48" spans="1:11" ht="12.75" customHeight="1" thickBot="1" x14ac:dyDescent="0.25">
      <c r="D48" s="21"/>
      <c r="E48" s="21"/>
      <c r="F48" s="21"/>
      <c r="G48" s="21"/>
      <c r="H48" s="15"/>
      <c r="J48" s="172"/>
    </row>
    <row r="49" spans="1:10" ht="12.75" customHeight="1" x14ac:dyDescent="0.2">
      <c r="A49" s="357" t="s">
        <v>139</v>
      </c>
      <c r="B49" s="358"/>
      <c r="C49" s="358"/>
      <c r="D49" s="358"/>
      <c r="E49" s="358"/>
      <c r="F49" s="358"/>
      <c r="G49" s="359"/>
      <c r="H49" s="15"/>
      <c r="J49" s="172"/>
    </row>
    <row r="50" spans="1:10" ht="12.75" customHeight="1" x14ac:dyDescent="0.2">
      <c r="A50" s="360"/>
      <c r="B50" s="361"/>
      <c r="C50" s="361"/>
      <c r="D50" s="361"/>
      <c r="E50" s="361"/>
      <c r="F50" s="361"/>
      <c r="G50" s="362"/>
      <c r="H50" s="15"/>
      <c r="J50" s="172"/>
    </row>
    <row r="51" spans="1:10" ht="12.75" customHeight="1" x14ac:dyDescent="0.2">
      <c r="A51" s="360"/>
      <c r="B51" s="361"/>
      <c r="C51" s="361"/>
      <c r="D51" s="361"/>
      <c r="E51" s="361"/>
      <c r="F51" s="361"/>
      <c r="G51" s="362"/>
      <c r="H51" s="15"/>
      <c r="J51" s="172"/>
    </row>
    <row r="52" spans="1:10" ht="21.75" customHeight="1" x14ac:dyDescent="0.2">
      <c r="A52" s="360"/>
      <c r="B52" s="361"/>
      <c r="C52" s="361"/>
      <c r="D52" s="361"/>
      <c r="E52" s="361"/>
      <c r="F52" s="361"/>
      <c r="G52" s="362"/>
      <c r="J52" s="172"/>
    </row>
    <row r="53" spans="1:10" ht="23.25" customHeight="1" x14ac:dyDescent="0.2">
      <c r="A53" s="360"/>
      <c r="B53" s="361"/>
      <c r="C53" s="361"/>
      <c r="D53" s="361"/>
      <c r="E53" s="361"/>
      <c r="F53" s="361"/>
      <c r="G53" s="362"/>
      <c r="J53" s="172"/>
    </row>
    <row r="54" spans="1:10" ht="20.25" customHeight="1" x14ac:dyDescent="0.2">
      <c r="A54" s="360"/>
      <c r="B54" s="361"/>
      <c r="C54" s="361"/>
      <c r="D54" s="361"/>
      <c r="E54" s="361"/>
      <c r="F54" s="361"/>
      <c r="G54" s="362"/>
      <c r="J54" s="172"/>
    </row>
    <row r="55" spans="1:10" ht="15.75" customHeight="1" x14ac:dyDescent="0.2">
      <c r="A55" s="360"/>
      <c r="B55" s="361"/>
      <c r="C55" s="361"/>
      <c r="D55" s="361"/>
      <c r="E55" s="361"/>
      <c r="F55" s="361"/>
      <c r="G55" s="362"/>
      <c r="J55" s="172"/>
    </row>
    <row r="56" spans="1:10" ht="12.75" customHeight="1" x14ac:dyDescent="0.2">
      <c r="A56" s="360"/>
      <c r="B56" s="361"/>
      <c r="C56" s="361"/>
      <c r="D56" s="361"/>
      <c r="E56" s="361"/>
      <c r="F56" s="361"/>
      <c r="G56" s="362"/>
      <c r="J56" s="172"/>
    </row>
    <row r="57" spans="1:10" ht="12.75" customHeight="1" x14ac:dyDescent="0.2">
      <c r="A57" s="360"/>
      <c r="B57" s="361"/>
      <c r="C57" s="361"/>
      <c r="D57" s="361"/>
      <c r="E57" s="361"/>
      <c r="F57" s="361"/>
      <c r="G57" s="362"/>
      <c r="J57" s="172"/>
    </row>
    <row r="58" spans="1:10" ht="13.5" customHeight="1" x14ac:dyDescent="0.2">
      <c r="A58" s="360"/>
      <c r="B58" s="361"/>
      <c r="C58" s="361"/>
      <c r="D58" s="361"/>
      <c r="E58" s="361"/>
      <c r="F58" s="361"/>
      <c r="G58" s="362"/>
    </row>
    <row r="59" spans="1:10" ht="12.75" customHeight="1" x14ac:dyDescent="0.2">
      <c r="A59" s="360"/>
      <c r="B59" s="361"/>
      <c r="C59" s="361"/>
      <c r="D59" s="361"/>
      <c r="E59" s="361"/>
      <c r="F59" s="361"/>
      <c r="G59" s="362"/>
    </row>
    <row r="60" spans="1:10" ht="12.75" customHeight="1" x14ac:dyDescent="0.2">
      <c r="A60" s="360"/>
      <c r="B60" s="361"/>
      <c r="C60" s="361"/>
      <c r="D60" s="361"/>
      <c r="E60" s="361"/>
      <c r="F60" s="361"/>
      <c r="G60" s="362"/>
    </row>
    <row r="61" spans="1:10" ht="12.75" customHeight="1" x14ac:dyDescent="0.2">
      <c r="A61" s="360"/>
      <c r="B61" s="361"/>
      <c r="C61" s="361"/>
      <c r="D61" s="361"/>
      <c r="E61" s="361"/>
      <c r="F61" s="361"/>
      <c r="G61" s="362"/>
    </row>
    <row r="62" spans="1:10" ht="12.75" customHeight="1" x14ac:dyDescent="0.2">
      <c r="A62" s="360"/>
      <c r="B62" s="361"/>
      <c r="C62" s="361"/>
      <c r="D62" s="361"/>
      <c r="E62" s="361"/>
      <c r="F62" s="361"/>
      <c r="G62" s="362"/>
    </row>
    <row r="63" spans="1:10" ht="12.75" customHeight="1" x14ac:dyDescent="0.2">
      <c r="A63" s="360"/>
      <c r="B63" s="361"/>
      <c r="C63" s="361"/>
      <c r="D63" s="361"/>
      <c r="E63" s="361"/>
      <c r="F63" s="361"/>
      <c r="G63" s="362"/>
    </row>
    <row r="64" spans="1:10" ht="12.75" customHeight="1" x14ac:dyDescent="0.2">
      <c r="A64" s="360"/>
      <c r="B64" s="361"/>
      <c r="C64" s="361"/>
      <c r="D64" s="361"/>
      <c r="E64" s="361"/>
      <c r="F64" s="361"/>
      <c r="G64" s="362"/>
      <c r="J64" s="178"/>
    </row>
    <row r="65" spans="1:10" ht="12.75" customHeight="1" x14ac:dyDescent="0.2">
      <c r="A65" s="360"/>
      <c r="B65" s="361"/>
      <c r="C65" s="361"/>
      <c r="D65" s="361"/>
      <c r="E65" s="361"/>
      <c r="F65" s="361"/>
      <c r="G65" s="362"/>
      <c r="J65" s="178"/>
    </row>
    <row r="66" spans="1:10" ht="176.25" customHeight="1" x14ac:dyDescent="0.2">
      <c r="A66" s="360"/>
      <c r="B66" s="361"/>
      <c r="C66" s="361"/>
      <c r="D66" s="361"/>
      <c r="E66" s="361"/>
      <c r="F66" s="361"/>
      <c r="G66" s="362"/>
    </row>
    <row r="67" spans="1:10" ht="13.5" customHeight="1" x14ac:dyDescent="0.2">
      <c r="A67" s="360"/>
      <c r="B67" s="361"/>
      <c r="C67" s="361"/>
      <c r="D67" s="361"/>
      <c r="E67" s="361"/>
      <c r="F67" s="361"/>
      <c r="G67" s="362"/>
    </row>
    <row r="68" spans="1:10" ht="12.75" customHeight="1" x14ac:dyDescent="0.2">
      <c r="A68" s="360"/>
      <c r="B68" s="361"/>
      <c r="C68" s="361"/>
      <c r="D68" s="361"/>
      <c r="E68" s="361"/>
      <c r="F68" s="361"/>
      <c r="G68" s="362"/>
    </row>
    <row r="69" spans="1:10" ht="12.75" customHeight="1" x14ac:dyDescent="0.2">
      <c r="A69" s="360"/>
      <c r="B69" s="361"/>
      <c r="C69" s="361"/>
      <c r="D69" s="361"/>
      <c r="E69" s="361"/>
      <c r="F69" s="361"/>
      <c r="G69" s="362"/>
    </row>
    <row r="70" spans="1:10" ht="12.75" customHeight="1" x14ac:dyDescent="0.2">
      <c r="A70" s="360"/>
      <c r="B70" s="361"/>
      <c r="C70" s="361"/>
      <c r="D70" s="361"/>
      <c r="E70" s="361"/>
      <c r="F70" s="361"/>
      <c r="G70" s="362"/>
    </row>
    <row r="71" spans="1:10" ht="12.75" customHeight="1" x14ac:dyDescent="0.2">
      <c r="A71" s="360"/>
      <c r="B71" s="361"/>
      <c r="C71" s="361"/>
      <c r="D71" s="361"/>
      <c r="E71" s="361"/>
      <c r="F71" s="361"/>
      <c r="G71" s="362"/>
    </row>
    <row r="72" spans="1:10" ht="12.75" customHeight="1" x14ac:dyDescent="0.2">
      <c r="A72" s="360"/>
      <c r="B72" s="361"/>
      <c r="C72" s="361"/>
      <c r="D72" s="361"/>
      <c r="E72" s="361"/>
      <c r="F72" s="361"/>
      <c r="G72" s="362"/>
    </row>
    <row r="73" spans="1:10" ht="12.75" customHeight="1" x14ac:dyDescent="0.2">
      <c r="A73" s="360"/>
      <c r="B73" s="361"/>
      <c r="C73" s="361"/>
      <c r="D73" s="361"/>
      <c r="E73" s="361"/>
      <c r="F73" s="361"/>
      <c r="G73" s="362"/>
    </row>
    <row r="74" spans="1:10" ht="12.75" customHeight="1" x14ac:dyDescent="0.2">
      <c r="A74" s="360"/>
      <c r="B74" s="361"/>
      <c r="C74" s="361"/>
      <c r="D74" s="361"/>
      <c r="E74" s="361"/>
      <c r="F74" s="361"/>
      <c r="G74" s="362"/>
    </row>
    <row r="75" spans="1:10" ht="12.75" customHeight="1" x14ac:dyDescent="0.2">
      <c r="A75" s="360"/>
      <c r="B75" s="361"/>
      <c r="C75" s="361"/>
      <c r="D75" s="361"/>
      <c r="E75" s="361"/>
      <c r="F75" s="361"/>
      <c r="G75" s="362"/>
    </row>
    <row r="76" spans="1:10" ht="12.75" customHeight="1" x14ac:dyDescent="0.2">
      <c r="A76" s="360"/>
      <c r="B76" s="361"/>
      <c r="C76" s="361"/>
      <c r="D76" s="361"/>
      <c r="E76" s="361"/>
      <c r="F76" s="361"/>
      <c r="G76" s="362"/>
    </row>
    <row r="77" spans="1:10" ht="12.75" customHeight="1" x14ac:dyDescent="0.2">
      <c r="A77" s="360"/>
      <c r="B77" s="361"/>
      <c r="C77" s="361"/>
      <c r="D77" s="361"/>
      <c r="E77" s="361"/>
      <c r="F77" s="361"/>
      <c r="G77" s="362"/>
    </row>
    <row r="78" spans="1:10" ht="13.5" customHeight="1" x14ac:dyDescent="0.2">
      <c r="A78" s="360"/>
      <c r="B78" s="361"/>
      <c r="C78" s="361"/>
      <c r="D78" s="361"/>
      <c r="E78" s="361"/>
      <c r="F78" s="361"/>
      <c r="G78" s="362"/>
    </row>
    <row r="79" spans="1:10" ht="12.75" customHeight="1" x14ac:dyDescent="0.2">
      <c r="A79" s="360"/>
      <c r="B79" s="361"/>
      <c r="C79" s="361"/>
      <c r="D79" s="361"/>
      <c r="E79" s="361"/>
      <c r="F79" s="361"/>
      <c r="G79" s="362"/>
    </row>
    <row r="80" spans="1:10" ht="12.75" customHeight="1" x14ac:dyDescent="0.2">
      <c r="A80" s="360"/>
      <c r="B80" s="361"/>
      <c r="C80" s="361"/>
      <c r="D80" s="361"/>
      <c r="E80" s="361"/>
      <c r="F80" s="361"/>
      <c r="G80" s="362"/>
    </row>
    <row r="81" spans="1:17" ht="360" customHeight="1" thickBot="1" x14ac:dyDescent="0.25">
      <c r="A81" s="363"/>
      <c r="B81" s="364"/>
      <c r="C81" s="364"/>
      <c r="D81" s="364"/>
      <c r="E81" s="364"/>
      <c r="F81" s="364"/>
      <c r="G81" s="365"/>
    </row>
    <row r="82" spans="1:17" ht="12.75" customHeight="1" x14ac:dyDescent="0.2"/>
    <row r="83" spans="1:17" ht="12.75" customHeight="1" x14ac:dyDescent="0.2"/>
    <row r="84" spans="1:17" ht="12.75" customHeight="1" x14ac:dyDescent="0.2"/>
    <row r="85" spans="1:17" ht="12.75" customHeight="1" x14ac:dyDescent="0.2"/>
    <row r="86" spans="1:17" ht="12.75" customHeight="1" x14ac:dyDescent="0.2"/>
    <row r="87" spans="1:17" ht="12.75" customHeight="1" x14ac:dyDescent="0.2"/>
    <row r="88" spans="1:17" ht="71.25" customHeight="1" x14ac:dyDescent="0.2"/>
    <row r="92" spans="1:17" x14ac:dyDescent="0.2">
      <c r="L92" s="172"/>
    </row>
    <row r="93" spans="1:17" x14ac:dyDescent="0.2">
      <c r="L93" s="172"/>
    </row>
    <row r="94" spans="1:17" x14ac:dyDescent="0.2">
      <c r="L94" s="172"/>
    </row>
    <row r="95" spans="1:17" x14ac:dyDescent="0.2">
      <c r="L95" s="172"/>
    </row>
    <row r="96" spans="1:17" x14ac:dyDescent="0.2">
      <c r="L96" s="172"/>
      <c r="M96" s="172"/>
      <c r="N96" s="172"/>
      <c r="O96" s="172"/>
      <c r="P96" s="172"/>
      <c r="Q96" s="172"/>
    </row>
    <row r="97" spans="12:17" x14ac:dyDescent="0.2">
      <c r="L97" s="172"/>
      <c r="M97" s="172"/>
      <c r="N97" s="172"/>
      <c r="O97" s="172"/>
      <c r="P97" s="172"/>
      <c r="Q97" s="172"/>
    </row>
    <row r="98" spans="12:17" x14ac:dyDescent="0.2">
      <c r="L98" s="172"/>
      <c r="M98" s="172"/>
      <c r="N98" s="172"/>
      <c r="O98" s="172"/>
      <c r="P98" s="172"/>
      <c r="Q98" s="172"/>
    </row>
    <row r="99" spans="12:17" x14ac:dyDescent="0.2">
      <c r="L99" s="172"/>
      <c r="M99" s="172"/>
      <c r="N99" s="172"/>
      <c r="O99" s="172"/>
      <c r="P99" s="172"/>
      <c r="Q99" s="172"/>
    </row>
    <row r="100" spans="12:17" x14ac:dyDescent="0.2">
      <c r="L100" s="172"/>
      <c r="M100" s="172"/>
      <c r="N100" s="172"/>
      <c r="O100" s="172"/>
      <c r="P100" s="172"/>
      <c r="Q100" s="172"/>
    </row>
    <row r="101" spans="12:17" x14ac:dyDescent="0.2">
      <c r="L101" s="172"/>
      <c r="M101" s="172"/>
      <c r="N101" s="172"/>
      <c r="O101" s="172"/>
      <c r="P101" s="172"/>
      <c r="Q101" s="172"/>
    </row>
  </sheetData>
  <mergeCells count="15">
    <mergeCell ref="E12:F13"/>
    <mergeCell ref="E10:F11"/>
    <mergeCell ref="A1:E1"/>
    <mergeCell ref="A4:B5"/>
    <mergeCell ref="C4:D5"/>
    <mergeCell ref="E14:F15"/>
    <mergeCell ref="E16:F17"/>
    <mergeCell ref="E18:F19"/>
    <mergeCell ref="E20:F21"/>
    <mergeCell ref="E22:F23"/>
    <mergeCell ref="E24:F25"/>
    <mergeCell ref="A49:G81"/>
    <mergeCell ref="G26:G27"/>
    <mergeCell ref="E28:F29"/>
    <mergeCell ref="E26:F27"/>
  </mergeCells>
  <conditionalFormatting sqref="H37:H38">
    <cfRule type="expression" dxfId="175" priority="32">
      <formula>ISNUMBER(SEARCH(TEXT(#REF!,"ddd"),#REF!))</formula>
    </cfRule>
  </conditionalFormatting>
  <conditionalFormatting sqref="B10:C29">
    <cfRule type="expression" dxfId="174" priority="33">
      <formula>ISNUMBER(SEARCH(TEXT(#REF!,"ddd"),#REF!))</formula>
    </cfRule>
  </conditionalFormatting>
  <conditionalFormatting sqref="D10:D13">
    <cfRule type="expression" dxfId="173" priority="31">
      <formula>ISNUMBER(SEARCH(TEXT(#REF!,"ddd"),#REF!))</formula>
    </cfRule>
  </conditionalFormatting>
  <conditionalFormatting sqref="A10:A13">
    <cfRule type="expression" dxfId="172" priority="29">
      <formula>ISNUMBER(SEARCH(TEXT(#REF!,"ddd"),#REF!))</formula>
    </cfRule>
  </conditionalFormatting>
  <conditionalFormatting sqref="D14:D29">
    <cfRule type="expression" dxfId="171" priority="28">
      <formula>ISNUMBER(SEARCH(TEXT(#REF!,"ddd"),#REF!))</formula>
    </cfRule>
  </conditionalFormatting>
  <conditionalFormatting sqref="A15 A17 A19 A21 A23 A25 A27 A29">
    <cfRule type="expression" dxfId="170" priority="27">
      <formula>ISNUMBER(SEARCH(TEXT(#REF!,"ddd"),#REF!))</formula>
    </cfRule>
  </conditionalFormatting>
  <conditionalFormatting sqref="D26:D27">
    <cfRule type="expression" dxfId="169" priority="26">
      <formula>ISNUMBER(SEARCH(TEXT(#REF!,"ddd"),#REF!))</formula>
    </cfRule>
  </conditionalFormatting>
  <conditionalFormatting sqref="A27">
    <cfRule type="expression" dxfId="168" priority="25">
      <formula>ISNUMBER(SEARCH(TEXT(#REF!,"ddd"),#REF!))</formula>
    </cfRule>
  </conditionalFormatting>
  <conditionalFormatting sqref="A18">
    <cfRule type="expression" dxfId="167" priority="24">
      <formula>ISNUMBER(SEARCH(TEXT(#REF!,"ddd"),#REF!))</formula>
    </cfRule>
  </conditionalFormatting>
  <conditionalFormatting sqref="A22">
    <cfRule type="expression" dxfId="166" priority="20">
      <formula>ISNUMBER(SEARCH(TEXT(#REF!,"ddd"),#REF!))</formula>
    </cfRule>
  </conditionalFormatting>
  <conditionalFormatting sqref="A26">
    <cfRule type="expression" dxfId="165" priority="18">
      <formula>ISNUMBER(SEARCH(TEXT(#REF!,"ddd"),#REF!))</formula>
    </cfRule>
  </conditionalFormatting>
  <conditionalFormatting sqref="A28">
    <cfRule type="expression" dxfId="164" priority="17">
      <formula>ISNUMBER(SEARCH(TEXT(#REF!,"ddd"),#REF!))</formula>
    </cfRule>
  </conditionalFormatting>
  <conditionalFormatting sqref="N96:O100">
    <cfRule type="expression" dxfId="163" priority="13">
      <formula>ISNUMBER(SEARCH(TEXT(#REF!,"ddd"),#REF!))</formula>
    </cfRule>
  </conditionalFormatting>
  <conditionalFormatting sqref="P96:P100">
    <cfRule type="expression" dxfId="162" priority="12">
      <formula>ISNUMBER(SEARCH(TEXT(#REF!,"ddd"),#REF!))</formula>
    </cfRule>
  </conditionalFormatting>
  <conditionalFormatting sqref="M96:M100">
    <cfRule type="expression" dxfId="161" priority="11">
      <formula>ISNUMBER(SEARCH(TEXT(#REF!,"ddd"),#REF!))</formula>
    </cfRule>
  </conditionalFormatting>
  <conditionalFormatting sqref="A14">
    <cfRule type="expression" dxfId="160" priority="4">
      <formula>ISNUMBER(SEARCH(TEXT(#REF!,"ddd"),#REF!))</formula>
    </cfRule>
  </conditionalFormatting>
  <conditionalFormatting sqref="A16">
    <cfRule type="expression" dxfId="159" priority="3">
      <formula>ISNUMBER(SEARCH(TEXT(#REF!,"ddd"),#REF!))</formula>
    </cfRule>
  </conditionalFormatting>
  <conditionalFormatting sqref="A20">
    <cfRule type="expression" dxfId="158" priority="2">
      <formula>ISNUMBER(SEARCH(TEXT(#REF!,"ddd"),#REF!))</formula>
    </cfRule>
  </conditionalFormatting>
  <conditionalFormatting sqref="A24">
    <cfRule type="expression" dxfId="157" priority="1">
      <formula>ISNUMBER(SEARCH(TEXT(#REF!,"ddd"),#REF!))</formula>
    </cfRule>
  </conditionalFormatting>
  <dataValidations count="2">
    <dataValidation type="custom" allowBlank="1" showInputMessage="1" showErrorMessage="1" sqref="B10:B29" xr:uid="{570647CC-7A35-47D3-9271-5ABFA5257A1C}">
      <formula1>AND($B10&lt;=1,ISNUMBER($B10))</formula1>
    </dataValidation>
    <dataValidation type="custom" allowBlank="1" showInputMessage="1" showErrorMessage="1" sqref="C10:C29" xr:uid="{DB7AAC09-80EA-4204-8421-862D8EA2E464}">
      <formula1>AND($C10&lt;=1,ISNUMBER($C10),($C10&gt;=$B10))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CCA4A-2FA3-4751-99CE-61E7D24EDE8B}">
  <sheetPr codeName="Sheet22">
    <pageSetUpPr fitToPage="1"/>
  </sheetPr>
  <dimension ref="A1:Q101"/>
  <sheetViews>
    <sheetView showGridLines="0" zoomScaleNormal="100" workbookViewId="0">
      <selection activeCell="J88" sqref="J88"/>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14</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43920</v>
      </c>
      <c r="B3" s="133"/>
      <c r="C3" s="134">
        <f>A30</f>
        <v>43926</v>
      </c>
      <c r="D3" s="32"/>
      <c r="E3" s="126" t="s">
        <v>5</v>
      </c>
      <c r="F3" s="138">
        <f>Sumcolor(E3,D10:D33)</f>
        <v>0</v>
      </c>
      <c r="G3" s="201">
        <f>SUM(Først:Sist!F3)</f>
        <v>0.76388888888888862</v>
      </c>
      <c r="H3" s="12"/>
    </row>
    <row r="4" spans="1:8" ht="15.75" x14ac:dyDescent="0.2">
      <c r="A4" s="357" t="s">
        <v>85</v>
      </c>
      <c r="B4" s="358"/>
      <c r="C4" s="358" t="s">
        <v>86</v>
      </c>
      <c r="D4" s="358"/>
      <c r="E4" s="127" t="s">
        <v>7</v>
      </c>
      <c r="F4" s="138">
        <f>Sumcolor(E4,D10:D33)</f>
        <v>0.29861111111111116</v>
      </c>
      <c r="G4" s="201">
        <f>SUM(Først:Sist!F4)</f>
        <v>3.8298611111111116</v>
      </c>
      <c r="H4" s="12"/>
    </row>
    <row r="5" spans="1:8" ht="20.25" customHeight="1" x14ac:dyDescent="0.2">
      <c r="A5" s="360"/>
      <c r="B5" s="361"/>
      <c r="C5" s="361"/>
      <c r="D5" s="361"/>
      <c r="E5" s="128" t="s">
        <v>8</v>
      </c>
      <c r="F5" s="138">
        <f>Sumcolor(E5,D10:D33)</f>
        <v>9.0277777777777679E-2</v>
      </c>
      <c r="G5" s="201">
        <f>SUM(Først:Sist!F5)</f>
        <v>0.90972222222222132</v>
      </c>
      <c r="H5" s="12"/>
    </row>
    <row r="6" spans="1:8" ht="21.75" thickBot="1" x14ac:dyDescent="0.25">
      <c r="A6" s="125">
        <f>SUM(D10:D33)</f>
        <v>0.43055555555555547</v>
      </c>
      <c r="B6" s="34"/>
      <c r="C6" s="124">
        <f>SUM(Først:Sist!A6)</f>
        <v>7.6006944444444429</v>
      </c>
      <c r="D6" s="35"/>
      <c r="E6" s="129" t="s">
        <v>9</v>
      </c>
      <c r="F6" s="140">
        <f>Sumcolor(E6,D10:D33)</f>
        <v>4.166666666666663E-2</v>
      </c>
      <c r="G6" s="202">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75" x14ac:dyDescent="0.2">
      <c r="A10" s="146">
        <v>43920</v>
      </c>
      <c r="B10" s="147">
        <v>0.59375</v>
      </c>
      <c r="C10" s="147">
        <v>0.60763888888888895</v>
      </c>
      <c r="D10" s="148">
        <f>(C10-B10)</f>
        <v>1.3888888888888951E-2</v>
      </c>
      <c r="E10" s="406" t="s">
        <v>140</v>
      </c>
      <c r="F10" s="369"/>
      <c r="G10" s="400"/>
    </row>
    <row r="11" spans="1:8" ht="15.75" customHeight="1" thickBot="1" x14ac:dyDescent="0.25">
      <c r="A11" s="153"/>
      <c r="B11" s="154"/>
      <c r="C11" s="154"/>
      <c r="D11" s="155"/>
      <c r="E11" s="370"/>
      <c r="F11" s="371"/>
      <c r="G11" s="401"/>
    </row>
    <row r="12" spans="1:8" ht="15.75" x14ac:dyDescent="0.2">
      <c r="A12" s="146">
        <v>43920</v>
      </c>
      <c r="B12" s="147">
        <v>0.625</v>
      </c>
      <c r="C12" s="147">
        <v>0.64583333333333337</v>
      </c>
      <c r="D12" s="148">
        <f>(C12-B12)</f>
        <v>2.083333333333337E-2</v>
      </c>
      <c r="E12" s="368" t="s">
        <v>126</v>
      </c>
      <c r="F12" s="369"/>
      <c r="G12" s="400"/>
    </row>
    <row r="13" spans="1:8" ht="16.5" thickBot="1" x14ac:dyDescent="0.25">
      <c r="A13" s="168"/>
      <c r="B13" s="169"/>
      <c r="C13" s="169"/>
      <c r="D13" s="170"/>
      <c r="E13" s="370"/>
      <c r="F13" s="371"/>
      <c r="G13" s="401"/>
    </row>
    <row r="14" spans="1:8" ht="12.75" customHeight="1" x14ac:dyDescent="0.2">
      <c r="A14" s="146">
        <v>43921</v>
      </c>
      <c r="B14" s="147">
        <v>0.54513888888888895</v>
      </c>
      <c r="C14" s="147">
        <v>0.5625</v>
      </c>
      <c r="D14" s="148">
        <f>(C14-B14)</f>
        <v>1.7361111111111049E-2</v>
      </c>
      <c r="E14" s="392" t="s">
        <v>129</v>
      </c>
      <c r="F14" s="393"/>
      <c r="G14" s="407"/>
    </row>
    <row r="15" spans="1:8" ht="9" customHeight="1" thickBot="1" x14ac:dyDescent="0.25">
      <c r="A15" s="168"/>
      <c r="B15" s="169"/>
      <c r="C15" s="169"/>
      <c r="D15" s="170"/>
      <c r="E15" s="394"/>
      <c r="F15" s="395"/>
      <c r="G15" s="408"/>
    </row>
    <row r="16" spans="1:8" ht="15.75" x14ac:dyDescent="0.2">
      <c r="A16" s="156">
        <v>43921</v>
      </c>
      <c r="B16" s="157">
        <v>0.75</v>
      </c>
      <c r="C16" s="157">
        <v>0.77777777777777779</v>
      </c>
      <c r="D16" s="158">
        <f>(C16-B16)</f>
        <v>2.777777777777779E-2</v>
      </c>
      <c r="E16" s="405" t="s">
        <v>142</v>
      </c>
      <c r="F16" s="419"/>
      <c r="G16" s="400"/>
    </row>
    <row r="17" spans="1:7" ht="16.5" thickBot="1" x14ac:dyDescent="0.25">
      <c r="A17" s="159"/>
      <c r="B17" s="160"/>
      <c r="C17" s="160"/>
      <c r="D17" s="161"/>
      <c r="E17" s="420"/>
      <c r="F17" s="421"/>
      <c r="G17" s="401"/>
    </row>
    <row r="18" spans="1:7" ht="13.9" customHeight="1" x14ac:dyDescent="0.2">
      <c r="A18" s="162">
        <v>43923</v>
      </c>
      <c r="B18" s="163">
        <v>0.55208333333333337</v>
      </c>
      <c r="C18" s="163">
        <v>0.58333333333333337</v>
      </c>
      <c r="D18" s="164">
        <f>(C18-B18)</f>
        <v>3.125E-2</v>
      </c>
      <c r="E18" s="396" t="s">
        <v>141</v>
      </c>
      <c r="F18" s="397"/>
      <c r="G18" s="404"/>
    </row>
    <row r="19" spans="1:7" ht="20.45" customHeight="1" thickBot="1" x14ac:dyDescent="0.25">
      <c r="A19" s="165"/>
      <c r="B19" s="166"/>
      <c r="C19" s="166"/>
      <c r="D19" s="167"/>
      <c r="E19" s="398"/>
      <c r="F19" s="399"/>
      <c r="G19" s="401"/>
    </row>
    <row r="20" spans="1:7" ht="16.899999999999999" customHeight="1" x14ac:dyDescent="0.2">
      <c r="A20" s="146">
        <v>43923</v>
      </c>
      <c r="B20" s="176">
        <v>0.58680555555555558</v>
      </c>
      <c r="C20" s="176">
        <v>0.60416666666666663</v>
      </c>
      <c r="D20" s="177">
        <f>(C20-B20)</f>
        <v>1.7361111111111049E-2</v>
      </c>
      <c r="E20" s="392" t="s">
        <v>129</v>
      </c>
      <c r="F20" s="393"/>
      <c r="G20" s="185"/>
    </row>
    <row r="21" spans="1:7" ht="5.45" customHeight="1" thickBot="1" x14ac:dyDescent="0.25">
      <c r="A21" s="175"/>
      <c r="B21" s="169"/>
      <c r="C21" s="169"/>
      <c r="D21" s="170"/>
      <c r="E21" s="394"/>
      <c r="F21" s="395"/>
      <c r="G21" s="198"/>
    </row>
    <row r="22" spans="1:7" ht="13.9" customHeight="1" x14ac:dyDescent="0.2">
      <c r="A22" s="162">
        <v>43923</v>
      </c>
      <c r="B22" s="181">
        <v>0.625</v>
      </c>
      <c r="C22" s="181">
        <v>0.70138888888888884</v>
      </c>
      <c r="D22" s="182">
        <f>(C22-B22)</f>
        <v>7.638888888888884E-2</v>
      </c>
      <c r="E22" s="415" t="s">
        <v>144</v>
      </c>
      <c r="F22" s="416"/>
      <c r="G22" s="184"/>
    </row>
    <row r="23" spans="1:7" ht="17.45" customHeight="1" thickBot="1" x14ac:dyDescent="0.25">
      <c r="A23" s="183"/>
      <c r="B23" s="166"/>
      <c r="C23" s="166"/>
      <c r="D23" s="167"/>
      <c r="E23" s="417"/>
      <c r="F23" s="418"/>
      <c r="G23" s="198"/>
    </row>
    <row r="24" spans="1:7" ht="13.9" customHeight="1" x14ac:dyDescent="0.2">
      <c r="A24" s="162">
        <v>43924</v>
      </c>
      <c r="B24" s="181">
        <v>0.58333333333333337</v>
      </c>
      <c r="C24" s="181">
        <v>0.66666666666666663</v>
      </c>
      <c r="D24" s="182">
        <f>(C24-B24)</f>
        <v>8.3333333333333259E-2</v>
      </c>
      <c r="E24" s="415" t="s">
        <v>144</v>
      </c>
      <c r="F24" s="416"/>
      <c r="G24" s="184"/>
    </row>
    <row r="25" spans="1:7" ht="17.45" customHeight="1" thickBot="1" x14ac:dyDescent="0.25">
      <c r="A25" s="183"/>
      <c r="B25" s="166"/>
      <c r="C25" s="166"/>
      <c r="D25" s="167"/>
      <c r="E25" s="417"/>
      <c r="F25" s="418"/>
      <c r="G25" s="198"/>
    </row>
    <row r="26" spans="1:7" ht="13.9" customHeight="1" x14ac:dyDescent="0.2">
      <c r="A26" s="162">
        <v>43924</v>
      </c>
      <c r="B26" s="181">
        <v>0.68055555555555547</v>
      </c>
      <c r="C26" s="181">
        <v>0.78819444444444453</v>
      </c>
      <c r="D26" s="182">
        <f>(C26-B26)</f>
        <v>0.10763888888888906</v>
      </c>
      <c r="E26" s="415" t="s">
        <v>144</v>
      </c>
      <c r="F26" s="416"/>
      <c r="G26" s="184"/>
    </row>
    <row r="27" spans="1:7" ht="18.600000000000001" customHeight="1" thickBot="1" x14ac:dyDescent="0.25">
      <c r="A27" s="183"/>
      <c r="B27" s="166"/>
      <c r="C27" s="166"/>
      <c r="D27" s="167"/>
      <c r="E27" s="417"/>
      <c r="F27" s="418"/>
      <c r="G27" s="198"/>
    </row>
    <row r="28" spans="1:7" ht="13.9" customHeight="1" x14ac:dyDescent="0.2">
      <c r="A28" s="146">
        <v>43925</v>
      </c>
      <c r="B28" s="147">
        <v>0.58333333333333337</v>
      </c>
      <c r="C28" s="147">
        <v>0.60416666666666663</v>
      </c>
      <c r="D28" s="148">
        <f>(C28-B28)</f>
        <v>2.0833333333333259E-2</v>
      </c>
      <c r="E28" s="392" t="s">
        <v>129</v>
      </c>
      <c r="F28" s="393"/>
      <c r="G28" s="185"/>
    </row>
    <row r="29" spans="1:7" ht="11.45" customHeight="1" thickBot="1" x14ac:dyDescent="0.25">
      <c r="A29" s="175"/>
      <c r="B29" s="169"/>
      <c r="C29" s="169"/>
      <c r="D29" s="170"/>
      <c r="E29" s="394"/>
      <c r="F29" s="395"/>
      <c r="G29" s="184"/>
    </row>
    <row r="30" spans="1:7" ht="13.9" customHeight="1" x14ac:dyDescent="0.2">
      <c r="A30" s="156">
        <v>43926</v>
      </c>
      <c r="B30" s="144">
        <v>0.58333333333333337</v>
      </c>
      <c r="C30" s="144">
        <v>0.59722222222222221</v>
      </c>
      <c r="D30" s="145">
        <f>(C30-B30)</f>
        <v>1.388888888888884E-2</v>
      </c>
      <c r="E30" s="380" t="s">
        <v>145</v>
      </c>
      <c r="F30" s="381"/>
      <c r="G30" s="400"/>
    </row>
    <row r="31" spans="1:7" ht="12.6" customHeight="1" thickBot="1" x14ac:dyDescent="0.25">
      <c r="A31" s="150"/>
      <c r="B31" s="151"/>
      <c r="C31" s="151"/>
      <c r="D31" s="152"/>
      <c r="E31" s="382"/>
      <c r="F31" s="383"/>
      <c r="G31" s="401"/>
    </row>
    <row r="33" spans="10:10" ht="12" customHeight="1" x14ac:dyDescent="0.2"/>
    <row r="34" spans="10:10" ht="19.5" customHeight="1" x14ac:dyDescent="0.2"/>
    <row r="37" spans="10:10" ht="12.75" customHeight="1" x14ac:dyDescent="0.2"/>
    <row r="39" spans="10:10" ht="18.75" customHeight="1" x14ac:dyDescent="0.2">
      <c r="J39" s="171"/>
    </row>
    <row r="40" spans="10:10" ht="12.75" customHeight="1" x14ac:dyDescent="0.2">
      <c r="J40" s="172"/>
    </row>
    <row r="41" spans="10:10" ht="23.25" customHeight="1" x14ac:dyDescent="0.2">
      <c r="J41" s="172"/>
    </row>
    <row r="42" spans="10:10" ht="15" customHeight="1" x14ac:dyDescent="0.2">
      <c r="J42" s="172"/>
    </row>
    <row r="43" spans="10:10" ht="15" customHeight="1" x14ac:dyDescent="0.2">
      <c r="J43" s="172"/>
    </row>
    <row r="44" spans="10:10" ht="15.75" customHeight="1" x14ac:dyDescent="0.2">
      <c r="J44" s="172"/>
    </row>
    <row r="45" spans="10:10" ht="9" customHeight="1" x14ac:dyDescent="0.2">
      <c r="J45" s="172"/>
    </row>
    <row r="46" spans="10:10" ht="15" customHeight="1" x14ac:dyDescent="0.2">
      <c r="J46" s="172"/>
    </row>
    <row r="47" spans="10:10" ht="26.25" customHeight="1" x14ac:dyDescent="0.2">
      <c r="J47" s="172"/>
    </row>
    <row r="48" spans="10:10" ht="12.75" customHeight="1" x14ac:dyDescent="0.2">
      <c r="J48" s="172"/>
    </row>
    <row r="49" spans="1:10" ht="12.75" customHeight="1" x14ac:dyDescent="0.2">
      <c r="J49" s="172"/>
    </row>
    <row r="50" spans="1:10" ht="12.75" customHeight="1" x14ac:dyDescent="0.2">
      <c r="J50" s="172"/>
    </row>
    <row r="51" spans="1:10" ht="12.75" customHeight="1" x14ac:dyDescent="0.2">
      <c r="J51" s="172"/>
    </row>
    <row r="52" spans="1:10" ht="21.75" customHeight="1" x14ac:dyDescent="0.2">
      <c r="H52" s="5"/>
      <c r="J52" s="172"/>
    </row>
    <row r="53" spans="1:10" ht="23.25" customHeight="1" thickBot="1" x14ac:dyDescent="0.25">
      <c r="A53" s="28" t="s">
        <v>16</v>
      </c>
      <c r="B53" s="29"/>
      <c r="C53" s="30"/>
      <c r="D53" s="20"/>
      <c r="E53" s="20"/>
      <c r="F53" s="20"/>
      <c r="G53" s="20"/>
      <c r="H53" s="5"/>
    </row>
    <row r="54" spans="1:10" ht="20.25" customHeight="1" thickBot="1" x14ac:dyDescent="0.25">
      <c r="D54" s="21"/>
      <c r="E54" s="21"/>
      <c r="F54" s="21"/>
      <c r="G54" s="21"/>
      <c r="H54" s="6"/>
    </row>
    <row r="55" spans="1:10" ht="15.75" customHeight="1" x14ac:dyDescent="0.2">
      <c r="A55" s="357" t="s">
        <v>143</v>
      </c>
      <c r="B55" s="358"/>
      <c r="C55" s="358"/>
      <c r="D55" s="358"/>
      <c r="E55" s="358"/>
      <c r="F55" s="358"/>
      <c r="G55" s="359"/>
      <c r="H55" s="7"/>
    </row>
    <row r="56" spans="1:10" ht="12.75" customHeight="1" x14ac:dyDescent="0.2">
      <c r="A56" s="360"/>
      <c r="B56" s="361"/>
      <c r="C56" s="361"/>
      <c r="D56" s="361"/>
      <c r="E56" s="361"/>
      <c r="F56" s="361"/>
      <c r="G56" s="362"/>
      <c r="H56" s="15"/>
    </row>
    <row r="57" spans="1:10" ht="12.75" customHeight="1" x14ac:dyDescent="0.2">
      <c r="A57" s="360"/>
      <c r="B57" s="361"/>
      <c r="C57" s="361"/>
      <c r="D57" s="361"/>
      <c r="E57" s="361"/>
      <c r="F57" s="361"/>
      <c r="G57" s="362"/>
      <c r="H57" s="15"/>
    </row>
    <row r="58" spans="1:10" ht="13.5" customHeight="1" x14ac:dyDescent="0.2">
      <c r="A58" s="360"/>
      <c r="B58" s="361"/>
      <c r="C58" s="361"/>
      <c r="D58" s="361"/>
      <c r="E58" s="361"/>
      <c r="F58" s="361"/>
      <c r="G58" s="362"/>
      <c r="H58" s="15"/>
    </row>
    <row r="59" spans="1:10" ht="12.75" customHeight="1" x14ac:dyDescent="0.2">
      <c r="A59" s="360"/>
      <c r="B59" s="361"/>
      <c r="C59" s="361"/>
      <c r="D59" s="361"/>
      <c r="E59" s="361"/>
      <c r="F59" s="361"/>
      <c r="G59" s="362"/>
      <c r="H59" s="15"/>
    </row>
    <row r="60" spans="1:10" ht="12.75" customHeight="1" x14ac:dyDescent="0.2">
      <c r="A60" s="360"/>
      <c r="B60" s="361"/>
      <c r="C60" s="361"/>
      <c r="D60" s="361"/>
      <c r="E60" s="361"/>
      <c r="F60" s="361"/>
      <c r="G60" s="362"/>
      <c r="H60" s="15"/>
    </row>
    <row r="61" spans="1:10" ht="12.75" customHeight="1" x14ac:dyDescent="0.2">
      <c r="A61" s="360"/>
      <c r="B61" s="361"/>
      <c r="C61" s="361"/>
      <c r="D61" s="361"/>
      <c r="E61" s="361"/>
      <c r="F61" s="361"/>
      <c r="G61" s="362"/>
      <c r="H61" s="15"/>
    </row>
    <row r="62" spans="1:10" ht="12.75" customHeight="1" x14ac:dyDescent="0.2">
      <c r="A62" s="360"/>
      <c r="B62" s="361"/>
      <c r="C62" s="361"/>
      <c r="D62" s="361"/>
      <c r="E62" s="361"/>
      <c r="F62" s="361"/>
      <c r="G62" s="362"/>
      <c r="H62" s="15"/>
    </row>
    <row r="63" spans="1:10" ht="12.75" customHeight="1" x14ac:dyDescent="0.2">
      <c r="A63" s="360"/>
      <c r="B63" s="361"/>
      <c r="C63" s="361"/>
      <c r="D63" s="361"/>
      <c r="E63" s="361"/>
      <c r="F63" s="361"/>
      <c r="G63" s="362"/>
      <c r="H63" s="15"/>
    </row>
    <row r="64" spans="1:10" ht="12.75" customHeight="1" x14ac:dyDescent="0.2">
      <c r="A64" s="360"/>
      <c r="B64" s="361"/>
      <c r="C64" s="361"/>
      <c r="D64" s="361"/>
      <c r="E64" s="361"/>
      <c r="F64" s="361"/>
      <c r="G64" s="362"/>
      <c r="H64" s="15"/>
    </row>
    <row r="65" spans="1:8" ht="12.75" customHeight="1" x14ac:dyDescent="0.2">
      <c r="A65" s="360"/>
      <c r="B65" s="361"/>
      <c r="C65" s="361"/>
      <c r="D65" s="361"/>
      <c r="E65" s="361"/>
      <c r="F65" s="361"/>
      <c r="G65" s="362"/>
      <c r="H65" s="15"/>
    </row>
    <row r="66" spans="1:8" ht="12.75" customHeight="1" x14ac:dyDescent="0.2">
      <c r="A66" s="360"/>
      <c r="B66" s="361"/>
      <c r="C66" s="361"/>
      <c r="D66" s="361"/>
      <c r="E66" s="361"/>
      <c r="F66" s="361"/>
      <c r="G66" s="362"/>
      <c r="H66" s="15"/>
    </row>
    <row r="67" spans="1:8" ht="13.5" customHeight="1" x14ac:dyDescent="0.2">
      <c r="A67" s="360"/>
      <c r="B67" s="361"/>
      <c r="C67" s="361"/>
      <c r="D67" s="361"/>
      <c r="E67" s="361"/>
      <c r="F67" s="361"/>
      <c r="G67" s="362"/>
    </row>
    <row r="68" spans="1:8" ht="57.6" customHeight="1" x14ac:dyDescent="0.2">
      <c r="A68" s="360"/>
      <c r="B68" s="361"/>
      <c r="C68" s="361"/>
      <c r="D68" s="361"/>
      <c r="E68" s="361"/>
      <c r="F68" s="361"/>
      <c r="G68" s="362"/>
    </row>
    <row r="69" spans="1:8" ht="12.75" customHeight="1" x14ac:dyDescent="0.2">
      <c r="A69" s="360"/>
      <c r="B69" s="361"/>
      <c r="C69" s="361"/>
      <c r="D69" s="361"/>
      <c r="E69" s="361"/>
      <c r="F69" s="361"/>
      <c r="G69" s="362"/>
    </row>
    <row r="70" spans="1:8" ht="12.75" customHeight="1" x14ac:dyDescent="0.2">
      <c r="A70" s="360"/>
      <c r="B70" s="361"/>
      <c r="C70" s="361"/>
      <c r="D70" s="361"/>
      <c r="E70" s="361"/>
      <c r="F70" s="361"/>
      <c r="G70" s="362"/>
    </row>
    <row r="71" spans="1:8" ht="12.75" customHeight="1" x14ac:dyDescent="0.2">
      <c r="A71" s="360"/>
      <c r="B71" s="361"/>
      <c r="C71" s="361"/>
      <c r="D71" s="361"/>
      <c r="E71" s="361"/>
      <c r="F71" s="361"/>
      <c r="G71" s="362"/>
    </row>
    <row r="72" spans="1:8" ht="12.75" customHeight="1" x14ac:dyDescent="0.2">
      <c r="A72" s="360"/>
      <c r="B72" s="361"/>
      <c r="C72" s="361"/>
      <c r="D72" s="361"/>
      <c r="E72" s="361"/>
      <c r="F72" s="361"/>
      <c r="G72" s="362"/>
    </row>
    <row r="73" spans="1:8" ht="12.75" customHeight="1" x14ac:dyDescent="0.2">
      <c r="A73" s="360"/>
      <c r="B73" s="361"/>
      <c r="C73" s="361"/>
      <c r="D73" s="361"/>
      <c r="E73" s="361"/>
      <c r="F73" s="361"/>
      <c r="G73" s="362"/>
    </row>
    <row r="74" spans="1:8" ht="12.75" customHeight="1" x14ac:dyDescent="0.2">
      <c r="A74" s="360"/>
      <c r="B74" s="361"/>
      <c r="C74" s="361"/>
      <c r="D74" s="361"/>
      <c r="E74" s="361"/>
      <c r="F74" s="361"/>
      <c r="G74" s="362"/>
    </row>
    <row r="75" spans="1:8" ht="12.75" customHeight="1" x14ac:dyDescent="0.2">
      <c r="A75" s="360"/>
      <c r="B75" s="361"/>
      <c r="C75" s="361"/>
      <c r="D75" s="361"/>
      <c r="E75" s="361"/>
      <c r="F75" s="361"/>
      <c r="G75" s="362"/>
    </row>
    <row r="76" spans="1:8" ht="12.75" customHeight="1" x14ac:dyDescent="0.2">
      <c r="A76" s="360"/>
      <c r="B76" s="361"/>
      <c r="C76" s="361"/>
      <c r="D76" s="361"/>
      <c r="E76" s="361"/>
      <c r="F76" s="361"/>
      <c r="G76" s="362"/>
    </row>
    <row r="77" spans="1:8" ht="12.75" customHeight="1" x14ac:dyDescent="0.2">
      <c r="A77" s="360"/>
      <c r="B77" s="361"/>
      <c r="C77" s="361"/>
      <c r="D77" s="361"/>
      <c r="E77" s="361"/>
      <c r="F77" s="361"/>
      <c r="G77" s="362"/>
    </row>
    <row r="78" spans="1:8" ht="13.5" customHeight="1" x14ac:dyDescent="0.2">
      <c r="A78" s="360"/>
      <c r="B78" s="361"/>
      <c r="C78" s="361"/>
      <c r="D78" s="361"/>
      <c r="E78" s="361"/>
      <c r="F78" s="361"/>
      <c r="G78" s="362"/>
    </row>
    <row r="79" spans="1:8" ht="12.75" customHeight="1" x14ac:dyDescent="0.2">
      <c r="A79" s="360"/>
      <c r="B79" s="361"/>
      <c r="C79" s="361"/>
      <c r="D79" s="361"/>
      <c r="E79" s="361"/>
      <c r="F79" s="361"/>
      <c r="G79" s="362"/>
    </row>
    <row r="80" spans="1:8" ht="12.75" customHeight="1" x14ac:dyDescent="0.2">
      <c r="A80" s="360"/>
      <c r="B80" s="361"/>
      <c r="C80" s="361"/>
      <c r="D80" s="361"/>
      <c r="E80" s="361"/>
      <c r="F80" s="361"/>
      <c r="G80" s="362"/>
    </row>
    <row r="81" spans="1:17" ht="46.9" customHeight="1" x14ac:dyDescent="0.2">
      <c r="A81" s="360"/>
      <c r="B81" s="361"/>
      <c r="C81" s="361"/>
      <c r="D81" s="361"/>
      <c r="E81" s="361"/>
      <c r="F81" s="361"/>
      <c r="G81" s="362"/>
    </row>
    <row r="82" spans="1:17" ht="12.75" customHeight="1" x14ac:dyDescent="0.2">
      <c r="A82" s="360"/>
      <c r="B82" s="361"/>
      <c r="C82" s="361"/>
      <c r="D82" s="361"/>
      <c r="E82" s="361"/>
      <c r="F82" s="361"/>
      <c r="G82" s="362"/>
    </row>
    <row r="83" spans="1:17" ht="12.75" customHeight="1" x14ac:dyDescent="0.2">
      <c r="A83" s="360"/>
      <c r="B83" s="361"/>
      <c r="C83" s="361"/>
      <c r="D83" s="361"/>
      <c r="E83" s="361"/>
      <c r="F83" s="361"/>
      <c r="G83" s="362"/>
    </row>
    <row r="84" spans="1:17" ht="12.75" customHeight="1" x14ac:dyDescent="0.2">
      <c r="A84" s="360"/>
      <c r="B84" s="361"/>
      <c r="C84" s="361"/>
      <c r="D84" s="361"/>
      <c r="E84" s="361"/>
      <c r="F84" s="361"/>
      <c r="G84" s="362"/>
    </row>
    <row r="85" spans="1:17" ht="12.75" customHeight="1" x14ac:dyDescent="0.2">
      <c r="A85" s="360"/>
      <c r="B85" s="361"/>
      <c r="C85" s="361"/>
      <c r="D85" s="361"/>
      <c r="E85" s="361"/>
      <c r="F85" s="361"/>
      <c r="G85" s="362"/>
    </row>
    <row r="86" spans="1:17" ht="12.75" customHeight="1" x14ac:dyDescent="0.2">
      <c r="A86" s="360"/>
      <c r="B86" s="361"/>
      <c r="C86" s="361"/>
      <c r="D86" s="361"/>
      <c r="E86" s="361"/>
      <c r="F86" s="361"/>
      <c r="G86" s="362"/>
    </row>
    <row r="87" spans="1:17" ht="40.9" customHeight="1" thickBot="1" x14ac:dyDescent="0.25">
      <c r="A87" s="363"/>
      <c r="B87" s="364"/>
      <c r="C87" s="364"/>
      <c r="D87" s="364"/>
      <c r="E87" s="364"/>
      <c r="F87" s="364"/>
      <c r="G87" s="365"/>
    </row>
    <row r="88" spans="1:17" ht="71.25" customHeight="1" x14ac:dyDescent="0.2"/>
    <row r="92" spans="1:17" x14ac:dyDescent="0.2">
      <c r="L92" s="172"/>
    </row>
    <row r="93" spans="1:17" x14ac:dyDescent="0.2">
      <c r="L93" s="172"/>
    </row>
    <row r="94" spans="1:17" x14ac:dyDescent="0.2">
      <c r="L94" s="172"/>
    </row>
    <row r="95" spans="1:17" x14ac:dyDescent="0.2">
      <c r="L95" s="172"/>
    </row>
    <row r="96" spans="1:17" x14ac:dyDescent="0.2">
      <c r="L96" s="172"/>
      <c r="M96" s="172"/>
      <c r="N96" s="172"/>
      <c r="O96" s="172"/>
      <c r="P96" s="172"/>
      <c r="Q96" s="172"/>
    </row>
    <row r="97" spans="12:17" x14ac:dyDescent="0.2">
      <c r="L97" s="172"/>
      <c r="M97" s="172"/>
      <c r="N97" s="172"/>
      <c r="O97" s="172"/>
      <c r="P97" s="172"/>
      <c r="Q97" s="172"/>
    </row>
    <row r="98" spans="12:17" x14ac:dyDescent="0.2">
      <c r="L98" s="172"/>
      <c r="M98" s="172"/>
      <c r="N98" s="172"/>
      <c r="O98" s="172"/>
      <c r="P98" s="172"/>
      <c r="Q98" s="172"/>
    </row>
    <row r="99" spans="12:17" x14ac:dyDescent="0.2">
      <c r="L99" s="172"/>
      <c r="M99" s="172"/>
      <c r="N99" s="172"/>
      <c r="O99" s="172"/>
      <c r="P99" s="172"/>
      <c r="Q99" s="172"/>
    </row>
    <row r="100" spans="12:17" x14ac:dyDescent="0.2">
      <c r="L100" s="172"/>
      <c r="M100" s="172"/>
      <c r="N100" s="172"/>
      <c r="O100" s="172"/>
      <c r="P100" s="172"/>
      <c r="Q100" s="172"/>
    </row>
    <row r="101" spans="12:17" x14ac:dyDescent="0.2">
      <c r="L101" s="172"/>
      <c r="M101" s="172"/>
      <c r="N101" s="172"/>
      <c r="O101" s="172"/>
      <c r="P101" s="172"/>
      <c r="Q101" s="172"/>
    </row>
  </sheetData>
  <mergeCells count="21">
    <mergeCell ref="A55:G87"/>
    <mergeCell ref="G30:G31"/>
    <mergeCell ref="E30:F31"/>
    <mergeCell ref="E20:F21"/>
    <mergeCell ref="E22:F23"/>
    <mergeCell ref="E24:F25"/>
    <mergeCell ref="E26:F27"/>
    <mergeCell ref="E28:F29"/>
    <mergeCell ref="E14:F15"/>
    <mergeCell ref="G14:G15"/>
    <mergeCell ref="E16:F17"/>
    <mergeCell ref="G16:G17"/>
    <mergeCell ref="E18:F19"/>
    <mergeCell ref="G18:G19"/>
    <mergeCell ref="E12:F13"/>
    <mergeCell ref="G12:G13"/>
    <mergeCell ref="A1:E1"/>
    <mergeCell ref="A4:B5"/>
    <mergeCell ref="C4:D5"/>
    <mergeCell ref="E10:F11"/>
    <mergeCell ref="G10:G11"/>
  </mergeCells>
  <conditionalFormatting sqref="H52:H53">
    <cfRule type="expression" dxfId="156" priority="26">
      <formula>ISNUMBER(SEARCH(TEXT(#REF!,"ddd"),#REF!))</formula>
    </cfRule>
  </conditionalFormatting>
  <conditionalFormatting sqref="A10:D10 D11:D12 A11:A12 B11:C31">
    <cfRule type="expression" dxfId="155" priority="27">
      <formula>ISNUMBER(SEARCH(TEXT(#REF!,"ddd"),#REF!))</formula>
    </cfRule>
  </conditionalFormatting>
  <conditionalFormatting sqref="D14:D17">
    <cfRule type="expression" dxfId="154" priority="25">
      <formula>ISNUMBER(SEARCH(TEXT(#REF!,"ddd"),#REF!))</formula>
    </cfRule>
  </conditionalFormatting>
  <conditionalFormatting sqref="A14:A17">
    <cfRule type="expression" dxfId="153" priority="23">
      <formula>ISNUMBER(SEARCH(TEXT(#REF!,"ddd"),#REF!))</formula>
    </cfRule>
  </conditionalFormatting>
  <conditionalFormatting sqref="A13 D13">
    <cfRule type="expression" dxfId="152" priority="24">
      <formula>ISNUMBER(SEARCH(TEXT(#REF!,"ddd"),#REF!))</formula>
    </cfRule>
  </conditionalFormatting>
  <conditionalFormatting sqref="D18:D31">
    <cfRule type="expression" dxfId="151" priority="22">
      <formula>ISNUMBER(SEARCH(TEXT(#REF!,"ddd"),#REF!))</formula>
    </cfRule>
  </conditionalFormatting>
  <conditionalFormatting sqref="A19 A21 A23 A25 A27 A29 A31">
    <cfRule type="expression" dxfId="150" priority="21">
      <formula>ISNUMBER(SEARCH(TEXT(#REF!,"ddd"),#REF!))</formula>
    </cfRule>
  </conditionalFormatting>
  <conditionalFormatting sqref="D30:D31">
    <cfRule type="expression" dxfId="149" priority="20">
      <formula>ISNUMBER(SEARCH(TEXT(#REF!,"ddd"),#REF!))</formula>
    </cfRule>
  </conditionalFormatting>
  <conditionalFormatting sqref="A31">
    <cfRule type="expression" dxfId="148" priority="19">
      <formula>ISNUMBER(SEARCH(TEXT(#REF!,"ddd"),#REF!))</formula>
    </cfRule>
  </conditionalFormatting>
  <conditionalFormatting sqref="A22">
    <cfRule type="expression" dxfId="147" priority="18">
      <formula>ISNUMBER(SEARCH(TEXT(#REF!,"ddd"),#REF!))</formula>
    </cfRule>
  </conditionalFormatting>
  <conditionalFormatting sqref="A18">
    <cfRule type="expression" dxfId="146" priority="17">
      <formula>ISNUMBER(SEARCH(TEXT(#REF!,"ddd"),#REF!))</formula>
    </cfRule>
  </conditionalFormatting>
  <conditionalFormatting sqref="A28">
    <cfRule type="expression" dxfId="145" priority="13">
      <formula>ISNUMBER(SEARCH(TEXT(#REF!,"ddd"),#REF!))</formula>
    </cfRule>
  </conditionalFormatting>
  <conditionalFormatting sqref="N96:O100">
    <cfRule type="expression" dxfId="144" priority="7">
      <formula>ISNUMBER(SEARCH(TEXT(#REF!,"ddd"),#REF!))</formula>
    </cfRule>
  </conditionalFormatting>
  <conditionalFormatting sqref="P96:P100">
    <cfRule type="expression" dxfId="143" priority="6">
      <formula>ISNUMBER(SEARCH(TEXT(#REF!,"ddd"),#REF!))</formula>
    </cfRule>
  </conditionalFormatting>
  <conditionalFormatting sqref="M96:M100">
    <cfRule type="expression" dxfId="142" priority="5">
      <formula>ISNUMBER(SEARCH(TEXT(#REF!,"ddd"),#REF!))</formula>
    </cfRule>
  </conditionalFormatting>
  <conditionalFormatting sqref="A20">
    <cfRule type="expression" dxfId="141" priority="4">
      <formula>ISNUMBER(SEARCH(TEXT(#REF!,"ddd"),#REF!))</formula>
    </cfRule>
  </conditionalFormatting>
  <conditionalFormatting sqref="A24">
    <cfRule type="expression" dxfId="140" priority="3">
      <formula>ISNUMBER(SEARCH(TEXT(#REF!,"ddd"),#REF!))</formula>
    </cfRule>
  </conditionalFormatting>
  <conditionalFormatting sqref="A26">
    <cfRule type="expression" dxfId="139" priority="2">
      <formula>ISNUMBER(SEARCH(TEXT(#REF!,"ddd"),#REF!))</formula>
    </cfRule>
  </conditionalFormatting>
  <conditionalFormatting sqref="A30">
    <cfRule type="expression" dxfId="138" priority="1">
      <formula>ISNUMBER(SEARCH(TEXT(#REF!,"ddd"),#REF!))</formula>
    </cfRule>
  </conditionalFormatting>
  <dataValidations count="2">
    <dataValidation type="custom" allowBlank="1" showInputMessage="1" showErrorMessage="1" sqref="B10:B31" xr:uid="{8B2D90EA-6659-48DE-B8D3-256899A0F439}">
      <formula1>AND($B10&lt;=1,ISNUMBER($B10))</formula1>
    </dataValidation>
    <dataValidation type="custom" allowBlank="1" showInputMessage="1" showErrorMessage="1" sqref="C10:C31" xr:uid="{B82ABC88-9CA7-41EF-9699-BAA9FC9782F5}">
      <formula1>AND($C10&lt;=1,ISNUMBER($C10),($C10&gt;=$B10))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54AEC-28F8-4275-9FC7-E1DC21EEE8EB}">
  <sheetPr codeName="Sheet23">
    <pageSetUpPr fitToPage="1"/>
  </sheetPr>
  <dimension ref="A1:Q101"/>
  <sheetViews>
    <sheetView showGridLines="0" zoomScaleNormal="100" workbookViewId="0">
      <selection activeCell="G18" sqref="G18:G19"/>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15</v>
      </c>
      <c r="G1" s="64"/>
      <c r="H1" s="14"/>
    </row>
    <row r="2" spans="1:8" s="1" customFormat="1" ht="15.75" x14ac:dyDescent="0.2">
      <c r="A2" s="130" t="s">
        <v>0</v>
      </c>
      <c r="B2" s="131"/>
      <c r="C2" s="131" t="s">
        <v>1</v>
      </c>
      <c r="D2" s="25"/>
      <c r="E2" s="135" t="s">
        <v>2</v>
      </c>
      <c r="F2" s="136" t="s">
        <v>3</v>
      </c>
      <c r="G2" s="137" t="s">
        <v>4</v>
      </c>
      <c r="H2" s="10"/>
    </row>
    <row r="3" spans="1:8" ht="16.5" thickBot="1" x14ac:dyDescent="0.25">
      <c r="A3" s="132">
        <v>43927</v>
      </c>
      <c r="B3" s="133"/>
      <c r="C3" s="134">
        <f>A20</f>
        <v>43933</v>
      </c>
      <c r="D3" s="32"/>
      <c r="E3" s="126" t="s">
        <v>5</v>
      </c>
      <c r="F3" s="138">
        <f>Sumcolor(E3,D10:D23)</f>
        <v>0</v>
      </c>
      <c r="G3" s="201">
        <f>SUM(Først:Sist!F3)</f>
        <v>0.76388888888888862</v>
      </c>
      <c r="H3" s="12"/>
    </row>
    <row r="4" spans="1:8" ht="15.75" x14ac:dyDescent="0.2">
      <c r="A4" s="357" t="s">
        <v>85</v>
      </c>
      <c r="B4" s="358"/>
      <c r="C4" s="358" t="s">
        <v>86</v>
      </c>
      <c r="D4" s="358"/>
      <c r="E4" s="127" t="s">
        <v>7</v>
      </c>
      <c r="F4" s="138">
        <f>Sumcolor(E4,D10:D23)</f>
        <v>0.17708333333333348</v>
      </c>
      <c r="G4" s="201">
        <f>SUM(Først:Sist!F4)</f>
        <v>3.8298611111111116</v>
      </c>
      <c r="H4" s="12"/>
    </row>
    <row r="5" spans="1:8" ht="20.25" customHeight="1" x14ac:dyDescent="0.2">
      <c r="A5" s="360"/>
      <c r="B5" s="361"/>
      <c r="C5" s="361"/>
      <c r="D5" s="361"/>
      <c r="E5" s="128" t="s">
        <v>8</v>
      </c>
      <c r="F5" s="138">
        <f>Sumcolor(E5,D10:D23)</f>
        <v>4.166666666666663E-2</v>
      </c>
      <c r="G5" s="201">
        <f>SUM(Først:Sist!F5)</f>
        <v>0.90972222222222132</v>
      </c>
      <c r="H5" s="12"/>
    </row>
    <row r="6" spans="1:8" ht="21.75" thickBot="1" x14ac:dyDescent="0.25">
      <c r="A6" s="125">
        <f>SUM(D10:D23)</f>
        <v>0.23611111111111127</v>
      </c>
      <c r="B6" s="34"/>
      <c r="C6" s="124">
        <f>SUM(Først:Sist!A6)</f>
        <v>7.6006944444444429</v>
      </c>
      <c r="D6" s="35"/>
      <c r="E6" s="129" t="s">
        <v>9</v>
      </c>
      <c r="F6" s="140">
        <f>Sumcolor(E6,D10:D23)</f>
        <v>1.736111111111116E-2</v>
      </c>
      <c r="G6" s="202">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75" x14ac:dyDescent="0.2">
      <c r="A10" s="146">
        <v>43929</v>
      </c>
      <c r="B10" s="147">
        <v>0.54166666666666663</v>
      </c>
      <c r="C10" s="147">
        <v>0.5625</v>
      </c>
      <c r="D10" s="148">
        <f>(C10-B10)</f>
        <v>2.083333333333337E-2</v>
      </c>
      <c r="E10" s="406" t="s">
        <v>130</v>
      </c>
      <c r="F10" s="369"/>
      <c r="G10" s="400"/>
    </row>
    <row r="11" spans="1:8" ht="15.75" customHeight="1" thickBot="1" x14ac:dyDescent="0.25">
      <c r="A11" s="153"/>
      <c r="B11" s="154"/>
      <c r="C11" s="154"/>
      <c r="D11" s="155"/>
      <c r="E11" s="370"/>
      <c r="F11" s="371"/>
      <c r="G11" s="401"/>
    </row>
    <row r="12" spans="1:8" ht="15.75" x14ac:dyDescent="0.2">
      <c r="A12" s="162">
        <v>43932</v>
      </c>
      <c r="B12" s="163">
        <v>0.54166666666666663</v>
      </c>
      <c r="C12" s="163">
        <v>0.58333333333333337</v>
      </c>
      <c r="D12" s="164">
        <f>(C12-B12)</f>
        <v>4.1666666666666741E-2</v>
      </c>
      <c r="E12" s="396" t="s">
        <v>146</v>
      </c>
      <c r="F12" s="397"/>
      <c r="G12" s="400"/>
    </row>
    <row r="13" spans="1:8" ht="31.5" customHeight="1" thickBot="1" x14ac:dyDescent="0.25">
      <c r="A13" s="165"/>
      <c r="B13" s="166"/>
      <c r="C13" s="166"/>
      <c r="D13" s="167"/>
      <c r="E13" s="398"/>
      <c r="F13" s="399"/>
      <c r="G13" s="401"/>
    </row>
    <row r="14" spans="1:8" ht="12.75" customHeight="1" x14ac:dyDescent="0.2">
      <c r="A14" s="146">
        <v>43932</v>
      </c>
      <c r="B14" s="147">
        <v>0.58333333333333337</v>
      </c>
      <c r="C14" s="147">
        <v>0.60416666666666663</v>
      </c>
      <c r="D14" s="148">
        <f>(C14-B14)</f>
        <v>2.0833333333333259E-2</v>
      </c>
      <c r="E14" s="392" t="s">
        <v>147</v>
      </c>
      <c r="F14" s="393"/>
      <c r="G14" s="407"/>
    </row>
    <row r="15" spans="1:8" ht="18.75" customHeight="1" thickBot="1" x14ac:dyDescent="0.25">
      <c r="A15" s="168"/>
      <c r="B15" s="169"/>
      <c r="C15" s="169"/>
      <c r="D15" s="170"/>
      <c r="E15" s="394"/>
      <c r="F15" s="395"/>
      <c r="G15" s="408"/>
    </row>
    <row r="16" spans="1:8" ht="15.75" x14ac:dyDescent="0.2">
      <c r="A16" s="162">
        <v>43933</v>
      </c>
      <c r="B16" s="163">
        <v>0.68055555555555547</v>
      </c>
      <c r="C16" s="163">
        <v>0.69791666666666663</v>
      </c>
      <c r="D16" s="164">
        <f>(C16-B16)</f>
        <v>1.736111111111116E-2</v>
      </c>
      <c r="E16" s="415" t="s">
        <v>151</v>
      </c>
      <c r="F16" s="416"/>
      <c r="G16" s="400"/>
    </row>
    <row r="17" spans="1:7" ht="16.5" thickBot="1" x14ac:dyDescent="0.25">
      <c r="A17" s="165"/>
      <c r="B17" s="166"/>
      <c r="C17" s="166"/>
      <c r="D17" s="167"/>
      <c r="E17" s="417"/>
      <c r="F17" s="418"/>
      <c r="G17" s="401"/>
    </row>
    <row r="18" spans="1:7" ht="13.9" customHeight="1" x14ac:dyDescent="0.2">
      <c r="A18" s="162">
        <v>43933</v>
      </c>
      <c r="B18" s="163">
        <v>0.85416666666666663</v>
      </c>
      <c r="C18" s="163">
        <v>0.97222222222222221</v>
      </c>
      <c r="D18" s="164">
        <f>(C18-B18)</f>
        <v>0.11805555555555558</v>
      </c>
      <c r="E18" s="396" t="s">
        <v>148</v>
      </c>
      <c r="F18" s="397"/>
      <c r="G18" s="404" t="s">
        <v>157</v>
      </c>
    </row>
    <row r="19" spans="1:7" ht="17.25" customHeight="1" thickBot="1" x14ac:dyDescent="0.25">
      <c r="A19" s="165"/>
      <c r="B19" s="166"/>
      <c r="C19" s="166"/>
      <c r="D19" s="167"/>
      <c r="E19" s="398"/>
      <c r="F19" s="399"/>
      <c r="G19" s="401"/>
    </row>
    <row r="20" spans="1:7" ht="16.899999999999999" customHeight="1" x14ac:dyDescent="0.2">
      <c r="A20" s="156">
        <v>43933</v>
      </c>
      <c r="B20" s="144">
        <v>0.97222222222222221</v>
      </c>
      <c r="C20" s="144">
        <v>0.98958333333333337</v>
      </c>
      <c r="D20" s="145">
        <f>(C20-B20)</f>
        <v>1.736111111111116E-2</v>
      </c>
      <c r="E20" s="380" t="s">
        <v>149</v>
      </c>
      <c r="F20" s="381"/>
      <c r="G20" s="185"/>
    </row>
    <row r="21" spans="1:7" ht="7.5" customHeight="1" thickBot="1" x14ac:dyDescent="0.25">
      <c r="A21" s="159"/>
      <c r="B21" s="160"/>
      <c r="C21" s="160"/>
      <c r="D21" s="161"/>
      <c r="E21" s="382"/>
      <c r="F21" s="383"/>
      <c r="G21" s="198"/>
    </row>
    <row r="22" spans="1:7" ht="13.9" customHeight="1" x14ac:dyDescent="0.2"/>
    <row r="23" spans="1:7" ht="13.9" customHeight="1" x14ac:dyDescent="0.2"/>
    <row r="24" spans="1:7" ht="22.5" customHeight="1" thickBot="1" x14ac:dyDescent="0.25">
      <c r="A24" s="28" t="s">
        <v>16</v>
      </c>
      <c r="B24" s="29"/>
      <c r="C24" s="30"/>
      <c r="D24" s="20"/>
      <c r="E24" s="20"/>
      <c r="F24" s="20"/>
      <c r="G24" s="20"/>
    </row>
    <row r="25" spans="1:7" ht="11.25" customHeight="1" thickBot="1" x14ac:dyDescent="0.25">
      <c r="D25" s="21"/>
      <c r="E25" s="21"/>
      <c r="F25" s="21"/>
      <c r="G25" s="21"/>
    </row>
    <row r="26" spans="1:7" ht="13.9" customHeight="1" x14ac:dyDescent="0.2">
      <c r="A26" s="357" t="s">
        <v>150</v>
      </c>
      <c r="B26" s="358"/>
      <c r="C26" s="358"/>
      <c r="D26" s="358"/>
      <c r="E26" s="358"/>
      <c r="F26" s="358"/>
      <c r="G26" s="359"/>
    </row>
    <row r="27" spans="1:7" ht="18.75" customHeight="1" x14ac:dyDescent="0.2">
      <c r="A27" s="360"/>
      <c r="B27" s="361"/>
      <c r="C27" s="361"/>
      <c r="D27" s="361"/>
      <c r="E27" s="361"/>
      <c r="F27" s="361"/>
      <c r="G27" s="362"/>
    </row>
    <row r="28" spans="1:7" ht="13.9" customHeight="1" x14ac:dyDescent="0.2">
      <c r="A28" s="360"/>
      <c r="B28" s="361"/>
      <c r="C28" s="361"/>
      <c r="D28" s="361"/>
      <c r="E28" s="361"/>
      <c r="F28" s="361"/>
      <c r="G28" s="362"/>
    </row>
    <row r="29" spans="1:7" ht="22.5" customHeight="1" x14ac:dyDescent="0.2">
      <c r="A29" s="360"/>
      <c r="B29" s="361"/>
      <c r="C29" s="361"/>
      <c r="D29" s="361"/>
      <c r="E29" s="361"/>
      <c r="F29" s="361"/>
      <c r="G29" s="362"/>
    </row>
    <row r="30" spans="1:7" ht="13.9" customHeight="1" x14ac:dyDescent="0.2">
      <c r="A30" s="360"/>
      <c r="B30" s="361"/>
      <c r="C30" s="361"/>
      <c r="D30" s="361"/>
      <c r="E30" s="361"/>
      <c r="F30" s="361"/>
      <c r="G30" s="362"/>
    </row>
    <row r="31" spans="1:7" ht="7.5" customHeight="1" x14ac:dyDescent="0.2">
      <c r="A31" s="360"/>
      <c r="B31" s="361"/>
      <c r="C31" s="361"/>
      <c r="D31" s="361"/>
      <c r="E31" s="361"/>
      <c r="F31" s="361"/>
      <c r="G31" s="362"/>
    </row>
    <row r="32" spans="1:7" ht="12.75" customHeight="1" x14ac:dyDescent="0.2">
      <c r="A32" s="360"/>
      <c r="B32" s="361"/>
      <c r="C32" s="361"/>
      <c r="D32" s="361"/>
      <c r="E32" s="361"/>
      <c r="F32" s="361"/>
      <c r="G32" s="362"/>
    </row>
    <row r="33" spans="1:16" ht="12" customHeight="1" x14ac:dyDescent="0.2">
      <c r="A33" s="360"/>
      <c r="B33" s="361"/>
      <c r="C33" s="361"/>
      <c r="D33" s="361"/>
      <c r="E33" s="361"/>
      <c r="F33" s="361"/>
      <c r="G33" s="362"/>
    </row>
    <row r="34" spans="1:16" ht="19.5" customHeight="1" x14ac:dyDescent="0.2">
      <c r="A34" s="360"/>
      <c r="B34" s="361"/>
      <c r="C34" s="361"/>
      <c r="D34" s="361"/>
      <c r="E34" s="361"/>
      <c r="F34" s="361"/>
      <c r="G34" s="362"/>
    </row>
    <row r="35" spans="1:16" ht="12.75" customHeight="1" x14ac:dyDescent="0.2">
      <c r="A35" s="360"/>
      <c r="B35" s="361"/>
      <c r="C35" s="361"/>
      <c r="D35" s="361"/>
      <c r="E35" s="361"/>
      <c r="F35" s="361"/>
      <c r="G35" s="362"/>
    </row>
    <row r="36" spans="1:16" ht="12.75" customHeight="1" x14ac:dyDescent="0.2">
      <c r="A36" s="360"/>
      <c r="B36" s="361"/>
      <c r="C36" s="361"/>
      <c r="D36" s="361"/>
      <c r="E36" s="361"/>
      <c r="F36" s="361"/>
      <c r="G36" s="362"/>
    </row>
    <row r="37" spans="1:16" ht="12.75" customHeight="1" x14ac:dyDescent="0.2">
      <c r="A37" s="360"/>
      <c r="B37" s="361"/>
      <c r="C37" s="361"/>
      <c r="D37" s="361"/>
      <c r="E37" s="361"/>
      <c r="F37" s="361"/>
      <c r="G37" s="362"/>
    </row>
    <row r="38" spans="1:16" ht="12.75" customHeight="1" x14ac:dyDescent="0.2">
      <c r="A38" s="360"/>
      <c r="B38" s="361"/>
      <c r="C38" s="361"/>
      <c r="D38" s="361"/>
      <c r="E38" s="361"/>
      <c r="F38" s="361"/>
      <c r="G38" s="362"/>
    </row>
    <row r="39" spans="1:16" ht="18.75" customHeight="1" x14ac:dyDescent="0.2">
      <c r="A39" s="360"/>
      <c r="B39" s="361"/>
      <c r="C39" s="361"/>
      <c r="D39" s="361"/>
      <c r="E39" s="361"/>
      <c r="F39" s="361"/>
      <c r="G39" s="362"/>
    </row>
    <row r="40" spans="1:16" ht="12.75" customHeight="1" x14ac:dyDescent="0.2">
      <c r="A40" s="360"/>
      <c r="B40" s="361"/>
      <c r="C40" s="361"/>
      <c r="D40" s="361"/>
      <c r="E40" s="361"/>
      <c r="F40" s="361"/>
      <c r="G40" s="362"/>
    </row>
    <row r="41" spans="1:16" ht="23.25" customHeight="1" x14ac:dyDescent="0.2">
      <c r="A41" s="360"/>
      <c r="B41" s="361"/>
      <c r="C41" s="361"/>
      <c r="D41" s="361"/>
      <c r="E41" s="361"/>
      <c r="F41" s="361"/>
      <c r="G41" s="362"/>
    </row>
    <row r="42" spans="1:16" ht="15" customHeight="1" x14ac:dyDescent="0.2">
      <c r="A42" s="360"/>
      <c r="B42" s="361"/>
      <c r="C42" s="361"/>
      <c r="D42" s="361"/>
      <c r="E42" s="361"/>
      <c r="F42" s="361"/>
      <c r="G42" s="362"/>
    </row>
    <row r="43" spans="1:16" ht="34.5" customHeight="1" x14ac:dyDescent="0.2">
      <c r="A43" s="360"/>
      <c r="B43" s="361"/>
      <c r="C43" s="361"/>
      <c r="D43" s="361"/>
      <c r="E43" s="361"/>
      <c r="F43" s="361"/>
      <c r="G43" s="362"/>
    </row>
    <row r="44" spans="1:16" ht="15.75" customHeight="1" x14ac:dyDescent="0.2">
      <c r="A44" s="360"/>
      <c r="B44" s="361"/>
      <c r="C44" s="361"/>
      <c r="D44" s="361"/>
      <c r="E44" s="361"/>
      <c r="F44" s="361"/>
      <c r="G44" s="362"/>
    </row>
    <row r="45" spans="1:16" ht="9" customHeight="1" x14ac:dyDescent="0.2">
      <c r="A45" s="360"/>
      <c r="B45" s="361"/>
      <c r="C45" s="361"/>
      <c r="D45" s="361"/>
      <c r="E45" s="361"/>
      <c r="F45" s="361"/>
      <c r="G45" s="362"/>
      <c r="J45" s="172"/>
      <c r="K45" s="172"/>
      <c r="L45" s="172"/>
      <c r="M45" s="172"/>
      <c r="N45" s="172"/>
      <c r="O45" s="172"/>
      <c r="P45" s="172"/>
    </row>
    <row r="46" spans="1:16" ht="15" customHeight="1" x14ac:dyDescent="0.2">
      <c r="A46" s="360"/>
      <c r="B46" s="361"/>
      <c r="C46" s="361"/>
      <c r="D46" s="361"/>
      <c r="E46" s="361"/>
      <c r="F46" s="361"/>
      <c r="G46" s="362"/>
      <c r="J46" s="172"/>
      <c r="K46" s="172"/>
      <c r="L46" s="172"/>
    </row>
    <row r="47" spans="1:16" ht="26.25" customHeight="1" x14ac:dyDescent="0.2">
      <c r="A47" s="360"/>
      <c r="B47" s="361"/>
      <c r="C47" s="361"/>
      <c r="D47" s="361"/>
      <c r="E47" s="361"/>
      <c r="F47" s="361"/>
      <c r="G47" s="362"/>
      <c r="J47" s="172"/>
      <c r="K47" s="172"/>
      <c r="L47" s="172"/>
    </row>
    <row r="48" spans="1:16" ht="12.75" customHeight="1" x14ac:dyDescent="0.2">
      <c r="A48" s="360"/>
      <c r="B48" s="361"/>
      <c r="C48" s="361"/>
      <c r="D48" s="361"/>
      <c r="E48" s="361"/>
      <c r="F48" s="361"/>
      <c r="G48" s="362"/>
      <c r="J48" s="172"/>
      <c r="K48" s="172"/>
      <c r="L48" s="172"/>
    </row>
    <row r="49" spans="1:12" ht="12.75" customHeight="1" x14ac:dyDescent="0.2">
      <c r="A49" s="360"/>
      <c r="B49" s="361"/>
      <c r="C49" s="361"/>
      <c r="D49" s="361"/>
      <c r="E49" s="361"/>
      <c r="F49" s="361"/>
      <c r="G49" s="362"/>
      <c r="J49" s="172"/>
      <c r="K49" s="172"/>
      <c r="L49" s="172"/>
    </row>
    <row r="50" spans="1:12" ht="12.75" customHeight="1" x14ac:dyDescent="0.2">
      <c r="A50" s="360"/>
      <c r="B50" s="361"/>
      <c r="C50" s="361"/>
      <c r="D50" s="361"/>
      <c r="E50" s="361"/>
      <c r="F50" s="361"/>
      <c r="G50" s="362"/>
      <c r="J50" s="172"/>
      <c r="K50" s="172"/>
    </row>
    <row r="51" spans="1:12" ht="12.75" customHeight="1" x14ac:dyDescent="0.2">
      <c r="A51" s="360"/>
      <c r="B51" s="361"/>
      <c r="C51" s="361"/>
      <c r="D51" s="361"/>
      <c r="E51" s="361"/>
      <c r="F51" s="361"/>
      <c r="G51" s="362"/>
      <c r="J51" s="172"/>
      <c r="K51" s="172"/>
    </row>
    <row r="52" spans="1:12" ht="21.75" customHeight="1" x14ac:dyDescent="0.2">
      <c r="A52" s="360"/>
      <c r="B52" s="361"/>
      <c r="C52" s="361"/>
      <c r="D52" s="361"/>
      <c r="E52" s="361"/>
      <c r="F52" s="361"/>
      <c r="G52" s="362"/>
      <c r="H52" s="5"/>
      <c r="J52" s="172"/>
    </row>
    <row r="53" spans="1:12" ht="23.25" customHeight="1" x14ac:dyDescent="0.2">
      <c r="A53" s="360"/>
      <c r="B53" s="361"/>
      <c r="C53" s="361"/>
      <c r="D53" s="361"/>
      <c r="E53" s="361"/>
      <c r="F53" s="361"/>
      <c r="G53" s="362"/>
      <c r="H53" s="5"/>
      <c r="J53" s="172"/>
    </row>
    <row r="54" spans="1:12" ht="20.25" customHeight="1" x14ac:dyDescent="0.2">
      <c r="A54" s="360"/>
      <c r="B54" s="361"/>
      <c r="C54" s="361"/>
      <c r="D54" s="361"/>
      <c r="E54" s="361"/>
      <c r="F54" s="361"/>
      <c r="G54" s="362"/>
      <c r="H54" s="6"/>
      <c r="J54" s="172"/>
    </row>
    <row r="55" spans="1:12" ht="15.75" customHeight="1" x14ac:dyDescent="0.2">
      <c r="A55" s="360"/>
      <c r="B55" s="361"/>
      <c r="C55" s="361"/>
      <c r="D55" s="361"/>
      <c r="E55" s="361"/>
      <c r="F55" s="361"/>
      <c r="G55" s="362"/>
      <c r="H55" s="7"/>
      <c r="J55" s="172"/>
    </row>
    <row r="56" spans="1:12" ht="12.75" customHeight="1" x14ac:dyDescent="0.2">
      <c r="A56" s="360"/>
      <c r="B56" s="361"/>
      <c r="C56" s="361"/>
      <c r="D56" s="361"/>
      <c r="E56" s="361"/>
      <c r="F56" s="361"/>
      <c r="G56" s="362"/>
      <c r="H56" s="15"/>
      <c r="J56" s="172"/>
    </row>
    <row r="57" spans="1:12" ht="12.75" customHeight="1" x14ac:dyDescent="0.2">
      <c r="A57" s="360"/>
      <c r="B57" s="361"/>
      <c r="C57" s="361"/>
      <c r="D57" s="361"/>
      <c r="E57" s="361"/>
      <c r="F57" s="361"/>
      <c r="G57" s="362"/>
      <c r="H57" s="15"/>
      <c r="J57" s="172"/>
    </row>
    <row r="58" spans="1:12" ht="20.25" customHeight="1" thickBot="1" x14ac:dyDescent="0.25">
      <c r="A58" s="363"/>
      <c r="B58" s="364"/>
      <c r="C58" s="364"/>
      <c r="D58" s="364"/>
      <c r="E58" s="364"/>
      <c r="F58" s="364"/>
      <c r="G58" s="365"/>
      <c r="H58" s="15"/>
    </row>
    <row r="59" spans="1:12" ht="12.75" customHeight="1" x14ac:dyDescent="0.2">
      <c r="H59" s="15"/>
    </row>
    <row r="60" spans="1:12" ht="12.75" customHeight="1" x14ac:dyDescent="0.2">
      <c r="H60" s="15"/>
    </row>
    <row r="61" spans="1:12" ht="12.75" customHeight="1" x14ac:dyDescent="0.2">
      <c r="H61" s="15"/>
    </row>
    <row r="62" spans="1:12" ht="12.75" customHeight="1" x14ac:dyDescent="0.2">
      <c r="H62" s="15"/>
    </row>
    <row r="63" spans="1:12" ht="12.75" customHeight="1" x14ac:dyDescent="0.2">
      <c r="H63" s="15"/>
    </row>
    <row r="64" spans="1:12" ht="12.75" customHeight="1" x14ac:dyDescent="0.2">
      <c r="H64" s="15"/>
      <c r="J64" s="178"/>
    </row>
    <row r="65" spans="8:10" ht="12.75" customHeight="1" x14ac:dyDescent="0.2">
      <c r="H65" s="15"/>
      <c r="J65" s="178"/>
    </row>
    <row r="66" spans="8:10" ht="12.75" customHeight="1" x14ac:dyDescent="0.2">
      <c r="H66" s="15"/>
    </row>
    <row r="67" spans="8:10" ht="13.5" customHeight="1" x14ac:dyDescent="0.2"/>
    <row r="68" spans="8:10" ht="12.75" customHeight="1" x14ac:dyDescent="0.2"/>
    <row r="69" spans="8:10" ht="12.75" customHeight="1" x14ac:dyDescent="0.2"/>
    <row r="70" spans="8:10" ht="12.75" customHeight="1" x14ac:dyDescent="0.2"/>
    <row r="71" spans="8:10" ht="12.75" customHeight="1" x14ac:dyDescent="0.2"/>
    <row r="72" spans="8:10" ht="12.75" customHeight="1" x14ac:dyDescent="0.2"/>
    <row r="73" spans="8:10" ht="12.75" customHeight="1" x14ac:dyDescent="0.2"/>
    <row r="74" spans="8:10" ht="12.75" customHeight="1" x14ac:dyDescent="0.2"/>
    <row r="75" spans="8:10" ht="12.75" customHeight="1" x14ac:dyDescent="0.2"/>
    <row r="76" spans="8:10" ht="12.75" customHeight="1" x14ac:dyDescent="0.2"/>
    <row r="77" spans="8:10" ht="12.75" customHeight="1" x14ac:dyDescent="0.2"/>
    <row r="78" spans="8:10" ht="13.5" customHeight="1" x14ac:dyDescent="0.2"/>
    <row r="79" spans="8:10" ht="12.75" customHeight="1" x14ac:dyDescent="0.2"/>
    <row r="80" spans="8:10" ht="12.75" customHeight="1" x14ac:dyDescent="0.2"/>
    <row r="81" spans="12:17" ht="177" customHeight="1" x14ac:dyDescent="0.2"/>
    <row r="82" spans="12:17" ht="12.75" customHeight="1" x14ac:dyDescent="0.2"/>
    <row r="83" spans="12:17" ht="12.75" customHeight="1" x14ac:dyDescent="0.2"/>
    <row r="84" spans="12:17" ht="12.75" customHeight="1" x14ac:dyDescent="0.2"/>
    <row r="85" spans="12:17" ht="12.75" customHeight="1" x14ac:dyDescent="0.2"/>
    <row r="86" spans="12:17" ht="12.75" customHeight="1" x14ac:dyDescent="0.2"/>
    <row r="87" spans="12:17" ht="12.75" customHeight="1" x14ac:dyDescent="0.2"/>
    <row r="88" spans="12:17" ht="71.25" customHeight="1" x14ac:dyDescent="0.2"/>
    <row r="92" spans="12:17" x14ac:dyDescent="0.2">
      <c r="L92" s="172"/>
    </row>
    <row r="93" spans="12:17" x14ac:dyDescent="0.2">
      <c r="L93" s="172"/>
    </row>
    <row r="94" spans="12:17" x14ac:dyDescent="0.2">
      <c r="L94" s="172"/>
    </row>
    <row r="95" spans="12:17" x14ac:dyDescent="0.2">
      <c r="L95" s="172"/>
    </row>
    <row r="96" spans="12:17" x14ac:dyDescent="0.2">
      <c r="L96" s="172"/>
      <c r="M96" s="172"/>
      <c r="N96" s="172"/>
      <c r="O96" s="172"/>
      <c r="P96" s="172"/>
      <c r="Q96" s="172"/>
    </row>
    <row r="97" spans="12:17" x14ac:dyDescent="0.2">
      <c r="L97" s="172"/>
      <c r="M97" s="172"/>
      <c r="N97" s="172"/>
      <c r="O97" s="172"/>
      <c r="P97" s="172"/>
      <c r="Q97" s="172"/>
    </row>
    <row r="98" spans="12:17" x14ac:dyDescent="0.2">
      <c r="L98" s="172"/>
      <c r="M98" s="172"/>
      <c r="N98" s="172"/>
      <c r="O98" s="172"/>
      <c r="P98" s="172"/>
      <c r="Q98" s="172"/>
    </row>
    <row r="99" spans="12:17" x14ac:dyDescent="0.2">
      <c r="L99" s="172"/>
      <c r="M99" s="172"/>
      <c r="N99" s="172"/>
      <c r="O99" s="172"/>
      <c r="P99" s="172"/>
      <c r="Q99" s="172"/>
    </row>
    <row r="100" spans="12:17" x14ac:dyDescent="0.2">
      <c r="L100" s="172"/>
      <c r="M100" s="172"/>
      <c r="N100" s="172"/>
      <c r="O100" s="172"/>
      <c r="P100" s="172"/>
      <c r="Q100" s="172"/>
    </row>
    <row r="101" spans="12:17" x14ac:dyDescent="0.2">
      <c r="L101" s="172"/>
      <c r="M101" s="172"/>
      <c r="N101" s="172"/>
      <c r="O101" s="172"/>
      <c r="P101" s="172"/>
      <c r="Q101" s="172"/>
    </row>
  </sheetData>
  <mergeCells count="15">
    <mergeCell ref="A26:G58"/>
    <mergeCell ref="E20:F21"/>
    <mergeCell ref="E14:F15"/>
    <mergeCell ref="G14:G15"/>
    <mergeCell ref="E16:F17"/>
    <mergeCell ref="G16:G17"/>
    <mergeCell ref="E18:F19"/>
    <mergeCell ref="G18:G19"/>
    <mergeCell ref="E12:F13"/>
    <mergeCell ref="G12:G13"/>
    <mergeCell ref="A1:E1"/>
    <mergeCell ref="A4:B5"/>
    <mergeCell ref="C4:D5"/>
    <mergeCell ref="E10:F11"/>
    <mergeCell ref="G10:G11"/>
  </mergeCells>
  <conditionalFormatting sqref="H52:H53">
    <cfRule type="expression" dxfId="137" priority="25">
      <formula>ISNUMBER(SEARCH(TEXT(#REF!,"ddd"),#REF!))</formula>
    </cfRule>
  </conditionalFormatting>
  <conditionalFormatting sqref="A10:D10 D11:D12 A11 M45:N45 B11:C21">
    <cfRule type="expression" dxfId="136" priority="26">
      <formula>ISNUMBER(SEARCH(TEXT(#REF!,"ddd"),#REF!))</formula>
    </cfRule>
  </conditionalFormatting>
  <conditionalFormatting sqref="D14:D17">
    <cfRule type="expression" dxfId="135" priority="24">
      <formula>ISNUMBER(SEARCH(TEXT(#REF!,"ddd"),#REF!))</formula>
    </cfRule>
  </conditionalFormatting>
  <conditionalFormatting sqref="A14:A15 A17">
    <cfRule type="expression" dxfId="134" priority="22">
      <formula>ISNUMBER(SEARCH(TEXT(#REF!,"ddd"),#REF!))</formula>
    </cfRule>
  </conditionalFormatting>
  <conditionalFormatting sqref="A13 D13">
    <cfRule type="expression" dxfId="133" priority="23">
      <formula>ISNUMBER(SEARCH(TEXT(#REF!,"ddd"),#REF!))</formula>
    </cfRule>
  </conditionalFormatting>
  <conditionalFormatting sqref="O45 D18:D21">
    <cfRule type="expression" dxfId="132" priority="21">
      <formula>ISNUMBER(SEARCH(TEXT(#REF!,"ddd"),#REF!))</formula>
    </cfRule>
  </conditionalFormatting>
  <conditionalFormatting sqref="A19 A21 L45:L47">
    <cfRule type="expression" dxfId="131" priority="20">
      <formula>ISNUMBER(SEARCH(TEXT(#REF!,"ddd"),#REF!))</formula>
    </cfRule>
  </conditionalFormatting>
  <conditionalFormatting sqref="A20">
    <cfRule type="expression" dxfId="130" priority="15">
      <formula>ISNUMBER(SEARCH(TEXT(#REF!,"ddd"),#REF!))</formula>
    </cfRule>
  </conditionalFormatting>
  <conditionalFormatting sqref="N96:O100">
    <cfRule type="expression" dxfId="129" priority="6">
      <formula>ISNUMBER(SEARCH(TEXT(#REF!,"ddd"),#REF!))</formula>
    </cfRule>
  </conditionalFormatting>
  <conditionalFormatting sqref="P96:P100">
    <cfRule type="expression" dxfId="128" priority="5">
      <formula>ISNUMBER(SEARCH(TEXT(#REF!,"ddd"),#REF!))</formula>
    </cfRule>
  </conditionalFormatting>
  <conditionalFormatting sqref="M96:M100">
    <cfRule type="expression" dxfId="127" priority="4">
      <formula>ISNUMBER(SEARCH(TEXT(#REF!,"ddd"),#REF!))</formula>
    </cfRule>
  </conditionalFormatting>
  <conditionalFormatting sqref="A16">
    <cfRule type="expression" dxfId="126" priority="3">
      <formula>ISNUMBER(SEARCH(TEXT(#REF!,"ddd"),#REF!))</formula>
    </cfRule>
  </conditionalFormatting>
  <conditionalFormatting sqref="A18">
    <cfRule type="expression" dxfId="125" priority="2">
      <formula>ISNUMBER(SEARCH(TEXT(#REF!,"ddd"),#REF!))</formula>
    </cfRule>
  </conditionalFormatting>
  <conditionalFormatting sqref="A12">
    <cfRule type="expression" dxfId="124" priority="1">
      <formula>ISNUMBER(SEARCH(TEXT(#REF!,"ddd"),#REF!))</formula>
    </cfRule>
  </conditionalFormatting>
  <dataValidations count="2">
    <dataValidation type="custom" allowBlank="1" showInputMessage="1" showErrorMessage="1" sqref="C10:C21" xr:uid="{838F50BD-ABE2-4052-B949-2CC6527FF057}">
      <formula1>AND($C10&lt;=1,ISNUMBER($C10),($C10&gt;=$B10))</formula1>
    </dataValidation>
    <dataValidation type="custom" allowBlank="1" showInputMessage="1" showErrorMessage="1" sqref="B10:B21" xr:uid="{BD50262E-9B6D-4CF3-8B86-CB3526933BE3}">
      <formula1>AND($B10&lt;=1,ISNUMBER($B10))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8A499-521A-42D9-914E-77DA24417232}">
  <sheetPr codeName="Sheet24">
    <pageSetUpPr fitToPage="1"/>
  </sheetPr>
  <dimension ref="A1:Q101"/>
  <sheetViews>
    <sheetView showGridLines="0" zoomScaleNormal="100" workbookViewId="0">
      <selection activeCell="F50" sqref="F50"/>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16</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43934</v>
      </c>
      <c r="B3" s="133"/>
      <c r="C3" s="134">
        <f>A26</f>
        <v>43940</v>
      </c>
      <c r="D3" s="32"/>
      <c r="E3" s="126" t="s">
        <v>5</v>
      </c>
      <c r="F3" s="138">
        <f>Sumcolor(E3,D10:D33)</f>
        <v>0</v>
      </c>
      <c r="G3" s="201">
        <f>SUM(Først:Sist!F3)</f>
        <v>0.76388888888888862</v>
      </c>
      <c r="H3" s="12"/>
    </row>
    <row r="4" spans="1:8" ht="15.75" x14ac:dyDescent="0.2">
      <c r="A4" s="357" t="s">
        <v>85</v>
      </c>
      <c r="B4" s="358"/>
      <c r="C4" s="358" t="s">
        <v>86</v>
      </c>
      <c r="D4" s="358"/>
      <c r="E4" s="127" t="s">
        <v>7</v>
      </c>
      <c r="F4" s="138">
        <f>Sumcolor(E4,D10:D33)</f>
        <v>0.2986111111111111</v>
      </c>
      <c r="G4" s="201">
        <f>SUM(Først:Sist!F4)</f>
        <v>3.8298611111111116</v>
      </c>
      <c r="H4" s="12"/>
    </row>
    <row r="5" spans="1:8" ht="20.25" customHeight="1" x14ac:dyDescent="0.2">
      <c r="A5" s="360"/>
      <c r="B5" s="361"/>
      <c r="C5" s="361"/>
      <c r="D5" s="361"/>
      <c r="E5" s="128" t="s">
        <v>8</v>
      </c>
      <c r="F5" s="138">
        <f>Sumcolor(E5,D10:D33)</f>
        <v>3.1249999999999889E-2</v>
      </c>
      <c r="G5" s="201">
        <f>SUM(Først:Sist!F5)</f>
        <v>0.90972222222222132</v>
      </c>
      <c r="H5" s="12"/>
    </row>
    <row r="6" spans="1:8" ht="21.75" thickBot="1" x14ac:dyDescent="0.25">
      <c r="A6" s="125">
        <f>SUM(D10:D33)</f>
        <v>0.34374999999999983</v>
      </c>
      <c r="B6" s="34"/>
      <c r="C6" s="124">
        <f>SUM(Først:Sist!A6)</f>
        <v>7.6006944444444429</v>
      </c>
      <c r="D6" s="35"/>
      <c r="E6" s="129" t="s">
        <v>9</v>
      </c>
      <c r="F6" s="140">
        <f>Sumcolor(E6,D10:D33)</f>
        <v>1.388888888888884E-2</v>
      </c>
      <c r="G6" s="202">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75" x14ac:dyDescent="0.2">
      <c r="A10" s="162">
        <v>43934</v>
      </c>
      <c r="B10" s="163">
        <v>1.3888888888888888E-2</v>
      </c>
      <c r="C10" s="163">
        <v>5.5555555555555552E-2</v>
      </c>
      <c r="D10" s="164">
        <f>(C10-B10)</f>
        <v>4.1666666666666664E-2</v>
      </c>
      <c r="E10" s="422" t="s">
        <v>155</v>
      </c>
      <c r="F10" s="423"/>
      <c r="G10" s="404" t="s">
        <v>157</v>
      </c>
    </row>
    <row r="11" spans="1:8" ht="7.5" customHeight="1" thickBot="1" x14ac:dyDescent="0.25">
      <c r="A11" s="204"/>
      <c r="B11" s="205"/>
      <c r="C11" s="205"/>
      <c r="D11" s="206"/>
      <c r="E11" s="424"/>
      <c r="F11" s="425"/>
      <c r="G11" s="401"/>
    </row>
    <row r="12" spans="1:8" ht="15.75" x14ac:dyDescent="0.2">
      <c r="A12" s="162">
        <v>43934</v>
      </c>
      <c r="B12" s="163">
        <v>8.3333333333333329E-2</v>
      </c>
      <c r="C12" s="163">
        <v>0.18055555555555555</v>
      </c>
      <c r="D12" s="164">
        <f>(C12-B12)</f>
        <v>9.7222222222222224E-2</v>
      </c>
      <c r="E12" s="422" t="s">
        <v>154</v>
      </c>
      <c r="F12" s="423"/>
      <c r="G12" s="404" t="s">
        <v>157</v>
      </c>
    </row>
    <row r="13" spans="1:8" ht="63" customHeight="1" thickBot="1" x14ac:dyDescent="0.25">
      <c r="A13" s="165"/>
      <c r="B13" s="166"/>
      <c r="C13" s="166"/>
      <c r="D13" s="167"/>
      <c r="E13" s="424"/>
      <c r="F13" s="425"/>
      <c r="G13" s="401"/>
    </row>
    <row r="14" spans="1:8" ht="12.75" customHeight="1" x14ac:dyDescent="0.2">
      <c r="A14" s="146">
        <v>43934</v>
      </c>
      <c r="B14" s="147">
        <v>0.58680555555555558</v>
      </c>
      <c r="C14" s="147">
        <v>0.60069444444444442</v>
      </c>
      <c r="D14" s="148">
        <f>(C14-B14)</f>
        <v>1.388888888888884E-2</v>
      </c>
      <c r="E14" s="392" t="s">
        <v>152</v>
      </c>
      <c r="F14" s="393"/>
      <c r="G14" s="407"/>
    </row>
    <row r="15" spans="1:8" ht="16.5" customHeight="1" thickBot="1" x14ac:dyDescent="0.25">
      <c r="A15" s="168"/>
      <c r="B15" s="169"/>
      <c r="C15" s="169"/>
      <c r="D15" s="170"/>
      <c r="E15" s="394"/>
      <c r="F15" s="395"/>
      <c r="G15" s="408"/>
    </row>
    <row r="16" spans="1:8" ht="15.75" x14ac:dyDescent="0.2">
      <c r="A16" s="162">
        <v>43934</v>
      </c>
      <c r="B16" s="163">
        <v>0.61805555555555558</v>
      </c>
      <c r="C16" s="163">
        <v>0.65277777777777779</v>
      </c>
      <c r="D16" s="164">
        <f>(C16-B16)</f>
        <v>3.472222222222221E-2</v>
      </c>
      <c r="E16" s="415" t="s">
        <v>153</v>
      </c>
      <c r="F16" s="416"/>
      <c r="G16" s="404" t="s">
        <v>157</v>
      </c>
    </row>
    <row r="17" spans="1:7" ht="6.75" customHeight="1" thickBot="1" x14ac:dyDescent="0.25">
      <c r="A17" s="165"/>
      <c r="B17" s="166"/>
      <c r="C17" s="166"/>
      <c r="D17" s="167"/>
      <c r="E17" s="417"/>
      <c r="F17" s="418"/>
      <c r="G17" s="401"/>
    </row>
    <row r="18" spans="1:7" ht="13.9" customHeight="1" x14ac:dyDescent="0.2">
      <c r="A18" s="162">
        <v>43934</v>
      </c>
      <c r="B18" s="163">
        <v>0.80208333333333337</v>
      </c>
      <c r="C18" s="163">
        <v>0.84375</v>
      </c>
      <c r="D18" s="164">
        <f>(C18-B18)</f>
        <v>4.166666666666663E-2</v>
      </c>
      <c r="E18" s="396" t="s">
        <v>156</v>
      </c>
      <c r="F18" s="397"/>
      <c r="G18" s="404"/>
    </row>
    <row r="19" spans="1:7" ht="6" customHeight="1" thickBot="1" x14ac:dyDescent="0.25">
      <c r="A19" s="165"/>
      <c r="B19" s="166"/>
      <c r="C19" s="166"/>
      <c r="D19" s="167"/>
      <c r="E19" s="398"/>
      <c r="F19" s="399"/>
      <c r="G19" s="401"/>
    </row>
    <row r="20" spans="1:7" ht="15.75" customHeight="1" x14ac:dyDescent="0.2">
      <c r="A20" s="146">
        <v>43937</v>
      </c>
      <c r="B20" s="176">
        <v>0.58680555555555558</v>
      </c>
      <c r="C20" s="176">
        <v>0.60416666666666663</v>
      </c>
      <c r="D20" s="177">
        <f>(C20-B20)</f>
        <v>1.7361111111111049E-2</v>
      </c>
      <c r="E20" s="392" t="s">
        <v>152</v>
      </c>
      <c r="F20" s="393"/>
      <c r="G20" s="185"/>
    </row>
    <row r="21" spans="1:7" ht="11.25" customHeight="1" thickBot="1" x14ac:dyDescent="0.25">
      <c r="A21" s="175"/>
      <c r="B21" s="169"/>
      <c r="C21" s="169"/>
      <c r="D21" s="170"/>
      <c r="E21" s="394"/>
      <c r="F21" s="395"/>
      <c r="G21" s="203"/>
    </row>
    <row r="22" spans="1:7" ht="12" customHeight="1" x14ac:dyDescent="0.2">
      <c r="A22" s="426">
        <v>43940</v>
      </c>
      <c r="B22" s="428">
        <v>0.83333333333333337</v>
      </c>
      <c r="C22" s="428">
        <v>0.89583333333333337</v>
      </c>
      <c r="D22" s="430">
        <f>(C22-B22)</f>
        <v>6.25E-2</v>
      </c>
      <c r="E22" s="396" t="s">
        <v>158</v>
      </c>
      <c r="F22" s="416"/>
      <c r="G22" s="185" t="s">
        <v>161</v>
      </c>
    </row>
    <row r="23" spans="1:7" ht="19.5" customHeight="1" thickBot="1" x14ac:dyDescent="0.25">
      <c r="A23" s="427"/>
      <c r="B23" s="429"/>
      <c r="C23" s="429"/>
      <c r="D23" s="431"/>
      <c r="E23" s="417"/>
      <c r="F23" s="418"/>
      <c r="G23" s="203"/>
    </row>
    <row r="24" spans="1:7" ht="13.9" customHeight="1" x14ac:dyDescent="0.2">
      <c r="A24" s="426">
        <v>43940</v>
      </c>
      <c r="B24" s="181">
        <v>0.9375</v>
      </c>
      <c r="C24" s="181">
        <v>0.95833333333333337</v>
      </c>
      <c r="D24" s="182">
        <f>(C24-B24)</f>
        <v>2.083333333333337E-2</v>
      </c>
      <c r="E24" s="396" t="s">
        <v>158</v>
      </c>
      <c r="F24" s="416"/>
      <c r="G24" s="185" t="s">
        <v>161</v>
      </c>
    </row>
    <row r="25" spans="1:7" ht="19.5" customHeight="1" thickBot="1" x14ac:dyDescent="0.25">
      <c r="A25" s="427"/>
      <c r="B25" s="166"/>
      <c r="C25" s="166"/>
      <c r="D25" s="167"/>
      <c r="E25" s="417"/>
      <c r="F25" s="418"/>
      <c r="G25" s="203"/>
    </row>
    <row r="26" spans="1:7" ht="13.9" customHeight="1" x14ac:dyDescent="0.2">
      <c r="A26" s="432">
        <v>43940</v>
      </c>
      <c r="B26" s="144">
        <v>0.95833333333333337</v>
      </c>
      <c r="C26" s="144">
        <v>0.97222222222222221</v>
      </c>
      <c r="D26" s="145">
        <f>(C26-B26)</f>
        <v>1.388888888888884E-2</v>
      </c>
      <c r="E26" s="405" t="s">
        <v>159</v>
      </c>
      <c r="F26" s="419"/>
      <c r="G26" s="184"/>
    </row>
    <row r="27" spans="1:7" ht="18.600000000000001" customHeight="1" thickBot="1" x14ac:dyDescent="0.25">
      <c r="A27" s="433"/>
      <c r="B27" s="160"/>
      <c r="C27" s="160"/>
      <c r="D27" s="161"/>
      <c r="E27" s="420"/>
      <c r="F27" s="421"/>
      <c r="G27" s="203"/>
    </row>
    <row r="28" spans="1:7" ht="13.9" customHeight="1" x14ac:dyDescent="0.2"/>
    <row r="29" spans="1:7" ht="11.45" customHeight="1" x14ac:dyDescent="0.2"/>
    <row r="30" spans="1:7" ht="13.9" customHeight="1" x14ac:dyDescent="0.2"/>
    <row r="31" spans="1:7" ht="12.6" customHeight="1" x14ac:dyDescent="0.2"/>
    <row r="33" spans="10:10" ht="12" customHeight="1" x14ac:dyDescent="0.2"/>
    <row r="34" spans="10:10" ht="19.5" customHeight="1" x14ac:dyDescent="0.2"/>
    <row r="37" spans="10:10" ht="12.75" customHeight="1" x14ac:dyDescent="0.2"/>
    <row r="39" spans="10:10" ht="18.75" customHeight="1" x14ac:dyDescent="0.2">
      <c r="J39" s="171"/>
    </row>
    <row r="40" spans="10:10" ht="12.75" customHeight="1" x14ac:dyDescent="0.2">
      <c r="J40" s="172"/>
    </row>
    <row r="41" spans="10:10" ht="23.25" customHeight="1" x14ac:dyDescent="0.2">
      <c r="J41" s="172"/>
    </row>
    <row r="42" spans="10:10" ht="15" customHeight="1" x14ac:dyDescent="0.2">
      <c r="J42" s="172"/>
    </row>
    <row r="43" spans="10:10" ht="15" customHeight="1" x14ac:dyDescent="0.2">
      <c r="J43" s="172"/>
    </row>
    <row r="44" spans="10:10" ht="15.75" customHeight="1" x14ac:dyDescent="0.2">
      <c r="J44" s="172"/>
    </row>
    <row r="45" spans="10:10" ht="9" customHeight="1" x14ac:dyDescent="0.2">
      <c r="J45" s="172"/>
    </row>
    <row r="46" spans="10:10" ht="15" customHeight="1" x14ac:dyDescent="0.2">
      <c r="J46" s="172"/>
    </row>
    <row r="47" spans="10:10" ht="26.25" customHeight="1" x14ac:dyDescent="0.2">
      <c r="J47" s="172"/>
    </row>
    <row r="48" spans="10:10" ht="12.75" customHeight="1" x14ac:dyDescent="0.2">
      <c r="J48" s="172"/>
    </row>
    <row r="49" spans="1:10" ht="12.75" customHeight="1" x14ac:dyDescent="0.2">
      <c r="J49" s="172"/>
    </row>
    <row r="50" spans="1:10" ht="12.75" customHeight="1" x14ac:dyDescent="0.2">
      <c r="J50" s="172"/>
    </row>
    <row r="51" spans="1:10" ht="12.75" customHeight="1" x14ac:dyDescent="0.2">
      <c r="J51" s="172"/>
    </row>
    <row r="52" spans="1:10" ht="21.75" customHeight="1" x14ac:dyDescent="0.2">
      <c r="H52" s="5"/>
      <c r="J52" s="172"/>
    </row>
    <row r="53" spans="1:10" ht="23.25" customHeight="1" thickBot="1" x14ac:dyDescent="0.25">
      <c r="A53" s="28" t="s">
        <v>16</v>
      </c>
      <c r="B53" s="29"/>
      <c r="C53" s="30"/>
      <c r="D53" s="20"/>
      <c r="E53" s="20"/>
      <c r="F53" s="20"/>
      <c r="G53" s="20"/>
      <c r="H53" s="5"/>
    </row>
    <row r="54" spans="1:10" ht="20.25" customHeight="1" thickBot="1" x14ac:dyDescent="0.25">
      <c r="D54" s="21"/>
      <c r="E54" s="21"/>
      <c r="F54" s="21"/>
      <c r="G54" s="21"/>
      <c r="H54" s="6"/>
    </row>
    <row r="55" spans="1:10" ht="15.75" customHeight="1" x14ac:dyDescent="0.2">
      <c r="A55" s="357" t="s">
        <v>160</v>
      </c>
      <c r="B55" s="358"/>
      <c r="C55" s="358"/>
      <c r="D55" s="358"/>
      <c r="E55" s="358"/>
      <c r="F55" s="358"/>
      <c r="G55" s="359"/>
      <c r="H55" s="7"/>
    </row>
    <row r="56" spans="1:10" ht="12.75" customHeight="1" x14ac:dyDescent="0.2">
      <c r="A56" s="360"/>
      <c r="B56" s="361"/>
      <c r="C56" s="361"/>
      <c r="D56" s="361"/>
      <c r="E56" s="361"/>
      <c r="F56" s="361"/>
      <c r="G56" s="362"/>
      <c r="H56" s="15"/>
    </row>
    <row r="57" spans="1:10" ht="12.75" customHeight="1" x14ac:dyDescent="0.2">
      <c r="A57" s="360"/>
      <c r="B57" s="361"/>
      <c r="C57" s="361"/>
      <c r="D57" s="361"/>
      <c r="E57" s="361"/>
      <c r="F57" s="361"/>
      <c r="G57" s="362"/>
      <c r="H57" s="15"/>
    </row>
    <row r="58" spans="1:10" ht="13.5" customHeight="1" x14ac:dyDescent="0.2">
      <c r="A58" s="360"/>
      <c r="B58" s="361"/>
      <c r="C58" s="361"/>
      <c r="D58" s="361"/>
      <c r="E58" s="361"/>
      <c r="F58" s="361"/>
      <c r="G58" s="362"/>
      <c r="H58" s="15"/>
    </row>
    <row r="59" spans="1:10" ht="12.75" customHeight="1" x14ac:dyDescent="0.2">
      <c r="A59" s="360"/>
      <c r="B59" s="361"/>
      <c r="C59" s="361"/>
      <c r="D59" s="361"/>
      <c r="E59" s="361"/>
      <c r="F59" s="361"/>
      <c r="G59" s="362"/>
      <c r="H59" s="15"/>
    </row>
    <row r="60" spans="1:10" ht="12.75" customHeight="1" x14ac:dyDescent="0.2">
      <c r="A60" s="360"/>
      <c r="B60" s="361"/>
      <c r="C60" s="361"/>
      <c r="D60" s="361"/>
      <c r="E60" s="361"/>
      <c r="F60" s="361"/>
      <c r="G60" s="362"/>
      <c r="H60" s="15"/>
    </row>
    <row r="61" spans="1:10" ht="12.75" customHeight="1" x14ac:dyDescent="0.2">
      <c r="A61" s="360"/>
      <c r="B61" s="361"/>
      <c r="C61" s="361"/>
      <c r="D61" s="361"/>
      <c r="E61" s="361"/>
      <c r="F61" s="361"/>
      <c r="G61" s="362"/>
      <c r="H61" s="15"/>
    </row>
    <row r="62" spans="1:10" ht="12.75" customHeight="1" x14ac:dyDescent="0.2">
      <c r="A62" s="360"/>
      <c r="B62" s="361"/>
      <c r="C62" s="361"/>
      <c r="D62" s="361"/>
      <c r="E62" s="361"/>
      <c r="F62" s="361"/>
      <c r="G62" s="362"/>
      <c r="H62" s="15"/>
    </row>
    <row r="63" spans="1:10" ht="12.75" customHeight="1" x14ac:dyDescent="0.2">
      <c r="A63" s="360"/>
      <c r="B63" s="361"/>
      <c r="C63" s="361"/>
      <c r="D63" s="361"/>
      <c r="E63" s="361"/>
      <c r="F63" s="361"/>
      <c r="G63" s="362"/>
      <c r="H63" s="15"/>
    </row>
    <row r="64" spans="1:10" ht="12.75" customHeight="1" x14ac:dyDescent="0.2">
      <c r="A64" s="360"/>
      <c r="B64" s="361"/>
      <c r="C64" s="361"/>
      <c r="D64" s="361"/>
      <c r="E64" s="361"/>
      <c r="F64" s="361"/>
      <c r="G64" s="362"/>
      <c r="H64" s="15"/>
    </row>
    <row r="65" spans="1:8" ht="12.75" customHeight="1" x14ac:dyDescent="0.2">
      <c r="A65" s="360"/>
      <c r="B65" s="361"/>
      <c r="C65" s="361"/>
      <c r="D65" s="361"/>
      <c r="E65" s="361"/>
      <c r="F65" s="361"/>
      <c r="G65" s="362"/>
      <c r="H65" s="15"/>
    </row>
    <row r="66" spans="1:8" ht="12.75" customHeight="1" x14ac:dyDescent="0.2">
      <c r="A66" s="360"/>
      <c r="B66" s="361"/>
      <c r="C66" s="361"/>
      <c r="D66" s="361"/>
      <c r="E66" s="361"/>
      <c r="F66" s="361"/>
      <c r="G66" s="362"/>
      <c r="H66" s="15"/>
    </row>
    <row r="67" spans="1:8" ht="13.5" customHeight="1" x14ac:dyDescent="0.2">
      <c r="A67" s="360"/>
      <c r="B67" s="361"/>
      <c r="C67" s="361"/>
      <c r="D67" s="361"/>
      <c r="E67" s="361"/>
      <c r="F67" s="361"/>
      <c r="G67" s="362"/>
    </row>
    <row r="68" spans="1:8" ht="57.6" customHeight="1" x14ac:dyDescent="0.2">
      <c r="A68" s="360"/>
      <c r="B68" s="361"/>
      <c r="C68" s="361"/>
      <c r="D68" s="361"/>
      <c r="E68" s="361"/>
      <c r="F68" s="361"/>
      <c r="G68" s="362"/>
    </row>
    <row r="69" spans="1:8" ht="12.75" customHeight="1" x14ac:dyDescent="0.2">
      <c r="A69" s="360"/>
      <c r="B69" s="361"/>
      <c r="C69" s="361"/>
      <c r="D69" s="361"/>
      <c r="E69" s="361"/>
      <c r="F69" s="361"/>
      <c r="G69" s="362"/>
    </row>
    <row r="70" spans="1:8" ht="12.75" customHeight="1" x14ac:dyDescent="0.2">
      <c r="A70" s="360"/>
      <c r="B70" s="361"/>
      <c r="C70" s="361"/>
      <c r="D70" s="361"/>
      <c r="E70" s="361"/>
      <c r="F70" s="361"/>
      <c r="G70" s="362"/>
    </row>
    <row r="71" spans="1:8" ht="12.75" customHeight="1" x14ac:dyDescent="0.2">
      <c r="A71" s="360"/>
      <c r="B71" s="361"/>
      <c r="C71" s="361"/>
      <c r="D71" s="361"/>
      <c r="E71" s="361"/>
      <c r="F71" s="361"/>
      <c r="G71" s="362"/>
    </row>
    <row r="72" spans="1:8" ht="12.75" customHeight="1" x14ac:dyDescent="0.2">
      <c r="A72" s="360"/>
      <c r="B72" s="361"/>
      <c r="C72" s="361"/>
      <c r="D72" s="361"/>
      <c r="E72" s="361"/>
      <c r="F72" s="361"/>
      <c r="G72" s="362"/>
    </row>
    <row r="73" spans="1:8" ht="12.75" customHeight="1" x14ac:dyDescent="0.2">
      <c r="A73" s="360"/>
      <c r="B73" s="361"/>
      <c r="C73" s="361"/>
      <c r="D73" s="361"/>
      <c r="E73" s="361"/>
      <c r="F73" s="361"/>
      <c r="G73" s="362"/>
    </row>
    <row r="74" spans="1:8" ht="12.75" customHeight="1" x14ac:dyDescent="0.2">
      <c r="A74" s="360"/>
      <c r="B74" s="361"/>
      <c r="C74" s="361"/>
      <c r="D74" s="361"/>
      <c r="E74" s="361"/>
      <c r="F74" s="361"/>
      <c r="G74" s="362"/>
    </row>
    <row r="75" spans="1:8" ht="12.75" customHeight="1" x14ac:dyDescent="0.2">
      <c r="A75" s="360"/>
      <c r="B75" s="361"/>
      <c r="C75" s="361"/>
      <c r="D75" s="361"/>
      <c r="E75" s="361"/>
      <c r="F75" s="361"/>
      <c r="G75" s="362"/>
    </row>
    <row r="76" spans="1:8" ht="12.75" customHeight="1" x14ac:dyDescent="0.2">
      <c r="A76" s="360"/>
      <c r="B76" s="361"/>
      <c r="C76" s="361"/>
      <c r="D76" s="361"/>
      <c r="E76" s="361"/>
      <c r="F76" s="361"/>
      <c r="G76" s="362"/>
    </row>
    <row r="77" spans="1:8" ht="12.75" customHeight="1" x14ac:dyDescent="0.2">
      <c r="A77" s="360"/>
      <c r="B77" s="361"/>
      <c r="C77" s="361"/>
      <c r="D77" s="361"/>
      <c r="E77" s="361"/>
      <c r="F77" s="361"/>
      <c r="G77" s="362"/>
    </row>
    <row r="78" spans="1:8" ht="13.5" customHeight="1" x14ac:dyDescent="0.2">
      <c r="A78" s="360"/>
      <c r="B78" s="361"/>
      <c r="C78" s="361"/>
      <c r="D78" s="361"/>
      <c r="E78" s="361"/>
      <c r="F78" s="361"/>
      <c r="G78" s="362"/>
    </row>
    <row r="79" spans="1:8" ht="12.75" customHeight="1" x14ac:dyDescent="0.2">
      <c r="A79" s="360"/>
      <c r="B79" s="361"/>
      <c r="C79" s="361"/>
      <c r="D79" s="361"/>
      <c r="E79" s="361"/>
      <c r="F79" s="361"/>
      <c r="G79" s="362"/>
    </row>
    <row r="80" spans="1:8" ht="12.75" customHeight="1" x14ac:dyDescent="0.2">
      <c r="A80" s="360"/>
      <c r="B80" s="361"/>
      <c r="C80" s="361"/>
      <c r="D80" s="361"/>
      <c r="E80" s="361"/>
      <c r="F80" s="361"/>
      <c r="G80" s="362"/>
    </row>
    <row r="81" spans="1:17" ht="46.9" customHeight="1" x14ac:dyDescent="0.2">
      <c r="A81" s="360"/>
      <c r="B81" s="361"/>
      <c r="C81" s="361"/>
      <c r="D81" s="361"/>
      <c r="E81" s="361"/>
      <c r="F81" s="361"/>
      <c r="G81" s="362"/>
    </row>
    <row r="82" spans="1:17" ht="12.75" customHeight="1" x14ac:dyDescent="0.2">
      <c r="A82" s="360"/>
      <c r="B82" s="361"/>
      <c r="C82" s="361"/>
      <c r="D82" s="361"/>
      <c r="E82" s="361"/>
      <c r="F82" s="361"/>
      <c r="G82" s="362"/>
    </row>
    <row r="83" spans="1:17" ht="12.75" customHeight="1" x14ac:dyDescent="0.2">
      <c r="A83" s="360"/>
      <c r="B83" s="361"/>
      <c r="C83" s="361"/>
      <c r="D83" s="361"/>
      <c r="E83" s="361"/>
      <c r="F83" s="361"/>
      <c r="G83" s="362"/>
    </row>
    <row r="84" spans="1:17" ht="12.75" customHeight="1" x14ac:dyDescent="0.2">
      <c r="A84" s="360"/>
      <c r="B84" s="361"/>
      <c r="C84" s="361"/>
      <c r="D84" s="361"/>
      <c r="E84" s="361"/>
      <c r="F84" s="361"/>
      <c r="G84" s="362"/>
    </row>
    <row r="85" spans="1:17" ht="12.75" customHeight="1" x14ac:dyDescent="0.2">
      <c r="A85" s="360"/>
      <c r="B85" s="361"/>
      <c r="C85" s="361"/>
      <c r="D85" s="361"/>
      <c r="E85" s="361"/>
      <c r="F85" s="361"/>
      <c r="G85" s="362"/>
    </row>
    <row r="86" spans="1:17" ht="12.75" customHeight="1" x14ac:dyDescent="0.2">
      <c r="A86" s="360"/>
      <c r="B86" s="361"/>
      <c r="C86" s="361"/>
      <c r="D86" s="361"/>
      <c r="E86" s="361"/>
      <c r="F86" s="361"/>
      <c r="G86" s="362"/>
    </row>
    <row r="87" spans="1:17" ht="88.5" customHeight="1" thickBot="1" x14ac:dyDescent="0.25">
      <c r="A87" s="363"/>
      <c r="B87" s="364"/>
      <c r="C87" s="364"/>
      <c r="D87" s="364"/>
      <c r="E87" s="364"/>
      <c r="F87" s="364"/>
      <c r="G87" s="365"/>
    </row>
    <row r="88" spans="1:17" ht="71.25" customHeight="1" x14ac:dyDescent="0.2"/>
    <row r="92" spans="1:17" x14ac:dyDescent="0.2">
      <c r="L92" s="172"/>
    </row>
    <row r="93" spans="1:17" x14ac:dyDescent="0.2">
      <c r="L93" s="172"/>
    </row>
    <row r="94" spans="1:17" x14ac:dyDescent="0.2">
      <c r="L94" s="172"/>
    </row>
    <row r="95" spans="1:17" x14ac:dyDescent="0.2">
      <c r="L95" s="172"/>
    </row>
    <row r="96" spans="1:17" x14ac:dyDescent="0.2">
      <c r="L96" s="172"/>
      <c r="M96" s="172"/>
      <c r="N96" s="172"/>
      <c r="O96" s="172"/>
      <c r="P96" s="172"/>
      <c r="Q96" s="172"/>
    </row>
    <row r="97" spans="12:17" x14ac:dyDescent="0.2">
      <c r="L97" s="172"/>
      <c r="M97" s="172"/>
      <c r="N97" s="172"/>
      <c r="O97" s="172"/>
      <c r="P97" s="172"/>
      <c r="Q97" s="172"/>
    </row>
    <row r="98" spans="12:17" x14ac:dyDescent="0.2">
      <c r="L98" s="172"/>
      <c r="M98" s="172"/>
      <c r="N98" s="172"/>
      <c r="O98" s="172"/>
      <c r="P98" s="172"/>
      <c r="Q98" s="172"/>
    </row>
    <row r="99" spans="12:17" x14ac:dyDescent="0.2">
      <c r="L99" s="172"/>
      <c r="M99" s="172"/>
      <c r="N99" s="172"/>
      <c r="O99" s="172"/>
      <c r="P99" s="172"/>
      <c r="Q99" s="172"/>
    </row>
    <row r="100" spans="12:17" x14ac:dyDescent="0.2">
      <c r="L100" s="172"/>
      <c r="M100" s="172"/>
      <c r="N100" s="172"/>
      <c r="O100" s="172"/>
      <c r="P100" s="172"/>
      <c r="Q100" s="172"/>
    </row>
    <row r="101" spans="12:17" x14ac:dyDescent="0.2">
      <c r="L101" s="172"/>
      <c r="M101" s="172"/>
      <c r="N101" s="172"/>
      <c r="O101" s="172"/>
      <c r="P101" s="172"/>
      <c r="Q101" s="172"/>
    </row>
  </sheetData>
  <mergeCells count="24">
    <mergeCell ref="A55:G87"/>
    <mergeCell ref="E20:F21"/>
    <mergeCell ref="E22:F23"/>
    <mergeCell ref="E24:F25"/>
    <mergeCell ref="E26:F27"/>
    <mergeCell ref="A22:A23"/>
    <mergeCell ref="B22:B23"/>
    <mergeCell ref="C22:C23"/>
    <mergeCell ref="D22:D23"/>
    <mergeCell ref="A24:A25"/>
    <mergeCell ref="A26:A27"/>
    <mergeCell ref="E14:F15"/>
    <mergeCell ref="G14:G15"/>
    <mergeCell ref="E16:F17"/>
    <mergeCell ref="G16:G17"/>
    <mergeCell ref="E18:F19"/>
    <mergeCell ref="G18:G19"/>
    <mergeCell ref="E12:F13"/>
    <mergeCell ref="G12:G13"/>
    <mergeCell ref="A1:E1"/>
    <mergeCell ref="A4:B5"/>
    <mergeCell ref="C4:D5"/>
    <mergeCell ref="E10:F11"/>
    <mergeCell ref="G10:G11"/>
  </mergeCells>
  <conditionalFormatting sqref="H52:H53">
    <cfRule type="expression" dxfId="123" priority="22">
      <formula>ISNUMBER(SEARCH(TEXT(#REF!,"ddd"),#REF!))</formula>
    </cfRule>
  </conditionalFormatting>
  <conditionalFormatting sqref="A10:D10 D11:D12 A11 B11:C22 B24:C27">
    <cfRule type="expression" dxfId="122" priority="23">
      <formula>ISNUMBER(SEARCH(TEXT(#REF!,"ddd"),#REF!))</formula>
    </cfRule>
  </conditionalFormatting>
  <conditionalFormatting sqref="D14:D17">
    <cfRule type="expression" dxfId="121" priority="21">
      <formula>ISNUMBER(SEARCH(TEXT(#REF!,"ddd"),#REF!))</formula>
    </cfRule>
  </conditionalFormatting>
  <conditionalFormatting sqref="A14:A17">
    <cfRule type="expression" dxfId="120" priority="19">
      <formula>ISNUMBER(SEARCH(TEXT(#REF!,"ddd"),#REF!))</formula>
    </cfRule>
  </conditionalFormatting>
  <conditionalFormatting sqref="A13 D13">
    <cfRule type="expression" dxfId="119" priority="20">
      <formula>ISNUMBER(SEARCH(TEXT(#REF!,"ddd"),#REF!))</formula>
    </cfRule>
  </conditionalFormatting>
  <conditionalFormatting sqref="D18:D22 D24:D27">
    <cfRule type="expression" dxfId="118" priority="18">
      <formula>ISNUMBER(SEARCH(TEXT(#REF!,"ddd"),#REF!))</formula>
    </cfRule>
  </conditionalFormatting>
  <conditionalFormatting sqref="A19 A21">
    <cfRule type="expression" dxfId="117" priority="17">
      <formula>ISNUMBER(SEARCH(TEXT(#REF!,"ddd"),#REF!))</formula>
    </cfRule>
  </conditionalFormatting>
  <conditionalFormatting sqref="A22">
    <cfRule type="expression" dxfId="116" priority="14">
      <formula>ISNUMBER(SEARCH(TEXT(#REF!,"ddd"),#REF!))</formula>
    </cfRule>
  </conditionalFormatting>
  <conditionalFormatting sqref="N96:O100">
    <cfRule type="expression" dxfId="115" priority="11">
      <formula>ISNUMBER(SEARCH(TEXT(#REF!,"ddd"),#REF!))</formula>
    </cfRule>
  </conditionalFormatting>
  <conditionalFormatting sqref="P96:P100">
    <cfRule type="expression" dxfId="114" priority="10">
      <formula>ISNUMBER(SEARCH(TEXT(#REF!,"ddd"),#REF!))</formula>
    </cfRule>
  </conditionalFormatting>
  <conditionalFormatting sqref="M96:M100">
    <cfRule type="expression" dxfId="113" priority="9">
      <formula>ISNUMBER(SEARCH(TEXT(#REF!,"ddd"),#REF!))</formula>
    </cfRule>
  </conditionalFormatting>
  <conditionalFormatting sqref="A20">
    <cfRule type="expression" dxfId="112" priority="8">
      <formula>ISNUMBER(SEARCH(TEXT(#REF!,"ddd"),#REF!))</formula>
    </cfRule>
  </conditionalFormatting>
  <conditionalFormatting sqref="A12">
    <cfRule type="expression" dxfId="111" priority="4">
      <formula>ISNUMBER(SEARCH(TEXT(#REF!,"ddd"),#REF!))</formula>
    </cfRule>
  </conditionalFormatting>
  <conditionalFormatting sqref="A18">
    <cfRule type="expression" dxfId="110" priority="3">
      <formula>ISNUMBER(SEARCH(TEXT(#REF!,"ddd"),#REF!))</formula>
    </cfRule>
  </conditionalFormatting>
  <conditionalFormatting sqref="A24">
    <cfRule type="expression" dxfId="109" priority="2">
      <formula>ISNUMBER(SEARCH(TEXT(#REF!,"ddd"),#REF!))</formula>
    </cfRule>
  </conditionalFormatting>
  <conditionalFormatting sqref="A26">
    <cfRule type="expression" dxfId="108" priority="1">
      <formula>ISNUMBER(SEARCH(TEXT(#REF!,"ddd"),#REF!))</formula>
    </cfRule>
  </conditionalFormatting>
  <dataValidations count="2">
    <dataValidation type="custom" allowBlank="1" showInputMessage="1" showErrorMessage="1" sqref="C10:C22 C24:C27" xr:uid="{E3580BAA-84D0-4291-BB7D-506FD44776E3}">
      <formula1>AND($C10&lt;=1,ISNUMBER($C10),($C10&gt;=$B10))</formula1>
    </dataValidation>
    <dataValidation type="custom" allowBlank="1" showInputMessage="1" showErrorMessage="1" sqref="B10:B22 B24:B27" xr:uid="{EB430280-7EBF-4791-AFE9-1CC14CE3B518}">
      <formula1>AND($B10&lt;=1,ISNUMBER($B10))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485E-404C-46AA-B43F-5DCA76E44ABB}">
  <sheetPr codeName="Sheet25">
    <pageSetUpPr fitToPage="1"/>
  </sheetPr>
  <dimension ref="A1:Q101"/>
  <sheetViews>
    <sheetView showGridLines="0" zoomScaleNormal="100" workbookViewId="0">
      <selection activeCell="N69" sqref="N69"/>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17</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43941</v>
      </c>
      <c r="B3" s="133"/>
      <c r="C3" s="134">
        <f>A26</f>
        <v>43946</v>
      </c>
      <c r="D3" s="32"/>
      <c r="E3" s="126" t="s">
        <v>5</v>
      </c>
      <c r="F3" s="138">
        <f>Sumcolor(E3,D10:D28)</f>
        <v>0</v>
      </c>
      <c r="G3" s="201">
        <f>SUM(Først:Sist!F3)</f>
        <v>0.76388888888888862</v>
      </c>
      <c r="H3" s="12"/>
    </row>
    <row r="4" spans="1:8" ht="15.75" x14ac:dyDescent="0.2">
      <c r="A4" s="357" t="s">
        <v>85</v>
      </c>
      <c r="B4" s="358"/>
      <c r="C4" s="358" t="s">
        <v>86</v>
      </c>
      <c r="D4" s="358"/>
      <c r="E4" s="127" t="s">
        <v>7</v>
      </c>
      <c r="F4" s="138">
        <f>Sumcolor(E4,D10:D28)</f>
        <v>0.20138888888888884</v>
      </c>
      <c r="G4" s="201">
        <f>SUM(Først:Sist!F4)</f>
        <v>3.8298611111111116</v>
      </c>
      <c r="H4" s="12"/>
    </row>
    <row r="5" spans="1:8" ht="20.25" customHeight="1" x14ac:dyDescent="0.2">
      <c r="A5" s="360"/>
      <c r="B5" s="361"/>
      <c r="C5" s="361"/>
      <c r="D5" s="361"/>
      <c r="E5" s="128" t="s">
        <v>8</v>
      </c>
      <c r="F5" s="138">
        <f>Sumcolor(E5,D10:D28)</f>
        <v>7.638888888888884E-2</v>
      </c>
      <c r="G5" s="201">
        <f>SUM(Først:Sist!F5)</f>
        <v>0.90972222222222132</v>
      </c>
      <c r="H5" s="12"/>
    </row>
    <row r="6" spans="1:8" ht="21.75" thickBot="1" x14ac:dyDescent="0.25">
      <c r="A6" s="125">
        <f>SUM(D10:D28)</f>
        <v>0.3472222222222221</v>
      </c>
      <c r="B6" s="34"/>
      <c r="C6" s="124">
        <f>SUM(Først:Sist!A6)</f>
        <v>7.6006944444444429</v>
      </c>
      <c r="D6" s="35"/>
      <c r="E6" s="129" t="s">
        <v>9</v>
      </c>
      <c r="F6" s="140">
        <f>Sumcolor(E6,D10:D28)</f>
        <v>6.944444444444442E-2</v>
      </c>
      <c r="G6" s="202">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 customHeight="1" x14ac:dyDescent="0.2">
      <c r="A10" s="215">
        <v>43941</v>
      </c>
      <c r="B10" s="157">
        <v>0.60416666666666663</v>
      </c>
      <c r="C10" s="157">
        <v>0.625</v>
      </c>
      <c r="D10" s="158">
        <f>(C10-B10)</f>
        <v>2.083333333333337E-2</v>
      </c>
      <c r="E10" s="405" t="s">
        <v>166</v>
      </c>
      <c r="F10" s="419"/>
      <c r="G10" s="209"/>
    </row>
    <row r="11" spans="1:8" ht="16.5" customHeight="1" thickBot="1" x14ac:dyDescent="0.25">
      <c r="A11" s="216"/>
      <c r="B11" s="160"/>
      <c r="C11" s="160"/>
      <c r="D11" s="161"/>
      <c r="E11" s="420"/>
      <c r="F11" s="421"/>
      <c r="G11" s="210"/>
    </row>
    <row r="12" spans="1:8" ht="16.5" customHeight="1" x14ac:dyDescent="0.2">
      <c r="A12" s="146">
        <v>43941</v>
      </c>
      <c r="B12" s="147">
        <v>0.625</v>
      </c>
      <c r="C12" s="147">
        <v>0.65625</v>
      </c>
      <c r="D12" s="148">
        <f>(C12-B12)</f>
        <v>3.125E-2</v>
      </c>
      <c r="E12" s="409" t="s">
        <v>164</v>
      </c>
      <c r="F12" s="410"/>
      <c r="G12" s="207"/>
    </row>
    <row r="13" spans="1:8" ht="6.75" customHeight="1" thickBot="1" x14ac:dyDescent="0.25">
      <c r="A13" s="168"/>
      <c r="B13" s="169"/>
      <c r="C13" s="169"/>
      <c r="D13" s="170"/>
      <c r="E13" s="411"/>
      <c r="F13" s="412"/>
      <c r="G13" s="208"/>
    </row>
    <row r="14" spans="1:8" ht="12.75" customHeight="1" x14ac:dyDescent="0.2">
      <c r="A14" s="220">
        <v>43941</v>
      </c>
      <c r="B14" s="157">
        <v>0.65625</v>
      </c>
      <c r="C14" s="157">
        <v>0.6875</v>
      </c>
      <c r="D14" s="158">
        <f>(C14-B14)</f>
        <v>3.125E-2</v>
      </c>
      <c r="E14" s="405" t="s">
        <v>167</v>
      </c>
      <c r="F14" s="419"/>
      <c r="G14" s="207"/>
    </row>
    <row r="15" spans="1:8" ht="20.25" customHeight="1" thickBot="1" x14ac:dyDescent="0.25">
      <c r="A15" s="217"/>
      <c r="B15" s="160"/>
      <c r="C15" s="160"/>
      <c r="D15" s="161"/>
      <c r="E15" s="420"/>
      <c r="F15" s="421"/>
      <c r="G15" s="208"/>
    </row>
    <row r="16" spans="1:8" ht="15.75" customHeight="1" x14ac:dyDescent="0.2">
      <c r="A16" s="213">
        <v>43943</v>
      </c>
      <c r="B16" s="181">
        <v>0.92361111111111116</v>
      </c>
      <c r="C16" s="181">
        <v>0.97569444444444453</v>
      </c>
      <c r="D16" s="182">
        <f>(C16-B16)</f>
        <v>5.208333333333337E-2</v>
      </c>
      <c r="E16" s="396" t="s">
        <v>168</v>
      </c>
      <c r="F16" s="397"/>
      <c r="G16" s="185"/>
    </row>
    <row r="17" spans="1:7" ht="6" customHeight="1" thickBot="1" x14ac:dyDescent="0.25">
      <c r="A17" s="183"/>
      <c r="B17" s="212"/>
      <c r="C17" s="212"/>
      <c r="D17" s="211"/>
      <c r="E17" s="398"/>
      <c r="F17" s="399"/>
      <c r="G17" s="208"/>
    </row>
    <row r="18" spans="1:7" ht="13.9" customHeight="1" x14ac:dyDescent="0.2">
      <c r="A18" s="213">
        <v>43944</v>
      </c>
      <c r="B18" s="181">
        <v>0</v>
      </c>
      <c r="C18" s="181">
        <v>9.375E-2</v>
      </c>
      <c r="D18" s="182">
        <f>(C18-B18)</f>
        <v>9.375E-2</v>
      </c>
      <c r="E18" s="415" t="s">
        <v>169</v>
      </c>
      <c r="F18" s="416"/>
      <c r="G18" s="207"/>
    </row>
    <row r="19" spans="1:7" ht="12" customHeight="1" thickBot="1" x14ac:dyDescent="0.25">
      <c r="A19" s="183"/>
      <c r="B19" s="212"/>
      <c r="C19" s="212"/>
      <c r="D19" s="211"/>
      <c r="E19" s="417"/>
      <c r="F19" s="418"/>
      <c r="G19" s="208"/>
    </row>
    <row r="20" spans="1:7" ht="16.899999999999999" customHeight="1" x14ac:dyDescent="0.2">
      <c r="A20" s="146">
        <v>43944</v>
      </c>
      <c r="B20" s="176">
        <v>0.58333333333333337</v>
      </c>
      <c r="C20" s="176">
        <v>0.60416666666666663</v>
      </c>
      <c r="D20" s="177">
        <f>(C20-B20)</f>
        <v>2.0833333333333259E-2</v>
      </c>
      <c r="E20" s="409" t="s">
        <v>163</v>
      </c>
      <c r="F20" s="393"/>
      <c r="G20" s="185"/>
    </row>
    <row r="21" spans="1:7" ht="12" customHeight="1" thickBot="1" x14ac:dyDescent="0.25">
      <c r="A21" s="175"/>
      <c r="B21" s="169"/>
      <c r="C21" s="169"/>
      <c r="D21" s="170"/>
      <c r="E21" s="394"/>
      <c r="F21" s="395"/>
      <c r="G21" s="208"/>
    </row>
    <row r="22" spans="1:7" ht="13.9" customHeight="1" x14ac:dyDescent="0.2">
      <c r="A22" s="241">
        <v>43944</v>
      </c>
      <c r="B22" s="181">
        <v>0.61458333333333337</v>
      </c>
      <c r="C22" s="181">
        <v>0.67013888888888884</v>
      </c>
      <c r="D22" s="182">
        <f>(C22-B22)</f>
        <v>5.5555555555555469E-2</v>
      </c>
      <c r="E22" s="396" t="s">
        <v>170</v>
      </c>
      <c r="F22" s="397"/>
      <c r="G22" s="184"/>
    </row>
    <row r="23" spans="1:7" ht="17.25" customHeight="1" thickBot="1" x14ac:dyDescent="0.25">
      <c r="A23" s="183"/>
      <c r="B23" s="218"/>
      <c r="C23" s="218"/>
      <c r="D23" s="219"/>
      <c r="E23" s="398"/>
      <c r="F23" s="399"/>
      <c r="G23" s="208"/>
    </row>
    <row r="24" spans="1:7" ht="13.9" customHeight="1" x14ac:dyDescent="0.2">
      <c r="A24" s="146">
        <v>43946</v>
      </c>
      <c r="B24" s="147">
        <v>0.58333333333333337</v>
      </c>
      <c r="C24" s="147">
        <v>0.60763888888888895</v>
      </c>
      <c r="D24" s="148">
        <f>(C24-B24)</f>
        <v>2.430555555555558E-2</v>
      </c>
      <c r="E24" s="409" t="s">
        <v>163</v>
      </c>
      <c r="F24" s="393"/>
      <c r="G24" s="185"/>
    </row>
    <row r="25" spans="1:7" ht="9" customHeight="1" thickBot="1" x14ac:dyDescent="0.25">
      <c r="A25" s="175"/>
      <c r="B25" s="169"/>
      <c r="C25" s="169"/>
      <c r="D25" s="170"/>
      <c r="E25" s="394"/>
      <c r="F25" s="395"/>
      <c r="G25" s="184"/>
    </row>
    <row r="26" spans="1:7" ht="13.9" customHeight="1" x14ac:dyDescent="0.2">
      <c r="A26" s="214">
        <v>43946</v>
      </c>
      <c r="B26" s="144">
        <v>0.60763888888888895</v>
      </c>
      <c r="C26" s="144">
        <v>0.625</v>
      </c>
      <c r="D26" s="145">
        <f>(C26-B26)</f>
        <v>1.7361111111111049E-2</v>
      </c>
      <c r="E26" s="380" t="s">
        <v>165</v>
      </c>
      <c r="F26" s="381"/>
      <c r="G26" s="400"/>
    </row>
    <row r="27" spans="1:7" ht="18.75" customHeight="1" thickBot="1" x14ac:dyDescent="0.25">
      <c r="A27" s="150"/>
      <c r="B27" s="151"/>
      <c r="C27" s="151"/>
      <c r="D27" s="152"/>
      <c r="E27" s="382"/>
      <c r="F27" s="383"/>
      <c r="G27" s="401"/>
    </row>
    <row r="28" spans="1:7" ht="13.9" customHeight="1" x14ac:dyDescent="0.2"/>
    <row r="29" spans="1:7" ht="22.5" customHeight="1" x14ac:dyDescent="0.2"/>
    <row r="30" spans="1:7" ht="13.9" customHeight="1" x14ac:dyDescent="0.2"/>
    <row r="31" spans="1:7" ht="21" customHeight="1" x14ac:dyDescent="0.2"/>
    <row r="33" spans="8:8" ht="12" customHeight="1" x14ac:dyDescent="0.2"/>
    <row r="34" spans="8:8" ht="19.5" customHeight="1" x14ac:dyDescent="0.2"/>
    <row r="37" spans="8:8" ht="21.75" customHeight="1" x14ac:dyDescent="0.2">
      <c r="H37" s="5"/>
    </row>
    <row r="38" spans="8:8" x14ac:dyDescent="0.2">
      <c r="H38" s="5"/>
    </row>
    <row r="39" spans="8:8" ht="18.75" customHeight="1" x14ac:dyDescent="0.2">
      <c r="H39" s="6"/>
    </row>
    <row r="40" spans="8:8" ht="12.75" customHeight="1" x14ac:dyDescent="0.2">
      <c r="H40" s="7"/>
    </row>
    <row r="41" spans="8:8" ht="23.25" customHeight="1" x14ac:dyDescent="0.2">
      <c r="H41" s="15"/>
    </row>
    <row r="42" spans="8:8" ht="15" customHeight="1" x14ac:dyDescent="0.2">
      <c r="H42" s="15"/>
    </row>
    <row r="43" spans="8:8" ht="34.5" customHeight="1" x14ac:dyDescent="0.2">
      <c r="H43" s="15"/>
    </row>
    <row r="44" spans="8:8" ht="15.75" customHeight="1" x14ac:dyDescent="0.2">
      <c r="H44" s="15"/>
    </row>
    <row r="45" spans="8:8" ht="9" customHeight="1" x14ac:dyDescent="0.2">
      <c r="H45" s="15"/>
    </row>
    <row r="46" spans="8:8" ht="15" customHeight="1" x14ac:dyDescent="0.2">
      <c r="H46" s="15"/>
    </row>
    <row r="47" spans="8:8" ht="26.25" customHeight="1" x14ac:dyDescent="0.2">
      <c r="H47" s="15"/>
    </row>
    <row r="48" spans="8:8" ht="12.75" customHeight="1" x14ac:dyDescent="0.2">
      <c r="H48" s="15"/>
    </row>
    <row r="49" spans="1:8" ht="12.75" customHeight="1" x14ac:dyDescent="0.2">
      <c r="H49" s="15"/>
    </row>
    <row r="50" spans="1:8" ht="12.75" customHeight="1" x14ac:dyDescent="0.2">
      <c r="H50" s="15"/>
    </row>
    <row r="51" spans="1:8" ht="12.75" customHeight="1" x14ac:dyDescent="0.2">
      <c r="H51" s="15"/>
    </row>
    <row r="52" spans="1:8" ht="27" customHeight="1" thickBot="1" x14ac:dyDescent="0.25">
      <c r="A52" s="28" t="s">
        <v>16</v>
      </c>
      <c r="B52" s="29"/>
      <c r="C52" s="30"/>
      <c r="D52" s="20"/>
      <c r="E52" s="20"/>
      <c r="F52" s="20"/>
      <c r="G52" s="20"/>
    </row>
    <row r="53" spans="1:8" ht="23.25" customHeight="1" thickBot="1" x14ac:dyDescent="0.25">
      <c r="D53" s="21"/>
      <c r="E53" s="21"/>
      <c r="F53" s="21"/>
      <c r="G53" s="21"/>
    </row>
    <row r="54" spans="1:8" ht="20.25" customHeight="1" x14ac:dyDescent="0.2">
      <c r="A54" s="357" t="s">
        <v>171</v>
      </c>
      <c r="B54" s="358"/>
      <c r="C54" s="358"/>
      <c r="D54" s="358"/>
      <c r="E54" s="358"/>
      <c r="F54" s="358"/>
      <c r="G54" s="359"/>
    </row>
    <row r="55" spans="1:8" ht="15.75" customHeight="1" x14ac:dyDescent="0.2">
      <c r="A55" s="360"/>
      <c r="B55" s="361"/>
      <c r="C55" s="361"/>
      <c r="D55" s="361"/>
      <c r="E55" s="361"/>
      <c r="F55" s="361"/>
      <c r="G55" s="362"/>
    </row>
    <row r="56" spans="1:8" ht="12.75" customHeight="1" x14ac:dyDescent="0.2">
      <c r="A56" s="360"/>
      <c r="B56" s="361"/>
      <c r="C56" s="361"/>
      <c r="D56" s="361"/>
      <c r="E56" s="361"/>
      <c r="F56" s="361"/>
      <c r="G56" s="362"/>
    </row>
    <row r="57" spans="1:8" ht="12.75" customHeight="1" x14ac:dyDescent="0.2">
      <c r="A57" s="360"/>
      <c r="B57" s="361"/>
      <c r="C57" s="361"/>
      <c r="D57" s="361"/>
      <c r="E57" s="361"/>
      <c r="F57" s="361"/>
      <c r="G57" s="362"/>
    </row>
    <row r="58" spans="1:8" ht="13.5" customHeight="1" x14ac:dyDescent="0.2">
      <c r="A58" s="360"/>
      <c r="B58" s="361"/>
      <c r="C58" s="361"/>
      <c r="D58" s="361"/>
      <c r="E58" s="361"/>
      <c r="F58" s="361"/>
      <c r="G58" s="362"/>
    </row>
    <row r="59" spans="1:8" ht="12.75" customHeight="1" x14ac:dyDescent="0.2">
      <c r="A59" s="360"/>
      <c r="B59" s="361"/>
      <c r="C59" s="361"/>
      <c r="D59" s="361"/>
      <c r="E59" s="361"/>
      <c r="F59" s="361"/>
      <c r="G59" s="362"/>
    </row>
    <row r="60" spans="1:8" ht="12.75" customHeight="1" x14ac:dyDescent="0.2">
      <c r="A60" s="360"/>
      <c r="B60" s="361"/>
      <c r="C60" s="361"/>
      <c r="D60" s="361"/>
      <c r="E60" s="361"/>
      <c r="F60" s="361"/>
      <c r="G60" s="362"/>
    </row>
    <row r="61" spans="1:8" ht="12.75" customHeight="1" x14ac:dyDescent="0.2">
      <c r="A61" s="360"/>
      <c r="B61" s="361"/>
      <c r="C61" s="361"/>
      <c r="D61" s="361"/>
      <c r="E61" s="361"/>
      <c r="F61" s="361"/>
      <c r="G61" s="362"/>
    </row>
    <row r="62" spans="1:8" ht="12.75" customHeight="1" x14ac:dyDescent="0.2">
      <c r="A62" s="360"/>
      <c r="B62" s="361"/>
      <c r="C62" s="361"/>
      <c r="D62" s="361"/>
      <c r="E62" s="361"/>
      <c r="F62" s="361"/>
      <c r="G62" s="362"/>
    </row>
    <row r="63" spans="1:8" ht="12.75" customHeight="1" x14ac:dyDescent="0.2">
      <c r="A63" s="360"/>
      <c r="B63" s="361"/>
      <c r="C63" s="361"/>
      <c r="D63" s="361"/>
      <c r="E63" s="361"/>
      <c r="F63" s="361"/>
      <c r="G63" s="362"/>
    </row>
    <row r="64" spans="1:8" ht="12.75" customHeight="1" x14ac:dyDescent="0.2">
      <c r="A64" s="360"/>
      <c r="B64" s="361"/>
      <c r="C64" s="361"/>
      <c r="D64" s="361"/>
      <c r="E64" s="361"/>
      <c r="F64" s="361"/>
      <c r="G64" s="362"/>
    </row>
    <row r="65" spans="1:7" ht="12.75" customHeight="1" x14ac:dyDescent="0.2">
      <c r="A65" s="360"/>
      <c r="B65" s="361"/>
      <c r="C65" s="361"/>
      <c r="D65" s="361"/>
      <c r="E65" s="361"/>
      <c r="F65" s="361"/>
      <c r="G65" s="362"/>
    </row>
    <row r="66" spans="1:7" ht="21" customHeight="1" x14ac:dyDescent="0.2">
      <c r="A66" s="360"/>
      <c r="B66" s="361"/>
      <c r="C66" s="361"/>
      <c r="D66" s="361"/>
      <c r="E66" s="361"/>
      <c r="F66" s="361"/>
      <c r="G66" s="362"/>
    </row>
    <row r="67" spans="1:7" ht="13.5" customHeight="1" x14ac:dyDescent="0.2">
      <c r="A67" s="360"/>
      <c r="B67" s="361"/>
      <c r="C67" s="361"/>
      <c r="D67" s="361"/>
      <c r="E67" s="361"/>
      <c r="F67" s="361"/>
      <c r="G67" s="362"/>
    </row>
    <row r="68" spans="1:7" ht="12.75" customHeight="1" x14ac:dyDescent="0.2">
      <c r="A68" s="360"/>
      <c r="B68" s="361"/>
      <c r="C68" s="361"/>
      <c r="D68" s="361"/>
      <c r="E68" s="361"/>
      <c r="F68" s="361"/>
      <c r="G68" s="362"/>
    </row>
    <row r="69" spans="1:7" ht="12.75" customHeight="1" x14ac:dyDescent="0.2">
      <c r="A69" s="360"/>
      <c r="B69" s="361"/>
      <c r="C69" s="361"/>
      <c r="D69" s="361"/>
      <c r="E69" s="361"/>
      <c r="F69" s="361"/>
      <c r="G69" s="362"/>
    </row>
    <row r="70" spans="1:7" ht="12.75" customHeight="1" x14ac:dyDescent="0.2">
      <c r="A70" s="360"/>
      <c r="B70" s="361"/>
      <c r="C70" s="361"/>
      <c r="D70" s="361"/>
      <c r="E70" s="361"/>
      <c r="F70" s="361"/>
      <c r="G70" s="362"/>
    </row>
    <row r="71" spans="1:7" ht="12.75" customHeight="1" x14ac:dyDescent="0.2">
      <c r="A71" s="360"/>
      <c r="B71" s="361"/>
      <c r="C71" s="361"/>
      <c r="D71" s="361"/>
      <c r="E71" s="361"/>
      <c r="F71" s="361"/>
      <c r="G71" s="362"/>
    </row>
    <row r="72" spans="1:7" ht="12.75" customHeight="1" x14ac:dyDescent="0.2">
      <c r="A72" s="360"/>
      <c r="B72" s="361"/>
      <c r="C72" s="361"/>
      <c r="D72" s="361"/>
      <c r="E72" s="361"/>
      <c r="F72" s="361"/>
      <c r="G72" s="362"/>
    </row>
    <row r="73" spans="1:7" ht="12.75" customHeight="1" x14ac:dyDescent="0.2">
      <c r="A73" s="360"/>
      <c r="B73" s="361"/>
      <c r="C73" s="361"/>
      <c r="D73" s="361"/>
      <c r="E73" s="361"/>
      <c r="F73" s="361"/>
      <c r="G73" s="362"/>
    </row>
    <row r="74" spans="1:7" ht="12.75" customHeight="1" x14ac:dyDescent="0.2">
      <c r="A74" s="360"/>
      <c r="B74" s="361"/>
      <c r="C74" s="361"/>
      <c r="D74" s="361"/>
      <c r="E74" s="361"/>
      <c r="F74" s="361"/>
      <c r="G74" s="362"/>
    </row>
    <row r="75" spans="1:7" ht="12.75" customHeight="1" x14ac:dyDescent="0.2">
      <c r="A75" s="360"/>
      <c r="B75" s="361"/>
      <c r="C75" s="361"/>
      <c r="D75" s="361"/>
      <c r="E75" s="361"/>
      <c r="F75" s="361"/>
      <c r="G75" s="362"/>
    </row>
    <row r="76" spans="1:7" ht="12.75" customHeight="1" x14ac:dyDescent="0.2">
      <c r="A76" s="360"/>
      <c r="B76" s="361"/>
      <c r="C76" s="361"/>
      <c r="D76" s="361"/>
      <c r="E76" s="361"/>
      <c r="F76" s="361"/>
      <c r="G76" s="362"/>
    </row>
    <row r="77" spans="1:7" ht="12.75" customHeight="1" x14ac:dyDescent="0.2">
      <c r="A77" s="360"/>
      <c r="B77" s="361"/>
      <c r="C77" s="361"/>
      <c r="D77" s="361"/>
      <c r="E77" s="361"/>
      <c r="F77" s="361"/>
      <c r="G77" s="362"/>
    </row>
    <row r="78" spans="1:7" ht="13.5" customHeight="1" x14ac:dyDescent="0.2">
      <c r="A78" s="360"/>
      <c r="B78" s="361"/>
      <c r="C78" s="361"/>
      <c r="D78" s="361"/>
      <c r="E78" s="361"/>
      <c r="F78" s="361"/>
      <c r="G78" s="362"/>
    </row>
    <row r="79" spans="1:7" ht="12.75" customHeight="1" x14ac:dyDescent="0.2">
      <c r="A79" s="360"/>
      <c r="B79" s="361"/>
      <c r="C79" s="361"/>
      <c r="D79" s="361"/>
      <c r="E79" s="361"/>
      <c r="F79" s="361"/>
      <c r="G79" s="362"/>
    </row>
    <row r="80" spans="1:7" ht="12.75" customHeight="1" x14ac:dyDescent="0.2">
      <c r="A80" s="360"/>
      <c r="B80" s="361"/>
      <c r="C80" s="361"/>
      <c r="D80" s="361"/>
      <c r="E80" s="361"/>
      <c r="F80" s="361"/>
      <c r="G80" s="362"/>
    </row>
    <row r="81" spans="1:17" ht="6" customHeight="1" x14ac:dyDescent="0.2">
      <c r="A81" s="360"/>
      <c r="B81" s="361"/>
      <c r="C81" s="361"/>
      <c r="D81" s="361"/>
      <c r="E81" s="361"/>
      <c r="F81" s="361"/>
      <c r="G81" s="362"/>
    </row>
    <row r="82" spans="1:17" ht="12.75" customHeight="1" x14ac:dyDescent="0.2">
      <c r="A82" s="360"/>
      <c r="B82" s="361"/>
      <c r="C82" s="361"/>
      <c r="D82" s="361"/>
      <c r="E82" s="361"/>
      <c r="F82" s="361"/>
      <c r="G82" s="362"/>
    </row>
    <row r="83" spans="1:17" ht="12.75" customHeight="1" x14ac:dyDescent="0.2">
      <c r="A83" s="360"/>
      <c r="B83" s="361"/>
      <c r="C83" s="361"/>
      <c r="D83" s="361"/>
      <c r="E83" s="361"/>
      <c r="F83" s="361"/>
      <c r="G83" s="362"/>
    </row>
    <row r="84" spans="1:17" ht="12.75" customHeight="1" x14ac:dyDescent="0.2">
      <c r="A84" s="360"/>
      <c r="B84" s="361"/>
      <c r="C84" s="361"/>
      <c r="D84" s="361"/>
      <c r="E84" s="361"/>
      <c r="F84" s="361"/>
      <c r="G84" s="362"/>
    </row>
    <row r="85" spans="1:17" ht="12.75" customHeight="1" x14ac:dyDescent="0.2">
      <c r="A85" s="360"/>
      <c r="B85" s="361"/>
      <c r="C85" s="361"/>
      <c r="D85" s="361"/>
      <c r="E85" s="361"/>
      <c r="F85" s="361"/>
      <c r="G85" s="362"/>
    </row>
    <row r="86" spans="1:17" ht="12.75" customHeight="1" thickBot="1" x14ac:dyDescent="0.25">
      <c r="A86" s="363"/>
      <c r="B86" s="364"/>
      <c r="C86" s="364"/>
      <c r="D86" s="364"/>
      <c r="E86" s="364"/>
      <c r="F86" s="364"/>
      <c r="G86" s="365"/>
    </row>
    <row r="87" spans="1:17" ht="12.75" customHeight="1" x14ac:dyDescent="0.2"/>
    <row r="88" spans="1:17" ht="71.25" customHeight="1" x14ac:dyDescent="0.2"/>
    <row r="92" spans="1:17" x14ac:dyDescent="0.2">
      <c r="L92" s="172"/>
    </row>
    <row r="93" spans="1:17" x14ac:dyDescent="0.2">
      <c r="L93" s="172"/>
    </row>
    <row r="94" spans="1:17" x14ac:dyDescent="0.2">
      <c r="L94" s="172"/>
    </row>
    <row r="95" spans="1:17" x14ac:dyDescent="0.2">
      <c r="L95" s="172"/>
    </row>
    <row r="96" spans="1:17" x14ac:dyDescent="0.2">
      <c r="L96" s="172"/>
      <c r="M96" s="172"/>
      <c r="N96" s="172"/>
      <c r="O96" s="172"/>
      <c r="P96" s="172"/>
      <c r="Q96" s="172"/>
    </row>
    <row r="97" spans="12:17" x14ac:dyDescent="0.2">
      <c r="L97" s="172"/>
      <c r="M97" s="172"/>
      <c r="N97" s="172"/>
      <c r="O97" s="172"/>
      <c r="P97" s="172"/>
      <c r="Q97" s="172"/>
    </row>
    <row r="98" spans="12:17" x14ac:dyDescent="0.2">
      <c r="L98" s="172"/>
      <c r="M98" s="172"/>
      <c r="N98" s="172"/>
      <c r="O98" s="172"/>
      <c r="P98" s="172"/>
      <c r="Q98" s="172"/>
    </row>
    <row r="99" spans="12:17" x14ac:dyDescent="0.2">
      <c r="L99" s="172"/>
      <c r="M99" s="172"/>
      <c r="N99" s="172"/>
      <c r="O99" s="172"/>
      <c r="P99" s="172"/>
      <c r="Q99" s="172"/>
    </row>
    <row r="100" spans="12:17" x14ac:dyDescent="0.2">
      <c r="L100" s="172"/>
      <c r="M100" s="172"/>
      <c r="N100" s="172"/>
      <c r="O100" s="172"/>
      <c r="P100" s="172"/>
      <c r="Q100" s="172"/>
    </row>
    <row r="101" spans="12:17" x14ac:dyDescent="0.2">
      <c r="L101" s="172"/>
      <c r="M101" s="172"/>
      <c r="N101" s="172"/>
      <c r="O101" s="172"/>
      <c r="P101" s="172"/>
      <c r="Q101" s="172"/>
    </row>
  </sheetData>
  <mergeCells count="14">
    <mergeCell ref="A54:G86"/>
    <mergeCell ref="G26:G27"/>
    <mergeCell ref="E16:F17"/>
    <mergeCell ref="E18:F19"/>
    <mergeCell ref="E20:F21"/>
    <mergeCell ref="E22:F23"/>
    <mergeCell ref="E24:F25"/>
    <mergeCell ref="E26:F27"/>
    <mergeCell ref="E14:F15"/>
    <mergeCell ref="A1:E1"/>
    <mergeCell ref="A4:B5"/>
    <mergeCell ref="C4:D5"/>
    <mergeCell ref="E10:F11"/>
    <mergeCell ref="E12:F13"/>
  </mergeCells>
  <conditionalFormatting sqref="H37:H38">
    <cfRule type="expression" dxfId="107" priority="22">
      <formula>ISNUMBER(SEARCH(TEXT(#REF!,"ddd"),#REF!))</formula>
    </cfRule>
  </conditionalFormatting>
  <conditionalFormatting sqref="B10:C27">
    <cfRule type="expression" dxfId="106" priority="23">
      <formula>ISNUMBER(SEARCH(TEXT(#REF!,"ddd"),#REF!))</formula>
    </cfRule>
  </conditionalFormatting>
  <conditionalFormatting sqref="D10:D13">
    <cfRule type="expression" dxfId="105" priority="21">
      <formula>ISNUMBER(SEARCH(TEXT(#REF!,"ddd"),#REF!))</formula>
    </cfRule>
  </conditionalFormatting>
  <conditionalFormatting sqref="A10:A13">
    <cfRule type="expression" dxfId="104" priority="20">
      <formula>ISNUMBER(SEARCH(TEXT(#REF!,"ddd"),#REF!))</formula>
    </cfRule>
  </conditionalFormatting>
  <conditionalFormatting sqref="D14:D27">
    <cfRule type="expression" dxfId="103" priority="19">
      <formula>ISNUMBER(SEARCH(TEXT(#REF!,"ddd"),#REF!))</formula>
    </cfRule>
  </conditionalFormatting>
  <conditionalFormatting sqref="A15 A17 A19 A21 A23 A25 A27">
    <cfRule type="expression" dxfId="102" priority="18">
      <formula>ISNUMBER(SEARCH(TEXT(#REF!,"ddd"),#REF!))</formula>
    </cfRule>
  </conditionalFormatting>
  <conditionalFormatting sqref="D26:D27">
    <cfRule type="expression" dxfId="101" priority="17">
      <formula>ISNUMBER(SEARCH(TEXT(#REF!,"ddd"),#REF!))</formula>
    </cfRule>
  </conditionalFormatting>
  <conditionalFormatting sqref="A27">
    <cfRule type="expression" dxfId="100" priority="16">
      <formula>ISNUMBER(SEARCH(TEXT(#REF!,"ddd"),#REF!))</formula>
    </cfRule>
  </conditionalFormatting>
  <conditionalFormatting sqref="A18">
    <cfRule type="expression" dxfId="99" priority="15">
      <formula>ISNUMBER(SEARCH(TEXT(#REF!,"ddd"),#REF!))</formula>
    </cfRule>
  </conditionalFormatting>
  <conditionalFormatting sqref="A26">
    <cfRule type="expression" dxfId="98" priority="13">
      <formula>ISNUMBER(SEARCH(TEXT(#REF!,"ddd"),#REF!))</formula>
    </cfRule>
  </conditionalFormatting>
  <conditionalFormatting sqref="N96:O100">
    <cfRule type="expression" dxfId="97" priority="11">
      <formula>ISNUMBER(SEARCH(TEXT(#REF!,"ddd"),#REF!))</formula>
    </cfRule>
  </conditionalFormatting>
  <conditionalFormatting sqref="P96:P100">
    <cfRule type="expression" dxfId="96" priority="10">
      <formula>ISNUMBER(SEARCH(TEXT(#REF!,"ddd"),#REF!))</formula>
    </cfRule>
  </conditionalFormatting>
  <conditionalFormatting sqref="M96:M100">
    <cfRule type="expression" dxfId="95" priority="9">
      <formula>ISNUMBER(SEARCH(TEXT(#REF!,"ddd"),#REF!))</formula>
    </cfRule>
  </conditionalFormatting>
  <conditionalFormatting sqref="A16">
    <cfRule type="expression" dxfId="94" priority="7">
      <formula>ISNUMBER(SEARCH(TEXT(#REF!,"ddd"),#REF!))</formula>
    </cfRule>
  </conditionalFormatting>
  <conditionalFormatting sqref="A20">
    <cfRule type="expression" dxfId="93" priority="3">
      <formula>ISNUMBER(SEARCH(TEXT(#REF!,"ddd"),#REF!))</formula>
    </cfRule>
  </conditionalFormatting>
  <conditionalFormatting sqref="A24">
    <cfRule type="expression" dxfId="92" priority="5">
      <formula>ISNUMBER(SEARCH(TEXT(#REF!,"ddd"),#REF!))</formula>
    </cfRule>
  </conditionalFormatting>
  <conditionalFormatting sqref="A14">
    <cfRule type="expression" dxfId="91" priority="4">
      <formula>ISNUMBER(SEARCH(TEXT(#REF!,"ddd"),#REF!))</formula>
    </cfRule>
  </conditionalFormatting>
  <conditionalFormatting sqref="A22">
    <cfRule type="expression" dxfId="90" priority="2">
      <formula>ISNUMBER(SEARCH(TEXT(#REF!,"ddd"),#REF!))</formula>
    </cfRule>
  </conditionalFormatting>
  <dataValidations count="2">
    <dataValidation type="custom" allowBlank="1" showInputMessage="1" showErrorMessage="1" sqref="C10:C27" xr:uid="{8C118206-A507-4AA1-9135-0909833382FB}">
      <formula1>AND($C10&lt;=1,ISNUMBER($C10),($C10&gt;=$B10))</formula1>
    </dataValidation>
    <dataValidation type="custom" allowBlank="1" showInputMessage="1" showErrorMessage="1" sqref="B10:B27" xr:uid="{BDA0D67A-EE41-4816-9903-492E55EF7207}">
      <formula1>AND($B10&lt;=1,ISNUMBER($B10))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F095-FE57-4B44-8B24-E452EE1A3967}">
  <sheetPr codeName="Sheet26">
    <pageSetUpPr fitToPage="1"/>
  </sheetPr>
  <dimension ref="A1:Q103"/>
  <sheetViews>
    <sheetView showGridLines="0" zoomScaleNormal="100" workbookViewId="0">
      <selection activeCell="H45" sqref="H45"/>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18</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43948</v>
      </c>
      <c r="B3" s="133"/>
      <c r="C3" s="134">
        <f>A42</f>
        <v>43954</v>
      </c>
      <c r="D3" s="32"/>
      <c r="E3" s="126" t="s">
        <v>5</v>
      </c>
      <c r="F3" s="138">
        <f>Sumcolor(E3,D10:D42)</f>
        <v>0</v>
      </c>
      <c r="G3" s="201">
        <f>SUM(Først:Sist!F3)</f>
        <v>0.76388888888888862</v>
      </c>
      <c r="H3" s="12"/>
    </row>
    <row r="4" spans="1:8" ht="15.75" x14ac:dyDescent="0.2">
      <c r="A4" s="357" t="s">
        <v>85</v>
      </c>
      <c r="B4" s="358"/>
      <c r="C4" s="358" t="s">
        <v>86</v>
      </c>
      <c r="D4" s="358"/>
      <c r="E4" s="127" t="s">
        <v>7</v>
      </c>
      <c r="F4" s="138">
        <f>Sumcolor(E4,D10:D42)</f>
        <v>0.85069444444444475</v>
      </c>
      <c r="G4" s="201">
        <f>SUM(Først:Sist!F4)</f>
        <v>3.8298611111111116</v>
      </c>
      <c r="H4" s="12"/>
    </row>
    <row r="5" spans="1:8" ht="20.25" customHeight="1" x14ac:dyDescent="0.2">
      <c r="A5" s="360"/>
      <c r="B5" s="361"/>
      <c r="C5" s="361"/>
      <c r="D5" s="361"/>
      <c r="E5" s="128" t="s">
        <v>8</v>
      </c>
      <c r="F5" s="138">
        <f>Sumcolor(E5,D10:D42)</f>
        <v>7.9861111111110938E-2</v>
      </c>
      <c r="G5" s="201">
        <f>SUM(Først:Sist!F5)</f>
        <v>0.90972222222222132</v>
      </c>
      <c r="H5" s="12"/>
    </row>
    <row r="6" spans="1:8" ht="21.75" thickBot="1" x14ac:dyDescent="0.25">
      <c r="A6" s="125">
        <f>SUM(D10:D42)</f>
        <v>0.99305555555555569</v>
      </c>
      <c r="B6" s="34"/>
      <c r="C6" s="124">
        <f>SUM(Først:Sist!A6)</f>
        <v>7.6006944444444429</v>
      </c>
      <c r="D6" s="35"/>
      <c r="E6" s="129" t="s">
        <v>9</v>
      </c>
      <c r="F6" s="140">
        <f>Sumcolor(E6,D10:D42)</f>
        <v>6.25E-2</v>
      </c>
      <c r="G6" s="202">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 customHeight="1" x14ac:dyDescent="0.2">
      <c r="A10" s="146">
        <v>43948</v>
      </c>
      <c r="B10" s="147">
        <v>0.58333333333333337</v>
      </c>
      <c r="C10" s="147">
        <v>0.60763888888888895</v>
      </c>
      <c r="D10" s="148">
        <f>(C10-B10)</f>
        <v>2.430555555555558E-2</v>
      </c>
      <c r="E10" s="409" t="s">
        <v>130</v>
      </c>
      <c r="F10" s="410"/>
      <c r="G10" s="224"/>
    </row>
    <row r="11" spans="1:8" ht="7.5" customHeight="1" thickBot="1" x14ac:dyDescent="0.25">
      <c r="A11" s="168"/>
      <c r="B11" s="169"/>
      <c r="C11" s="169"/>
      <c r="D11" s="170"/>
      <c r="E11" s="411"/>
      <c r="F11" s="412"/>
      <c r="G11" s="225"/>
    </row>
    <row r="12" spans="1:8" ht="16.5" customHeight="1" x14ac:dyDescent="0.2">
      <c r="A12" s="226">
        <v>43950</v>
      </c>
      <c r="B12" s="227">
        <v>0.9375</v>
      </c>
      <c r="C12" s="227">
        <v>0.99305555555555547</v>
      </c>
      <c r="D12" s="228">
        <f>(C12-B12)</f>
        <v>5.5555555555555469E-2</v>
      </c>
      <c r="E12" s="415" t="s">
        <v>184</v>
      </c>
      <c r="F12" s="416"/>
      <c r="G12" s="223"/>
    </row>
    <row r="13" spans="1:8" ht="17.25" customHeight="1" thickBot="1" x14ac:dyDescent="0.25">
      <c r="A13" s="242"/>
      <c r="B13" s="244"/>
      <c r="C13" s="244"/>
      <c r="D13" s="246"/>
      <c r="E13" s="417"/>
      <c r="F13" s="418"/>
      <c r="G13" s="222"/>
    </row>
    <row r="14" spans="1:8" ht="12.75" customHeight="1" x14ac:dyDescent="0.2">
      <c r="A14" s="183">
        <v>43951</v>
      </c>
      <c r="B14" s="181">
        <v>0</v>
      </c>
      <c r="C14" s="181">
        <v>3.125E-2</v>
      </c>
      <c r="D14" s="182">
        <f>(C14-B14)</f>
        <v>3.125E-2</v>
      </c>
      <c r="E14" s="437" t="s">
        <v>173</v>
      </c>
      <c r="F14" s="438"/>
      <c r="G14" s="404" t="s">
        <v>112</v>
      </c>
    </row>
    <row r="15" spans="1:8" ht="23.25" customHeight="1" thickBot="1" x14ac:dyDescent="0.25">
      <c r="A15" s="242"/>
      <c r="B15" s="244"/>
      <c r="C15" s="244"/>
      <c r="D15" s="246"/>
      <c r="E15" s="417"/>
      <c r="F15" s="418"/>
      <c r="G15" s="401"/>
    </row>
    <row r="16" spans="1:8" ht="15.75" customHeight="1" x14ac:dyDescent="0.2">
      <c r="A16" s="175">
        <v>43951</v>
      </c>
      <c r="B16" s="176">
        <v>0.58333333333333337</v>
      </c>
      <c r="C16" s="176">
        <v>0.61111111111111105</v>
      </c>
      <c r="D16" s="177">
        <f>(C16-B16)</f>
        <v>2.7777777777777679E-2</v>
      </c>
      <c r="E16" s="434" t="s">
        <v>130</v>
      </c>
      <c r="F16" s="435"/>
      <c r="G16" s="185"/>
    </row>
    <row r="17" spans="1:7" ht="8.25" customHeight="1" thickBot="1" x14ac:dyDescent="0.25">
      <c r="A17" s="175"/>
      <c r="B17" s="169"/>
      <c r="C17" s="169"/>
      <c r="D17" s="170"/>
      <c r="E17" s="411"/>
      <c r="F17" s="412"/>
      <c r="G17" s="222"/>
    </row>
    <row r="18" spans="1:7" ht="13.9" customHeight="1" x14ac:dyDescent="0.2">
      <c r="A18" s="241">
        <v>43951</v>
      </c>
      <c r="B18" s="243">
        <v>0.61111111111111105</v>
      </c>
      <c r="C18" s="243">
        <v>0.63194444444444442</v>
      </c>
      <c r="D18" s="245">
        <f>(C18-B18)</f>
        <v>2.083333333333337E-2</v>
      </c>
      <c r="E18" s="415" t="s">
        <v>172</v>
      </c>
      <c r="F18" s="416"/>
      <c r="G18" s="404" t="s">
        <v>112</v>
      </c>
    </row>
    <row r="19" spans="1:7" ht="35.25" customHeight="1" thickBot="1" x14ac:dyDescent="0.25">
      <c r="A19" s="242"/>
      <c r="B19" s="244"/>
      <c r="C19" s="244"/>
      <c r="D19" s="246"/>
      <c r="E19" s="417"/>
      <c r="F19" s="418"/>
      <c r="G19" s="401"/>
    </row>
    <row r="20" spans="1:7" ht="16.899999999999999" customHeight="1" x14ac:dyDescent="0.2">
      <c r="A20" s="183">
        <v>43951</v>
      </c>
      <c r="B20" s="181">
        <v>0.94097222222222221</v>
      </c>
      <c r="C20" s="181">
        <v>0.97916666666666663</v>
      </c>
      <c r="D20" s="182">
        <f>(C20-B20)</f>
        <v>3.819444444444442E-2</v>
      </c>
      <c r="E20" s="396" t="s">
        <v>174</v>
      </c>
      <c r="F20" s="397"/>
      <c r="G20" s="185"/>
    </row>
    <row r="21" spans="1:7" ht="9" customHeight="1" thickBot="1" x14ac:dyDescent="0.25">
      <c r="A21" s="242"/>
      <c r="B21" s="244"/>
      <c r="C21" s="244"/>
      <c r="D21" s="246"/>
      <c r="E21" s="398"/>
      <c r="F21" s="399"/>
      <c r="G21" s="222"/>
    </row>
    <row r="22" spans="1:7" ht="13.5" customHeight="1" x14ac:dyDescent="0.2">
      <c r="A22" s="183">
        <v>43952</v>
      </c>
      <c r="B22" s="181">
        <v>0</v>
      </c>
      <c r="C22" s="181">
        <v>0.1875</v>
      </c>
      <c r="D22" s="182">
        <f>(C22-B22)</f>
        <v>0.1875</v>
      </c>
      <c r="E22" s="413" t="s">
        <v>175</v>
      </c>
      <c r="F22" s="414"/>
      <c r="G22" s="404" t="s">
        <v>185</v>
      </c>
    </row>
    <row r="23" spans="1:7" ht="36.75" customHeight="1" thickBot="1" x14ac:dyDescent="0.25">
      <c r="A23" s="183"/>
      <c r="B23" s="230"/>
      <c r="C23" s="230"/>
      <c r="D23" s="232"/>
      <c r="E23" s="398"/>
      <c r="F23" s="399"/>
      <c r="G23" s="436"/>
    </row>
    <row r="24" spans="1:7" ht="13.9" customHeight="1" x14ac:dyDescent="0.2">
      <c r="A24" s="233">
        <v>43953</v>
      </c>
      <c r="B24" s="229">
        <v>3.4722222222222224E-2</v>
      </c>
      <c r="C24" s="229">
        <v>6.5972222222222224E-2</v>
      </c>
      <c r="D24" s="231">
        <f>(C24-B24)</f>
        <v>3.125E-2</v>
      </c>
      <c r="E24" s="396" t="s">
        <v>176</v>
      </c>
      <c r="F24" s="397"/>
      <c r="G24" s="404" t="s">
        <v>185</v>
      </c>
    </row>
    <row r="25" spans="1:7" ht="18" customHeight="1" thickBot="1" x14ac:dyDescent="0.25">
      <c r="A25" s="183"/>
      <c r="B25" s="230"/>
      <c r="C25" s="230"/>
      <c r="D25" s="232"/>
      <c r="E25" s="398"/>
      <c r="F25" s="399"/>
      <c r="G25" s="436"/>
    </row>
    <row r="26" spans="1:7" ht="13.9" customHeight="1" x14ac:dyDescent="0.2">
      <c r="A26" s="233">
        <v>43953</v>
      </c>
      <c r="B26" s="181">
        <v>7.2916666666666671E-2</v>
      </c>
      <c r="C26" s="181">
        <v>9.375E-2</v>
      </c>
      <c r="D26" s="182">
        <f>(C26-B26)</f>
        <v>2.0833333333333329E-2</v>
      </c>
      <c r="E26" s="396" t="s">
        <v>176</v>
      </c>
      <c r="F26" s="397"/>
      <c r="G26" s="404" t="s">
        <v>185</v>
      </c>
    </row>
    <row r="27" spans="1:7" ht="20.25" customHeight="1" thickBot="1" x14ac:dyDescent="0.25">
      <c r="A27" s="234"/>
      <c r="B27" s="205"/>
      <c r="C27" s="205"/>
      <c r="D27" s="235"/>
      <c r="E27" s="398"/>
      <c r="F27" s="399"/>
      <c r="G27" s="436"/>
    </row>
    <row r="28" spans="1:7" ht="13.9" customHeight="1" x14ac:dyDescent="0.2">
      <c r="A28" s="175">
        <v>43953</v>
      </c>
      <c r="B28" s="176">
        <v>0.58333333333333337</v>
      </c>
      <c r="C28" s="176">
        <v>0.61111111111111105</v>
      </c>
      <c r="D28" s="177">
        <f>C28-B28</f>
        <v>2.7777777777777679E-2</v>
      </c>
      <c r="E28" s="434" t="s">
        <v>130</v>
      </c>
      <c r="F28" s="435"/>
      <c r="G28" s="221"/>
    </row>
    <row r="29" spans="1:7" ht="13.5" customHeight="1" thickBot="1" x14ac:dyDescent="0.25">
      <c r="A29" s="168"/>
      <c r="B29" s="169"/>
      <c r="C29" s="169"/>
      <c r="D29" s="170"/>
      <c r="E29" s="411"/>
      <c r="F29" s="412"/>
      <c r="G29" s="222"/>
    </row>
    <row r="30" spans="1:7" ht="13.9" customHeight="1" x14ac:dyDescent="0.2">
      <c r="A30" s="183">
        <v>43953</v>
      </c>
      <c r="B30" s="181">
        <v>0.71180555555555547</v>
      </c>
      <c r="C30" s="181">
        <v>0.80902777777777779</v>
      </c>
      <c r="D30" s="182">
        <f>(C30-B30)</f>
        <v>9.7222222222222321E-2</v>
      </c>
      <c r="E30" s="413" t="s">
        <v>177</v>
      </c>
      <c r="F30" s="414"/>
      <c r="G30" s="404"/>
    </row>
    <row r="31" spans="1:7" ht="27.75" customHeight="1" thickBot="1" x14ac:dyDescent="0.25">
      <c r="A31" s="183"/>
      <c r="B31" s="238"/>
      <c r="C31" s="238"/>
      <c r="D31" s="240"/>
      <c r="E31" s="398"/>
      <c r="F31" s="399"/>
      <c r="G31" s="436"/>
    </row>
    <row r="32" spans="1:7" ht="15.75" x14ac:dyDescent="0.2">
      <c r="A32" s="241">
        <v>43953</v>
      </c>
      <c r="B32" s="181">
        <v>0.82291666666666663</v>
      </c>
      <c r="C32" s="181">
        <v>0.90625</v>
      </c>
      <c r="D32" s="182">
        <f>(C32-B32)</f>
        <v>8.333333333333337E-2</v>
      </c>
      <c r="E32" s="413" t="s">
        <v>178</v>
      </c>
      <c r="F32" s="414"/>
      <c r="G32" s="404"/>
    </row>
    <row r="33" spans="1:11" ht="12" customHeight="1" thickBot="1" x14ac:dyDescent="0.25">
      <c r="A33" s="234"/>
      <c r="B33" s="205"/>
      <c r="C33" s="205"/>
      <c r="D33" s="235"/>
      <c r="E33" s="398"/>
      <c r="F33" s="399"/>
      <c r="G33" s="436"/>
    </row>
    <row r="34" spans="1:11" ht="19.5" customHeight="1" x14ac:dyDescent="0.2">
      <c r="A34" s="241">
        <v>43954</v>
      </c>
      <c r="B34" s="237">
        <v>2.0833333333333332E-2</v>
      </c>
      <c r="C34" s="237">
        <v>0.16666666666666666</v>
      </c>
      <c r="D34" s="239">
        <f>C34-B34</f>
        <v>0.14583333333333331</v>
      </c>
      <c r="E34" s="413" t="s">
        <v>178</v>
      </c>
      <c r="F34" s="414"/>
      <c r="G34" s="404"/>
    </row>
    <row r="35" spans="1:11" ht="8.25" customHeight="1" thickBot="1" x14ac:dyDescent="0.25">
      <c r="A35" s="236"/>
      <c r="B35" s="238"/>
      <c r="C35" s="238"/>
      <c r="D35" s="240"/>
      <c r="E35" s="398"/>
      <c r="F35" s="399"/>
      <c r="G35" s="436"/>
    </row>
    <row r="36" spans="1:11" ht="15.75" x14ac:dyDescent="0.2">
      <c r="A36" s="241">
        <v>43954</v>
      </c>
      <c r="B36" s="243">
        <v>0.64236111111111105</v>
      </c>
      <c r="C36" s="243">
        <v>0.69444444444444453</v>
      </c>
      <c r="D36" s="245">
        <f>(C36-B36)</f>
        <v>5.2083333333333481E-2</v>
      </c>
      <c r="E36" s="396" t="s">
        <v>179</v>
      </c>
      <c r="F36" s="397"/>
      <c r="G36" s="404"/>
    </row>
    <row r="37" spans="1:11" ht="17.25" customHeight="1" thickBot="1" x14ac:dyDescent="0.25">
      <c r="A37" s="183"/>
      <c r="B37" s="244"/>
      <c r="C37" s="244"/>
      <c r="D37" s="246"/>
      <c r="E37" s="398"/>
      <c r="F37" s="399"/>
      <c r="G37" s="436"/>
      <c r="H37" s="5"/>
    </row>
    <row r="38" spans="1:11" ht="15.75" x14ac:dyDescent="0.2">
      <c r="A38" s="241">
        <v>43954</v>
      </c>
      <c r="B38" s="181">
        <v>0.75</v>
      </c>
      <c r="C38" s="181">
        <v>0.79861111111111116</v>
      </c>
      <c r="D38" s="182">
        <f>(C38-B38)</f>
        <v>4.861111111111116E-2</v>
      </c>
      <c r="E38" s="413" t="s">
        <v>180</v>
      </c>
      <c r="F38" s="414"/>
      <c r="G38" s="404"/>
      <c r="H38" s="5"/>
    </row>
    <row r="39" spans="1:11" ht="16.5" customHeight="1" thickBot="1" x14ac:dyDescent="0.25">
      <c r="A39" s="234"/>
      <c r="B39" s="205"/>
      <c r="C39" s="205"/>
      <c r="D39" s="235"/>
      <c r="E39" s="398"/>
      <c r="F39" s="399"/>
      <c r="G39" s="401"/>
      <c r="H39" s="6"/>
      <c r="J39" s="171"/>
      <c r="K39" s="172"/>
    </row>
    <row r="40" spans="1:11" ht="15.75" customHeight="1" x14ac:dyDescent="0.2">
      <c r="A40" s="241">
        <v>43954</v>
      </c>
      <c r="B40" s="243">
        <v>0.80555555555555547</v>
      </c>
      <c r="C40" s="243">
        <v>0.84375</v>
      </c>
      <c r="D40" s="245">
        <f>C40-B40</f>
        <v>3.8194444444444531E-2</v>
      </c>
      <c r="E40" s="396" t="s">
        <v>181</v>
      </c>
      <c r="F40" s="416"/>
      <c r="G40" s="404"/>
      <c r="H40" s="6"/>
      <c r="J40" s="171"/>
      <c r="K40" s="172"/>
    </row>
    <row r="41" spans="1:11" ht="32.25" customHeight="1" thickBot="1" x14ac:dyDescent="0.25">
      <c r="A41" s="242"/>
      <c r="B41" s="244"/>
      <c r="C41" s="244"/>
      <c r="D41" s="246"/>
      <c r="E41" s="417"/>
      <c r="F41" s="418"/>
      <c r="G41" s="436"/>
      <c r="H41" s="6"/>
      <c r="J41" s="171"/>
      <c r="K41" s="172"/>
    </row>
    <row r="42" spans="1:11" ht="12.75" customHeight="1" x14ac:dyDescent="0.2">
      <c r="A42" s="247">
        <v>43954</v>
      </c>
      <c r="B42" s="157">
        <v>0.875</v>
      </c>
      <c r="C42" s="157">
        <v>0.9375</v>
      </c>
      <c r="D42" s="158">
        <f>C42-B42</f>
        <v>6.25E-2</v>
      </c>
      <c r="E42" s="390" t="s">
        <v>182</v>
      </c>
      <c r="F42" s="419"/>
      <c r="G42" s="404"/>
      <c r="H42" s="7"/>
      <c r="J42" s="172"/>
      <c r="K42" s="172"/>
    </row>
    <row r="43" spans="1:11" ht="22.5" customHeight="1" thickBot="1" x14ac:dyDescent="0.25">
      <c r="A43" s="248"/>
      <c r="B43" s="160"/>
      <c r="C43" s="160"/>
      <c r="D43" s="161"/>
      <c r="E43" s="420"/>
      <c r="F43" s="421"/>
      <c r="G43" s="436"/>
      <c r="H43" s="15"/>
      <c r="J43" s="172"/>
      <c r="K43" s="172"/>
    </row>
    <row r="44" spans="1:11" ht="15" customHeight="1" x14ac:dyDescent="0.2">
      <c r="H44" s="15"/>
      <c r="J44" s="172"/>
      <c r="K44" s="172"/>
    </row>
    <row r="45" spans="1:11" ht="34.5" customHeight="1" x14ac:dyDescent="0.2">
      <c r="H45" s="15"/>
      <c r="J45" s="172"/>
      <c r="K45" s="172"/>
    </row>
    <row r="46" spans="1:11" ht="15.75" customHeight="1" x14ac:dyDescent="0.2">
      <c r="H46" s="15"/>
      <c r="J46" s="172"/>
      <c r="K46" s="172"/>
    </row>
    <row r="47" spans="1:11" ht="9" customHeight="1" x14ac:dyDescent="0.2">
      <c r="H47" s="15"/>
      <c r="J47" s="172"/>
      <c r="K47" s="172"/>
    </row>
    <row r="48" spans="1:11" ht="15" customHeight="1" x14ac:dyDescent="0.2">
      <c r="H48" s="15"/>
      <c r="J48" s="172"/>
      <c r="K48" s="172"/>
    </row>
    <row r="49" spans="1:10" ht="26.25" customHeight="1" thickBot="1" x14ac:dyDescent="0.25">
      <c r="A49" s="28" t="s">
        <v>16</v>
      </c>
      <c r="B49" s="29"/>
      <c r="C49" s="30"/>
      <c r="D49" s="20"/>
      <c r="E49" s="20"/>
      <c r="F49" s="20"/>
      <c r="G49" s="20"/>
      <c r="H49" s="15"/>
      <c r="J49" s="172"/>
    </row>
    <row r="50" spans="1:10" ht="12.75" customHeight="1" thickBot="1" x14ac:dyDescent="0.25">
      <c r="D50" s="21"/>
      <c r="E50" s="21"/>
      <c r="F50" s="21"/>
      <c r="G50" s="21"/>
      <c r="H50" s="15"/>
      <c r="J50" s="172"/>
    </row>
    <row r="51" spans="1:10" ht="12.75" customHeight="1" x14ac:dyDescent="0.2">
      <c r="A51" s="357" t="s">
        <v>183</v>
      </c>
      <c r="B51" s="358"/>
      <c r="C51" s="358"/>
      <c r="D51" s="358"/>
      <c r="E51" s="358"/>
      <c r="F51" s="358"/>
      <c r="G51" s="359"/>
      <c r="H51" s="15"/>
      <c r="J51" s="172"/>
    </row>
    <row r="52" spans="1:10" ht="12.75" customHeight="1" x14ac:dyDescent="0.2">
      <c r="A52" s="360"/>
      <c r="B52" s="361"/>
      <c r="C52" s="361"/>
      <c r="D52" s="361"/>
      <c r="E52" s="361"/>
      <c r="F52" s="361"/>
      <c r="G52" s="362"/>
      <c r="H52" s="15"/>
      <c r="J52" s="172"/>
    </row>
    <row r="53" spans="1:10" ht="12.75" customHeight="1" x14ac:dyDescent="0.2">
      <c r="A53" s="360"/>
      <c r="B53" s="361"/>
      <c r="C53" s="361"/>
      <c r="D53" s="361"/>
      <c r="E53" s="361"/>
      <c r="F53" s="361"/>
      <c r="G53" s="362"/>
      <c r="H53" s="15"/>
      <c r="J53" s="172"/>
    </row>
    <row r="54" spans="1:10" ht="21.75" customHeight="1" x14ac:dyDescent="0.2">
      <c r="A54" s="360"/>
      <c r="B54" s="361"/>
      <c r="C54" s="361"/>
      <c r="D54" s="361"/>
      <c r="E54" s="361"/>
      <c r="F54" s="361"/>
      <c r="G54" s="362"/>
      <c r="J54" s="172"/>
    </row>
    <row r="55" spans="1:10" ht="23.25" customHeight="1" x14ac:dyDescent="0.2">
      <c r="A55" s="360"/>
      <c r="B55" s="361"/>
      <c r="C55" s="361"/>
      <c r="D55" s="361"/>
      <c r="E55" s="361"/>
      <c r="F55" s="361"/>
      <c r="G55" s="362"/>
      <c r="J55" s="172"/>
    </row>
    <row r="56" spans="1:10" ht="20.25" customHeight="1" x14ac:dyDescent="0.2">
      <c r="A56" s="360"/>
      <c r="B56" s="361"/>
      <c r="C56" s="361"/>
      <c r="D56" s="361"/>
      <c r="E56" s="361"/>
      <c r="F56" s="361"/>
      <c r="G56" s="362"/>
      <c r="J56" s="172"/>
    </row>
    <row r="57" spans="1:10" ht="15.75" customHeight="1" x14ac:dyDescent="0.2">
      <c r="A57" s="360"/>
      <c r="B57" s="361"/>
      <c r="C57" s="361"/>
      <c r="D57" s="361"/>
      <c r="E57" s="361"/>
      <c r="F57" s="361"/>
      <c r="G57" s="362"/>
      <c r="J57" s="172"/>
    </row>
    <row r="58" spans="1:10" ht="12.75" customHeight="1" x14ac:dyDescent="0.2">
      <c r="A58" s="360"/>
      <c r="B58" s="361"/>
      <c r="C58" s="361"/>
      <c r="D58" s="361"/>
      <c r="E58" s="361"/>
      <c r="F58" s="361"/>
      <c r="G58" s="362"/>
      <c r="J58" s="172"/>
    </row>
    <row r="59" spans="1:10" ht="12.75" customHeight="1" x14ac:dyDescent="0.2">
      <c r="A59" s="360"/>
      <c r="B59" s="361"/>
      <c r="C59" s="361"/>
      <c r="D59" s="361"/>
      <c r="E59" s="361"/>
      <c r="F59" s="361"/>
      <c r="G59" s="362"/>
      <c r="J59" s="172"/>
    </row>
    <row r="60" spans="1:10" ht="13.5" customHeight="1" x14ac:dyDescent="0.2">
      <c r="A60" s="360"/>
      <c r="B60" s="361"/>
      <c r="C60" s="361"/>
      <c r="D60" s="361"/>
      <c r="E60" s="361"/>
      <c r="F60" s="361"/>
      <c r="G60" s="362"/>
    </row>
    <row r="61" spans="1:10" ht="12.75" customHeight="1" x14ac:dyDescent="0.2">
      <c r="A61" s="360"/>
      <c r="B61" s="361"/>
      <c r="C61" s="361"/>
      <c r="D61" s="361"/>
      <c r="E61" s="361"/>
      <c r="F61" s="361"/>
      <c r="G61" s="362"/>
    </row>
    <row r="62" spans="1:10" ht="12.75" customHeight="1" x14ac:dyDescent="0.2">
      <c r="A62" s="360"/>
      <c r="B62" s="361"/>
      <c r="C62" s="361"/>
      <c r="D62" s="361"/>
      <c r="E62" s="361"/>
      <c r="F62" s="361"/>
      <c r="G62" s="362"/>
    </row>
    <row r="63" spans="1:10" ht="12.75" customHeight="1" x14ac:dyDescent="0.2">
      <c r="A63" s="360"/>
      <c r="B63" s="361"/>
      <c r="C63" s="361"/>
      <c r="D63" s="361"/>
      <c r="E63" s="361"/>
      <c r="F63" s="361"/>
      <c r="G63" s="362"/>
    </row>
    <row r="64" spans="1:10" ht="12.75" customHeight="1" x14ac:dyDescent="0.2">
      <c r="A64" s="360"/>
      <c r="B64" s="361"/>
      <c r="C64" s="361"/>
      <c r="D64" s="361"/>
      <c r="E64" s="361"/>
      <c r="F64" s="361"/>
      <c r="G64" s="362"/>
    </row>
    <row r="65" spans="1:10" ht="12.75" customHeight="1" x14ac:dyDescent="0.2">
      <c r="A65" s="360"/>
      <c r="B65" s="361"/>
      <c r="C65" s="361"/>
      <c r="D65" s="361"/>
      <c r="E65" s="361"/>
      <c r="F65" s="361"/>
      <c r="G65" s="362"/>
    </row>
    <row r="66" spans="1:10" ht="12.75" customHeight="1" x14ac:dyDescent="0.2">
      <c r="A66" s="360"/>
      <c r="B66" s="361"/>
      <c r="C66" s="361"/>
      <c r="D66" s="361"/>
      <c r="E66" s="361"/>
      <c r="F66" s="361"/>
      <c r="G66" s="362"/>
      <c r="J66" s="178"/>
    </row>
    <row r="67" spans="1:10" ht="12.75" customHeight="1" x14ac:dyDescent="0.2">
      <c r="A67" s="360"/>
      <c r="B67" s="361"/>
      <c r="C67" s="361"/>
      <c r="D67" s="361"/>
      <c r="E67" s="361"/>
      <c r="F67" s="361"/>
      <c r="G67" s="362"/>
      <c r="J67" s="178"/>
    </row>
    <row r="68" spans="1:10" ht="236.25" customHeight="1" x14ac:dyDescent="0.2">
      <c r="A68" s="360"/>
      <c r="B68" s="361"/>
      <c r="C68" s="361"/>
      <c r="D68" s="361"/>
      <c r="E68" s="361"/>
      <c r="F68" s="361"/>
      <c r="G68" s="362"/>
    </row>
    <row r="69" spans="1:10" ht="13.5" customHeight="1" x14ac:dyDescent="0.2">
      <c r="A69" s="360"/>
      <c r="B69" s="361"/>
      <c r="C69" s="361"/>
      <c r="D69" s="361"/>
      <c r="E69" s="361"/>
      <c r="F69" s="361"/>
      <c r="G69" s="362"/>
    </row>
    <row r="70" spans="1:10" ht="12.75" customHeight="1" x14ac:dyDescent="0.2">
      <c r="A70" s="360"/>
      <c r="B70" s="361"/>
      <c r="C70" s="361"/>
      <c r="D70" s="361"/>
      <c r="E70" s="361"/>
      <c r="F70" s="361"/>
      <c r="G70" s="362"/>
    </row>
    <row r="71" spans="1:10" ht="12.75" customHeight="1" x14ac:dyDescent="0.2">
      <c r="A71" s="360"/>
      <c r="B71" s="361"/>
      <c r="C71" s="361"/>
      <c r="D71" s="361"/>
      <c r="E71" s="361"/>
      <c r="F71" s="361"/>
      <c r="G71" s="362"/>
    </row>
    <row r="72" spans="1:10" ht="12.75" customHeight="1" x14ac:dyDescent="0.2">
      <c r="A72" s="360"/>
      <c r="B72" s="361"/>
      <c r="C72" s="361"/>
      <c r="D72" s="361"/>
      <c r="E72" s="361"/>
      <c r="F72" s="361"/>
      <c r="G72" s="362"/>
    </row>
    <row r="73" spans="1:10" ht="12.75" customHeight="1" x14ac:dyDescent="0.2">
      <c r="A73" s="360"/>
      <c r="B73" s="361"/>
      <c r="C73" s="361"/>
      <c r="D73" s="361"/>
      <c r="E73" s="361"/>
      <c r="F73" s="361"/>
      <c r="G73" s="362"/>
    </row>
    <row r="74" spans="1:10" ht="12.75" customHeight="1" x14ac:dyDescent="0.2">
      <c r="A74" s="360"/>
      <c r="B74" s="361"/>
      <c r="C74" s="361"/>
      <c r="D74" s="361"/>
      <c r="E74" s="361"/>
      <c r="F74" s="361"/>
      <c r="G74" s="362"/>
    </row>
    <row r="75" spans="1:10" ht="12.75" customHeight="1" x14ac:dyDescent="0.2">
      <c r="A75" s="360"/>
      <c r="B75" s="361"/>
      <c r="C75" s="361"/>
      <c r="D75" s="361"/>
      <c r="E75" s="361"/>
      <c r="F75" s="361"/>
      <c r="G75" s="362"/>
    </row>
    <row r="76" spans="1:10" ht="12.75" customHeight="1" x14ac:dyDescent="0.2">
      <c r="A76" s="360"/>
      <c r="B76" s="361"/>
      <c r="C76" s="361"/>
      <c r="D76" s="361"/>
      <c r="E76" s="361"/>
      <c r="F76" s="361"/>
      <c r="G76" s="362"/>
    </row>
    <row r="77" spans="1:10" ht="12.75" customHeight="1" x14ac:dyDescent="0.2">
      <c r="A77" s="360"/>
      <c r="B77" s="361"/>
      <c r="C77" s="361"/>
      <c r="D77" s="361"/>
      <c r="E77" s="361"/>
      <c r="F77" s="361"/>
      <c r="G77" s="362"/>
    </row>
    <row r="78" spans="1:10" ht="12.75" customHeight="1" x14ac:dyDescent="0.2">
      <c r="A78" s="360"/>
      <c r="B78" s="361"/>
      <c r="C78" s="361"/>
      <c r="D78" s="361"/>
      <c r="E78" s="361"/>
      <c r="F78" s="361"/>
      <c r="G78" s="362"/>
    </row>
    <row r="79" spans="1:10" ht="12.75" customHeight="1" x14ac:dyDescent="0.2">
      <c r="A79" s="360"/>
      <c r="B79" s="361"/>
      <c r="C79" s="361"/>
      <c r="D79" s="361"/>
      <c r="E79" s="361"/>
      <c r="F79" s="361"/>
      <c r="G79" s="362"/>
    </row>
    <row r="80" spans="1:10" ht="13.5" customHeight="1" x14ac:dyDescent="0.2">
      <c r="A80" s="360"/>
      <c r="B80" s="361"/>
      <c r="C80" s="361"/>
      <c r="D80" s="361"/>
      <c r="E80" s="361"/>
      <c r="F80" s="361"/>
      <c r="G80" s="362"/>
    </row>
    <row r="81" spans="1:12" ht="12.75" customHeight="1" x14ac:dyDescent="0.2">
      <c r="A81" s="360"/>
      <c r="B81" s="361"/>
      <c r="C81" s="361"/>
      <c r="D81" s="361"/>
      <c r="E81" s="361"/>
      <c r="F81" s="361"/>
      <c r="G81" s="362"/>
    </row>
    <row r="82" spans="1:12" ht="12.75" customHeight="1" x14ac:dyDescent="0.2">
      <c r="A82" s="360"/>
      <c r="B82" s="361"/>
      <c r="C82" s="361"/>
      <c r="D82" s="361"/>
      <c r="E82" s="361"/>
      <c r="F82" s="361"/>
      <c r="G82" s="362"/>
    </row>
    <row r="83" spans="1:12" ht="11.25" customHeight="1" thickBot="1" x14ac:dyDescent="0.25">
      <c r="A83" s="363"/>
      <c r="B83" s="364"/>
      <c r="C83" s="364"/>
      <c r="D83" s="364"/>
      <c r="E83" s="364"/>
      <c r="F83" s="364"/>
      <c r="G83" s="365"/>
    </row>
    <row r="84" spans="1:12" ht="12.75" customHeight="1" x14ac:dyDescent="0.2"/>
    <row r="85" spans="1:12" ht="12.75" customHeight="1" x14ac:dyDescent="0.2"/>
    <row r="86" spans="1:12" ht="12.75" customHeight="1" x14ac:dyDescent="0.2"/>
    <row r="87" spans="1:12" ht="12.75" customHeight="1" x14ac:dyDescent="0.2"/>
    <row r="88" spans="1:12" ht="12.75" customHeight="1" x14ac:dyDescent="0.2"/>
    <row r="89" spans="1:12" ht="12.75" customHeight="1" x14ac:dyDescent="0.2"/>
    <row r="90" spans="1:12" ht="71.25" customHeight="1" x14ac:dyDescent="0.2"/>
    <row r="94" spans="1:12" x14ac:dyDescent="0.2">
      <c r="L94" s="172"/>
    </row>
    <row r="95" spans="1:12" x14ac:dyDescent="0.2">
      <c r="L95" s="172"/>
    </row>
    <row r="96" spans="1:12" x14ac:dyDescent="0.2">
      <c r="L96" s="172"/>
    </row>
    <row r="97" spans="12:17" x14ac:dyDescent="0.2">
      <c r="L97" s="172"/>
    </row>
    <row r="98" spans="12:17" x14ac:dyDescent="0.2">
      <c r="L98" s="172"/>
      <c r="M98" s="172"/>
      <c r="N98" s="172"/>
      <c r="O98" s="172"/>
      <c r="P98" s="172"/>
      <c r="Q98" s="172"/>
    </row>
    <row r="99" spans="12:17" x14ac:dyDescent="0.2">
      <c r="L99" s="172"/>
      <c r="M99" s="172"/>
      <c r="N99" s="172"/>
      <c r="O99" s="172"/>
      <c r="P99" s="172"/>
      <c r="Q99" s="172"/>
    </row>
    <row r="100" spans="12:17" x14ac:dyDescent="0.2">
      <c r="L100" s="172"/>
      <c r="M100" s="172"/>
      <c r="N100" s="172"/>
      <c r="O100" s="172"/>
      <c r="P100" s="172"/>
      <c r="Q100" s="172"/>
    </row>
    <row r="101" spans="12:17" x14ac:dyDescent="0.2">
      <c r="L101" s="172"/>
      <c r="M101" s="172"/>
      <c r="N101" s="172"/>
      <c r="O101" s="172"/>
      <c r="P101" s="172"/>
      <c r="Q101" s="172"/>
    </row>
    <row r="102" spans="12:17" x14ac:dyDescent="0.2">
      <c r="L102" s="172"/>
      <c r="M102" s="172"/>
      <c r="N102" s="172"/>
      <c r="O102" s="172"/>
      <c r="P102" s="172"/>
      <c r="Q102" s="172"/>
    </row>
    <row r="103" spans="12:17" x14ac:dyDescent="0.2">
      <c r="L103" s="172"/>
      <c r="M103" s="172"/>
      <c r="N103" s="172"/>
      <c r="O103" s="172"/>
      <c r="P103" s="172"/>
      <c r="Q103" s="172"/>
    </row>
  </sheetData>
  <mergeCells count="33">
    <mergeCell ref="G14:G15"/>
    <mergeCell ref="G18:G19"/>
    <mergeCell ref="G22:G23"/>
    <mergeCell ref="G24:G25"/>
    <mergeCell ref="G30:G31"/>
    <mergeCell ref="G26:G27"/>
    <mergeCell ref="G38:G39"/>
    <mergeCell ref="E40:F41"/>
    <mergeCell ref="G36:G37"/>
    <mergeCell ref="G42:G43"/>
    <mergeCell ref="G40:G41"/>
    <mergeCell ref="E14:F15"/>
    <mergeCell ref="A1:E1"/>
    <mergeCell ref="A4:B5"/>
    <mergeCell ref="C4:D5"/>
    <mergeCell ref="E10:F11"/>
    <mergeCell ref="E12:F13"/>
    <mergeCell ref="E28:F29"/>
    <mergeCell ref="A51:G83"/>
    <mergeCell ref="E16:F17"/>
    <mergeCell ref="E18:F19"/>
    <mergeCell ref="E20:F21"/>
    <mergeCell ref="E22:F23"/>
    <mergeCell ref="E24:F25"/>
    <mergeCell ref="E26:F27"/>
    <mergeCell ref="E30:F31"/>
    <mergeCell ref="E32:F33"/>
    <mergeCell ref="G32:G33"/>
    <mergeCell ref="E34:F35"/>
    <mergeCell ref="E36:F37"/>
    <mergeCell ref="E38:F39"/>
    <mergeCell ref="E42:F43"/>
    <mergeCell ref="G34:G35"/>
  </mergeCells>
  <conditionalFormatting sqref="H37:H38">
    <cfRule type="expression" dxfId="89" priority="47">
      <formula>ISNUMBER(SEARCH(TEXT(#REF!,"ddd"),#REF!))</formula>
    </cfRule>
  </conditionalFormatting>
  <conditionalFormatting sqref="B10:C29">
    <cfRule type="expression" dxfId="88" priority="48">
      <formula>ISNUMBER(SEARCH(TEXT(#REF!,"ddd"),#REF!))</formula>
    </cfRule>
  </conditionalFormatting>
  <conditionalFormatting sqref="D10:D13">
    <cfRule type="expression" dxfId="87" priority="46">
      <formula>ISNUMBER(SEARCH(TEXT(#REF!,"ddd"),#REF!))</formula>
    </cfRule>
  </conditionalFormatting>
  <conditionalFormatting sqref="A10:A13">
    <cfRule type="expression" dxfId="86" priority="45">
      <formula>ISNUMBER(SEARCH(TEXT(#REF!,"ddd"),#REF!))</formula>
    </cfRule>
  </conditionalFormatting>
  <conditionalFormatting sqref="D14:D29">
    <cfRule type="expression" dxfId="85" priority="44">
      <formula>ISNUMBER(SEARCH(TEXT(#REF!,"ddd"),#REF!))</formula>
    </cfRule>
  </conditionalFormatting>
  <conditionalFormatting sqref="A15 A17 A19 A21 A23 A25 A27 A29">
    <cfRule type="expression" dxfId="84" priority="43">
      <formula>ISNUMBER(SEARCH(TEXT(#REF!,"ddd"),#REF!))</formula>
    </cfRule>
  </conditionalFormatting>
  <conditionalFormatting sqref="D26:D27">
    <cfRule type="expression" dxfId="83" priority="42">
      <formula>ISNUMBER(SEARCH(TEXT(#REF!,"ddd"),#REF!))</formula>
    </cfRule>
  </conditionalFormatting>
  <conditionalFormatting sqref="A27">
    <cfRule type="expression" dxfId="82" priority="41">
      <formula>ISNUMBER(SEARCH(TEXT(#REF!,"ddd"),#REF!))</formula>
    </cfRule>
  </conditionalFormatting>
  <conditionalFormatting sqref="A18">
    <cfRule type="expression" dxfId="81" priority="40">
      <formula>ISNUMBER(SEARCH(TEXT(#REF!,"ddd"),#REF!))</formula>
    </cfRule>
  </conditionalFormatting>
  <conditionalFormatting sqref="A22">
    <cfRule type="expression" dxfId="80" priority="39">
      <formula>ISNUMBER(SEARCH(TEXT(#REF!,"ddd"),#REF!))</formula>
    </cfRule>
  </conditionalFormatting>
  <conditionalFormatting sqref="N98:O102">
    <cfRule type="expression" dxfId="79" priority="36">
      <formula>ISNUMBER(SEARCH(TEXT(#REF!,"ddd"),#REF!))</formula>
    </cfRule>
  </conditionalFormatting>
  <conditionalFormatting sqref="P98:P102">
    <cfRule type="expression" dxfId="78" priority="35">
      <formula>ISNUMBER(SEARCH(TEXT(#REF!,"ddd"),#REF!))</formula>
    </cfRule>
  </conditionalFormatting>
  <conditionalFormatting sqref="M98:M102">
    <cfRule type="expression" dxfId="77" priority="34">
      <formula>ISNUMBER(SEARCH(TEXT(#REF!,"ddd"),#REF!))</formula>
    </cfRule>
  </conditionalFormatting>
  <conditionalFormatting sqref="A20">
    <cfRule type="expression" dxfId="76" priority="32">
      <formula>ISNUMBER(SEARCH(TEXT(#REF!,"ddd"),#REF!))</formula>
    </cfRule>
  </conditionalFormatting>
  <conditionalFormatting sqref="A14">
    <cfRule type="expression" dxfId="75" priority="29">
      <formula>ISNUMBER(SEARCH(TEXT(#REF!,"ddd"),#REF!))</formula>
    </cfRule>
  </conditionalFormatting>
  <conditionalFormatting sqref="A16">
    <cfRule type="expression" dxfId="74" priority="28">
      <formula>ISNUMBER(SEARCH(TEXT(#REF!,"ddd"),#REF!))</formula>
    </cfRule>
  </conditionalFormatting>
  <conditionalFormatting sqref="A26 A24">
    <cfRule type="expression" dxfId="73" priority="26">
      <formula>ISNUMBER(SEARCH(TEXT(#REF!,"ddd"),#REF!))</formula>
    </cfRule>
  </conditionalFormatting>
  <conditionalFormatting sqref="A28">
    <cfRule type="expression" dxfId="72" priority="25">
      <formula>ISNUMBER(SEARCH(TEXT(#REF!,"ddd"),#REF!))</formula>
    </cfRule>
  </conditionalFormatting>
  <conditionalFormatting sqref="B30:C35">
    <cfRule type="expression" dxfId="71" priority="24">
      <formula>ISNUMBER(SEARCH(TEXT(#REF!,"ddd"),#REF!))</formula>
    </cfRule>
  </conditionalFormatting>
  <conditionalFormatting sqref="D30:D35">
    <cfRule type="expression" dxfId="70" priority="23">
      <formula>ISNUMBER(SEARCH(TEXT(#REF!,"ddd"),#REF!))</formula>
    </cfRule>
  </conditionalFormatting>
  <conditionalFormatting sqref="A31 A33 A35">
    <cfRule type="expression" dxfId="69" priority="22">
      <formula>ISNUMBER(SEARCH(TEXT(#REF!,"ddd"),#REF!))</formula>
    </cfRule>
  </conditionalFormatting>
  <conditionalFormatting sqref="D32:D33">
    <cfRule type="expression" dxfId="68" priority="21">
      <formula>ISNUMBER(SEARCH(TEXT(#REF!,"ddd"),#REF!))</formula>
    </cfRule>
  </conditionalFormatting>
  <conditionalFormatting sqref="A33">
    <cfRule type="expression" dxfId="67" priority="20">
      <formula>ISNUMBER(SEARCH(TEXT(#REF!,"ddd"),#REF!))</formula>
    </cfRule>
  </conditionalFormatting>
  <conditionalFormatting sqref="B36:C39 B42:C43">
    <cfRule type="expression" dxfId="66" priority="16">
      <formula>ISNUMBER(SEARCH(TEXT(#REF!,"ddd"),#REF!))</formula>
    </cfRule>
  </conditionalFormatting>
  <conditionalFormatting sqref="A30">
    <cfRule type="expression" dxfId="65" priority="17">
      <formula>ISNUMBER(SEARCH(TEXT(#REF!,"ddd"),#REF!))</formula>
    </cfRule>
  </conditionalFormatting>
  <conditionalFormatting sqref="D36:D39 D42:D43">
    <cfRule type="expression" dxfId="64" priority="15">
      <formula>ISNUMBER(SEARCH(TEXT(#REF!,"ddd"),#REF!))</formula>
    </cfRule>
  </conditionalFormatting>
  <conditionalFormatting sqref="A37 A39 A43">
    <cfRule type="expression" dxfId="63" priority="14">
      <formula>ISNUMBER(SEARCH(TEXT(#REF!,"ddd"),#REF!))</formula>
    </cfRule>
  </conditionalFormatting>
  <conditionalFormatting sqref="D38:D39">
    <cfRule type="expression" dxfId="62" priority="13">
      <formula>ISNUMBER(SEARCH(TEXT(#REF!,"ddd"),#REF!))</formula>
    </cfRule>
  </conditionalFormatting>
  <conditionalFormatting sqref="A39">
    <cfRule type="expression" dxfId="61" priority="12">
      <formula>ISNUMBER(SEARCH(TEXT(#REF!,"ddd"),#REF!))</formula>
    </cfRule>
  </conditionalFormatting>
  <conditionalFormatting sqref="A42">
    <cfRule type="expression" dxfId="60" priority="7">
      <formula>ISNUMBER(SEARCH(TEXT(#REF!,"ddd"),#REF!))</formula>
    </cfRule>
  </conditionalFormatting>
  <conditionalFormatting sqref="A36">
    <cfRule type="expression" dxfId="59" priority="9">
      <formula>ISNUMBER(SEARCH(TEXT(#REF!,"ddd"),#REF!))</formula>
    </cfRule>
  </conditionalFormatting>
  <conditionalFormatting sqref="A32">
    <cfRule type="expression" dxfId="58" priority="5">
      <formula>ISNUMBER(SEARCH(TEXT(#REF!,"ddd"),#REF!))</formula>
    </cfRule>
  </conditionalFormatting>
  <conditionalFormatting sqref="A38">
    <cfRule type="expression" dxfId="57" priority="8">
      <formula>ISNUMBER(SEARCH(TEXT(#REF!,"ddd"),#REF!))</formula>
    </cfRule>
  </conditionalFormatting>
  <conditionalFormatting sqref="A34">
    <cfRule type="expression" dxfId="56" priority="6">
      <formula>ISNUMBER(SEARCH(TEXT(#REF!,"ddd"),#REF!))</formula>
    </cfRule>
  </conditionalFormatting>
  <conditionalFormatting sqref="B40:C41">
    <cfRule type="expression" dxfId="55" priority="4">
      <formula>ISNUMBER(SEARCH(TEXT(#REF!,"ddd"),#REF!))</formula>
    </cfRule>
  </conditionalFormatting>
  <conditionalFormatting sqref="D40:D41">
    <cfRule type="expression" dxfId="54" priority="3">
      <formula>ISNUMBER(SEARCH(TEXT(#REF!,"ddd"),#REF!))</formula>
    </cfRule>
  </conditionalFormatting>
  <conditionalFormatting sqref="A41">
    <cfRule type="expression" dxfId="53" priority="2">
      <formula>ISNUMBER(SEARCH(TEXT(#REF!,"ddd"),#REF!))</formula>
    </cfRule>
  </conditionalFormatting>
  <conditionalFormatting sqref="A40">
    <cfRule type="expression" dxfId="52" priority="1">
      <formula>ISNUMBER(SEARCH(TEXT(#REF!,"ddd"),#REF!))</formula>
    </cfRule>
  </conditionalFormatting>
  <dataValidations count="2">
    <dataValidation type="custom" allowBlank="1" showInputMessage="1" showErrorMessage="1" sqref="B10:B43" xr:uid="{45663AFE-573E-476A-88A6-839AB07B4B3F}">
      <formula1>AND($B10&lt;=1,ISNUMBER($B10))</formula1>
    </dataValidation>
    <dataValidation type="custom" allowBlank="1" showInputMessage="1" showErrorMessage="1" sqref="C10:C43" xr:uid="{2BBF22EB-0FD3-4863-ABC7-50EB4C61F232}">
      <formula1>AND($C10&lt;=1,ISNUMBER($C10),($C10&gt;=$B10))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B418B-4EB4-4EB8-ACF1-DB404A2C8AF9}">
  <sheetPr codeName="Sheet27">
    <pageSetUpPr fitToPage="1"/>
  </sheetPr>
  <dimension ref="A1:Q139"/>
  <sheetViews>
    <sheetView showGridLines="0" tabSelected="1" zoomScaleNormal="100" workbookViewId="0">
      <selection activeCell="I108" sqref="I108"/>
    </sheetView>
  </sheetViews>
  <sheetFormatPr baseColWidth="10" defaultColWidth="9" defaultRowHeight="12.75" x14ac:dyDescent="0.2"/>
  <cols>
    <col min="1" max="1" width="10" customWidth="1"/>
    <col min="2" max="2" width="6.625" customWidth="1"/>
    <col min="3" max="3" width="9.875" customWidth="1"/>
    <col min="4" max="4" width="7.625" customWidth="1"/>
    <col min="5" max="5" width="15.375" customWidth="1"/>
    <col min="6" max="6" width="16.25" customWidth="1"/>
    <col min="7" max="7" width="16.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8" ht="26.25" x14ac:dyDescent="0.4">
      <c r="A1" s="366" t="s">
        <v>50</v>
      </c>
      <c r="B1" s="367"/>
      <c r="C1" s="367"/>
      <c r="D1" s="367"/>
      <c r="E1" s="367"/>
      <c r="F1" s="63">
        <f>WEEKNUM(A10)</f>
        <v>19</v>
      </c>
      <c r="G1" s="64"/>
      <c r="H1" s="14"/>
    </row>
    <row r="2" spans="1:8" s="1" customFormat="1" ht="15.75" x14ac:dyDescent="0.2">
      <c r="A2" s="130" t="s">
        <v>0</v>
      </c>
      <c r="B2" s="131"/>
      <c r="C2" s="131" t="s">
        <v>1</v>
      </c>
      <c r="D2" s="25"/>
      <c r="E2" s="135" t="s">
        <v>2</v>
      </c>
      <c r="F2" s="136" t="s">
        <v>3</v>
      </c>
      <c r="G2" s="137" t="s">
        <v>4</v>
      </c>
      <c r="H2" s="10"/>
    </row>
    <row r="3" spans="1:8" ht="16.5" thickBot="1" x14ac:dyDescent="0.25">
      <c r="A3" s="132">
        <f>A10</f>
        <v>43955</v>
      </c>
      <c r="B3" s="133"/>
      <c r="C3" s="134">
        <f>A76</f>
        <v>43961</v>
      </c>
      <c r="D3" s="32"/>
      <c r="E3" s="126" t="s">
        <v>5</v>
      </c>
      <c r="F3" s="138">
        <f>Sumcolor(E3,D10:D78)</f>
        <v>0</v>
      </c>
      <c r="G3" s="201">
        <f>SUM(Først:Sist!F3)</f>
        <v>0.76388888888888862</v>
      </c>
      <c r="H3" s="12"/>
    </row>
    <row r="4" spans="1:8" ht="15.75" x14ac:dyDescent="0.2">
      <c r="A4" s="357" t="s">
        <v>85</v>
      </c>
      <c r="B4" s="358"/>
      <c r="C4" s="358" t="s">
        <v>86</v>
      </c>
      <c r="D4" s="358"/>
      <c r="E4" s="127" t="s">
        <v>7</v>
      </c>
      <c r="F4" s="138">
        <f>Sumcolor(E4,D10:D78)</f>
        <v>0.97569444444444453</v>
      </c>
      <c r="G4" s="201">
        <f>SUM(Først:Sist!F4)</f>
        <v>3.8298611111111116</v>
      </c>
      <c r="H4" s="12"/>
    </row>
    <row r="5" spans="1:8" ht="20.25" customHeight="1" x14ac:dyDescent="0.2">
      <c r="A5" s="360"/>
      <c r="B5" s="361"/>
      <c r="C5" s="361"/>
      <c r="D5" s="361"/>
      <c r="E5" s="128" t="s">
        <v>8</v>
      </c>
      <c r="F5" s="138">
        <f>Sumcolor(E5,D10:D78)</f>
        <v>7.2916666666666408E-2</v>
      </c>
      <c r="G5" s="201">
        <f>SUM(Først:Sist!F5)</f>
        <v>0.90972222222222132</v>
      </c>
      <c r="H5" s="12"/>
    </row>
    <row r="6" spans="1:8" ht="21.75" thickBot="1" x14ac:dyDescent="0.25">
      <c r="A6" s="272">
        <f>SUM(D10:D78)</f>
        <v>1.1874999999999996</v>
      </c>
      <c r="B6" s="34"/>
      <c r="C6" s="124">
        <f>SUM(Først:Sist!A6)</f>
        <v>7.6006944444444429</v>
      </c>
      <c r="D6" s="35"/>
      <c r="E6" s="129" t="s">
        <v>9</v>
      </c>
      <c r="F6" s="140">
        <f>Sumcolor(E6,D10:D78)</f>
        <v>0.13888888888888884</v>
      </c>
      <c r="G6" s="202">
        <f>SUM(Først:Sist!F6)</f>
        <v>2.0972222222222214</v>
      </c>
      <c r="H6" s="12"/>
    </row>
    <row r="7" spans="1:8" x14ac:dyDescent="0.2">
      <c r="A7" s="16"/>
      <c r="B7" s="17"/>
      <c r="C7" s="18"/>
      <c r="D7" s="37"/>
      <c r="E7" s="17"/>
      <c r="F7" s="17"/>
      <c r="G7" s="17"/>
      <c r="H7" s="13"/>
    </row>
    <row r="8" spans="1:8" x14ac:dyDescent="0.2">
      <c r="A8" s="122"/>
      <c r="B8" s="21"/>
      <c r="C8" s="123"/>
      <c r="D8" s="21"/>
      <c r="E8" s="122"/>
      <c r="F8" s="122"/>
      <c r="G8" s="21"/>
      <c r="H8" s="121"/>
    </row>
    <row r="9" spans="1:8" ht="16.5" thickBot="1" x14ac:dyDescent="0.25">
      <c r="A9" s="131" t="s">
        <v>10</v>
      </c>
      <c r="B9" s="131" t="s">
        <v>11</v>
      </c>
      <c r="C9" s="131" t="s">
        <v>12</v>
      </c>
      <c r="D9" s="131" t="s">
        <v>13</v>
      </c>
      <c r="E9" s="131" t="s">
        <v>14</v>
      </c>
      <c r="F9" s="143"/>
      <c r="G9" s="142" t="s">
        <v>15</v>
      </c>
      <c r="H9" s="121"/>
    </row>
    <row r="10" spans="1:8" ht="15" customHeight="1" x14ac:dyDescent="0.2">
      <c r="A10" s="146">
        <v>43955</v>
      </c>
      <c r="B10" s="147">
        <v>0.58333333333333337</v>
      </c>
      <c r="C10" s="147">
        <v>0.59722222222222221</v>
      </c>
      <c r="D10" s="148">
        <f>(C10-B10)</f>
        <v>1.388888888888884E-2</v>
      </c>
      <c r="E10" s="409" t="s">
        <v>130</v>
      </c>
      <c r="F10" s="410"/>
      <c r="G10" s="251"/>
    </row>
    <row r="11" spans="1:8" ht="7.5" customHeight="1" thickBot="1" x14ac:dyDescent="0.25">
      <c r="A11" s="168"/>
      <c r="B11" s="169"/>
      <c r="C11" s="169"/>
      <c r="D11" s="170"/>
      <c r="E11" s="411"/>
      <c r="F11" s="412"/>
      <c r="G11" s="252"/>
    </row>
    <row r="12" spans="1:8" ht="16.5" customHeight="1" x14ac:dyDescent="0.2">
      <c r="A12" s="269">
        <v>43955</v>
      </c>
      <c r="B12" s="157">
        <v>0.59722222222222221</v>
      </c>
      <c r="C12" s="157">
        <v>0.625</v>
      </c>
      <c r="D12" s="158">
        <f>(C12-B12)</f>
        <v>2.777777777777779E-2</v>
      </c>
      <c r="E12" s="390" t="s">
        <v>186</v>
      </c>
      <c r="F12" s="419"/>
      <c r="G12" s="250"/>
    </row>
    <row r="13" spans="1:8" ht="9.75" customHeight="1" thickBot="1" x14ac:dyDescent="0.25">
      <c r="A13" s="270"/>
      <c r="B13" s="160"/>
      <c r="C13" s="160"/>
      <c r="D13" s="161"/>
      <c r="E13" s="420"/>
      <c r="F13" s="421"/>
      <c r="G13" s="249"/>
    </row>
    <row r="14" spans="1:8" ht="12.75" customHeight="1" x14ac:dyDescent="0.2">
      <c r="A14" s="263">
        <v>43955</v>
      </c>
      <c r="B14" s="181">
        <v>0.6875</v>
      </c>
      <c r="C14" s="181">
        <v>0.69444444444444453</v>
      </c>
      <c r="D14" s="182">
        <f>(C14-B14)</f>
        <v>6.9444444444445308E-3</v>
      </c>
      <c r="E14" s="437" t="s">
        <v>187</v>
      </c>
      <c r="F14" s="438"/>
      <c r="G14" s="404"/>
    </row>
    <row r="15" spans="1:8" ht="9" customHeight="1" thickBot="1" x14ac:dyDescent="0.25">
      <c r="A15" s="264"/>
      <c r="B15" s="254"/>
      <c r="C15" s="254"/>
      <c r="D15" s="256"/>
      <c r="E15" s="417"/>
      <c r="F15" s="418"/>
      <c r="G15" s="401"/>
    </row>
    <row r="16" spans="1:8" ht="15.75" customHeight="1" x14ac:dyDescent="0.2">
      <c r="A16" s="263">
        <v>43955</v>
      </c>
      <c r="B16" s="181">
        <v>0.73958333333333337</v>
      </c>
      <c r="C16" s="181">
        <v>0.77083333333333337</v>
      </c>
      <c r="D16" s="182">
        <f>(C16-B16)</f>
        <v>3.125E-2</v>
      </c>
      <c r="E16" s="437" t="s">
        <v>187</v>
      </c>
      <c r="F16" s="438"/>
      <c r="G16" s="185"/>
    </row>
    <row r="17" spans="1:8" ht="8.25" customHeight="1" thickBot="1" x14ac:dyDescent="0.25">
      <c r="A17" s="264"/>
      <c r="B17" s="254"/>
      <c r="C17" s="254"/>
      <c r="D17" s="256"/>
      <c r="E17" s="417"/>
      <c r="F17" s="418"/>
      <c r="G17" s="249"/>
    </row>
    <row r="18" spans="1:8" ht="13.9" customHeight="1" x14ac:dyDescent="0.2">
      <c r="A18" s="183">
        <v>43956</v>
      </c>
      <c r="B18" s="181">
        <v>0.60416666666666663</v>
      </c>
      <c r="C18" s="181">
        <v>0.63541666666666663</v>
      </c>
      <c r="D18" s="182">
        <f>(C18-B18)</f>
        <v>3.125E-2</v>
      </c>
      <c r="E18" s="396" t="s">
        <v>188</v>
      </c>
      <c r="F18" s="397"/>
      <c r="G18" s="185" t="s">
        <v>185</v>
      </c>
    </row>
    <row r="19" spans="1:8" ht="13.5" customHeight="1" thickBot="1" x14ac:dyDescent="0.25">
      <c r="A19" s="264"/>
      <c r="B19" s="254"/>
      <c r="C19" s="254"/>
      <c r="D19" s="256"/>
      <c r="E19" s="398"/>
      <c r="F19" s="399"/>
      <c r="G19" s="249"/>
    </row>
    <row r="20" spans="1:8" ht="16.899999999999999" customHeight="1" x14ac:dyDescent="0.2">
      <c r="A20" s="183">
        <v>43956</v>
      </c>
      <c r="B20" s="181">
        <v>0.70138888888888884</v>
      </c>
      <c r="C20" s="181">
        <v>0.77083333333333337</v>
      </c>
      <c r="D20" s="182">
        <f>(C20-B20)</f>
        <v>6.9444444444444531E-2</v>
      </c>
      <c r="E20" s="413" t="s">
        <v>189</v>
      </c>
      <c r="F20" s="414"/>
      <c r="G20" s="185" t="s">
        <v>185</v>
      </c>
    </row>
    <row r="21" spans="1:8" ht="7.5" customHeight="1" thickBot="1" x14ac:dyDescent="0.25">
      <c r="A21" s="264"/>
      <c r="B21" s="254"/>
      <c r="C21" s="254"/>
      <c r="D21" s="256"/>
      <c r="E21" s="398"/>
      <c r="F21" s="399"/>
      <c r="G21" s="271"/>
    </row>
    <row r="22" spans="1:8" ht="13.5" customHeight="1" x14ac:dyDescent="0.2">
      <c r="A22" s="183">
        <v>43956</v>
      </c>
      <c r="B22" s="253">
        <v>0.78472222222222221</v>
      </c>
      <c r="C22" s="253">
        <v>0.82638888888888884</v>
      </c>
      <c r="D22" s="255">
        <f>(C22-B22)</f>
        <v>4.166666666666663E-2</v>
      </c>
      <c r="E22" s="396" t="s">
        <v>190</v>
      </c>
      <c r="F22" s="397"/>
      <c r="G22" s="439" t="s">
        <v>185</v>
      </c>
    </row>
    <row r="23" spans="1:8" ht="20.25" customHeight="1" thickBot="1" x14ac:dyDescent="0.25">
      <c r="A23" s="264"/>
      <c r="B23" s="254"/>
      <c r="C23" s="254"/>
      <c r="D23" s="256"/>
      <c r="E23" s="398"/>
      <c r="F23" s="399"/>
      <c r="G23" s="436"/>
    </row>
    <row r="24" spans="1:8" ht="13.9" customHeight="1" x14ac:dyDescent="0.2">
      <c r="A24" s="183">
        <v>43956</v>
      </c>
      <c r="B24" s="181">
        <v>0.88888888888888884</v>
      </c>
      <c r="C24" s="181">
        <v>0.98958333333333337</v>
      </c>
      <c r="D24" s="182">
        <f>(C24-B24)</f>
        <v>0.10069444444444453</v>
      </c>
      <c r="E24" s="396" t="s">
        <v>191</v>
      </c>
      <c r="F24" s="397"/>
      <c r="G24" s="404" t="s">
        <v>157</v>
      </c>
    </row>
    <row r="25" spans="1:8" ht="20.25" customHeight="1" thickBot="1" x14ac:dyDescent="0.25">
      <c r="A25" s="234"/>
      <c r="B25" s="205"/>
      <c r="C25" s="205"/>
      <c r="D25" s="235"/>
      <c r="E25" s="398"/>
      <c r="F25" s="399"/>
      <c r="G25" s="436"/>
    </row>
    <row r="26" spans="1:8" ht="13.9" customHeight="1" x14ac:dyDescent="0.2">
      <c r="A26" s="183">
        <v>43957</v>
      </c>
      <c r="B26" s="181">
        <v>0.4861111111111111</v>
      </c>
      <c r="C26" s="181">
        <v>0.56944444444444442</v>
      </c>
      <c r="D26" s="182">
        <f>C26-B26</f>
        <v>8.3333333333333315E-2</v>
      </c>
      <c r="E26" s="413" t="s">
        <v>192</v>
      </c>
      <c r="F26" s="438"/>
      <c r="G26" s="262" t="s">
        <v>157</v>
      </c>
    </row>
    <row r="27" spans="1:8" ht="21" customHeight="1" thickBot="1" x14ac:dyDescent="0.25">
      <c r="A27" s="264"/>
      <c r="B27" s="257"/>
      <c r="C27" s="257"/>
      <c r="D27" s="258"/>
      <c r="E27" s="417"/>
      <c r="F27" s="418"/>
      <c r="G27" s="249"/>
    </row>
    <row r="28" spans="1:8" ht="13.9" customHeight="1" x14ac:dyDescent="0.2">
      <c r="A28" s="175">
        <v>43957</v>
      </c>
      <c r="B28" s="176">
        <v>0.58333333333333337</v>
      </c>
      <c r="C28" s="176">
        <v>0.60416666666666663</v>
      </c>
      <c r="D28" s="177">
        <f>(C28-B28)</f>
        <v>2.0833333333333259E-2</v>
      </c>
      <c r="E28" s="409" t="s">
        <v>130</v>
      </c>
      <c r="F28" s="410"/>
      <c r="G28" s="404"/>
    </row>
    <row r="29" spans="1:8" ht="12.75" customHeight="1" thickBot="1" x14ac:dyDescent="0.25">
      <c r="A29" s="168"/>
      <c r="B29" s="169"/>
      <c r="C29" s="169"/>
      <c r="D29" s="170"/>
      <c r="E29" s="411"/>
      <c r="F29" s="412"/>
      <c r="G29" s="436"/>
    </row>
    <row r="30" spans="1:8" ht="13.9" customHeight="1" x14ac:dyDescent="0.2">
      <c r="A30" s="149">
        <v>43957</v>
      </c>
      <c r="B30" s="144">
        <v>0.60416666666666663</v>
      </c>
      <c r="C30" s="144">
        <v>0.61805555555555558</v>
      </c>
      <c r="D30" s="145">
        <f>(C30-B30)</f>
        <v>1.3888888888888951E-2</v>
      </c>
      <c r="E30" s="380" t="s">
        <v>193</v>
      </c>
      <c r="F30" s="381"/>
      <c r="G30" s="404"/>
    </row>
    <row r="31" spans="1:8" ht="19.5" customHeight="1" thickBot="1" x14ac:dyDescent="0.25">
      <c r="A31" s="150"/>
      <c r="B31" s="151"/>
      <c r="C31" s="151"/>
      <c r="D31" s="152"/>
      <c r="E31" s="382"/>
      <c r="F31" s="383"/>
      <c r="G31" s="436"/>
      <c r="H31" s="5"/>
    </row>
    <row r="32" spans="1:8" ht="15.75" x14ac:dyDescent="0.2">
      <c r="A32" s="183">
        <v>43957</v>
      </c>
      <c r="B32" s="253">
        <v>0.74305555555555547</v>
      </c>
      <c r="C32" s="253">
        <v>0.84027777777777779</v>
      </c>
      <c r="D32" s="255">
        <f>C32-B32</f>
        <v>9.7222222222222321E-2</v>
      </c>
      <c r="E32" s="413" t="s">
        <v>194</v>
      </c>
      <c r="F32" s="414"/>
      <c r="G32" s="404" t="s">
        <v>185</v>
      </c>
      <c r="H32" s="5"/>
    </row>
    <row r="33" spans="1:8" ht="17.25" customHeight="1" thickBot="1" x14ac:dyDescent="0.25">
      <c r="A33" s="264"/>
      <c r="B33" s="254"/>
      <c r="C33" s="254"/>
      <c r="D33" s="256"/>
      <c r="E33" s="398"/>
      <c r="F33" s="399"/>
      <c r="G33" s="436"/>
      <c r="H33" s="6"/>
    </row>
    <row r="34" spans="1:8" ht="19.5" customHeight="1" x14ac:dyDescent="0.2">
      <c r="A34" s="263">
        <v>43958</v>
      </c>
      <c r="B34" s="253">
        <v>0.69444444444444453</v>
      </c>
      <c r="C34" s="253">
        <v>0.75</v>
      </c>
      <c r="D34" s="255">
        <f>(C34-B34)</f>
        <v>5.5555555555555469E-2</v>
      </c>
      <c r="E34" s="396" t="s">
        <v>195</v>
      </c>
      <c r="F34" s="397"/>
      <c r="G34" s="404" t="s">
        <v>112</v>
      </c>
      <c r="H34" s="6"/>
    </row>
    <row r="35" spans="1:8" ht="11.25" customHeight="1" thickBot="1" x14ac:dyDescent="0.25">
      <c r="A35" s="183"/>
      <c r="B35" s="254"/>
      <c r="C35" s="254"/>
      <c r="D35" s="256"/>
      <c r="E35" s="398"/>
      <c r="F35" s="399"/>
      <c r="G35" s="436"/>
      <c r="H35" s="6"/>
    </row>
    <row r="36" spans="1:8" ht="15.75" x14ac:dyDescent="0.2">
      <c r="A36" s="263">
        <v>43958</v>
      </c>
      <c r="B36" s="181">
        <v>0.77083333333333337</v>
      </c>
      <c r="C36" s="181">
        <v>0.83333333333333337</v>
      </c>
      <c r="D36" s="182">
        <f>(C36-B36)</f>
        <v>6.25E-2</v>
      </c>
      <c r="E36" s="413" t="s">
        <v>196</v>
      </c>
      <c r="F36" s="414"/>
      <c r="G36" s="404" t="s">
        <v>112</v>
      </c>
      <c r="H36" s="6"/>
    </row>
    <row r="37" spans="1:8" ht="18.75" customHeight="1" thickBot="1" x14ac:dyDescent="0.25">
      <c r="A37" s="234"/>
      <c r="B37" s="205"/>
      <c r="C37" s="205"/>
      <c r="D37" s="235"/>
      <c r="E37" s="398"/>
      <c r="F37" s="399"/>
      <c r="G37" s="401"/>
      <c r="H37" s="6"/>
    </row>
    <row r="38" spans="1:8" ht="15.75" customHeight="1" x14ac:dyDescent="0.2">
      <c r="A38" s="263">
        <v>43958</v>
      </c>
      <c r="B38" s="253">
        <v>0.90972222222222221</v>
      </c>
      <c r="C38" s="253">
        <v>0.99305555555555547</v>
      </c>
      <c r="D38" s="255">
        <f>C38-B38</f>
        <v>8.3333333333333259E-2</v>
      </c>
      <c r="E38" s="396" t="s">
        <v>197</v>
      </c>
      <c r="F38" s="397"/>
      <c r="G38" s="404" t="s">
        <v>185</v>
      </c>
      <c r="H38" s="6"/>
    </row>
    <row r="39" spans="1:8" ht="7.5" customHeight="1" thickBot="1" x14ac:dyDescent="0.25">
      <c r="A39" s="264"/>
      <c r="B39" s="254"/>
      <c r="C39" s="254"/>
      <c r="D39" s="256"/>
      <c r="E39" s="398"/>
      <c r="F39" s="399"/>
      <c r="G39" s="436"/>
      <c r="H39" s="6"/>
    </row>
    <row r="40" spans="1:8" ht="15.75" customHeight="1" x14ac:dyDescent="0.2">
      <c r="A40" s="183">
        <v>43959</v>
      </c>
      <c r="B40" s="181">
        <v>0</v>
      </c>
      <c r="C40" s="181">
        <v>5.5555555555555552E-2</v>
      </c>
      <c r="D40" s="430">
        <f>C40-B40</f>
        <v>5.5555555555555552E-2</v>
      </c>
      <c r="E40" s="396" t="s">
        <v>197</v>
      </c>
      <c r="F40" s="397"/>
      <c r="G40" s="404" t="s">
        <v>112</v>
      </c>
      <c r="H40" s="6"/>
    </row>
    <row r="41" spans="1:8" ht="9.75" customHeight="1" thickBot="1" x14ac:dyDescent="0.25">
      <c r="A41" s="264"/>
      <c r="B41" s="259"/>
      <c r="C41" s="259"/>
      <c r="D41" s="431"/>
      <c r="E41" s="398"/>
      <c r="F41" s="399"/>
      <c r="G41" s="436"/>
      <c r="H41" s="6"/>
    </row>
    <row r="42" spans="1:8" ht="17.25" customHeight="1" x14ac:dyDescent="0.2">
      <c r="A42" s="183">
        <v>43959</v>
      </c>
      <c r="B42" s="181">
        <v>0.5</v>
      </c>
      <c r="C42" s="181">
        <v>0.54166666666666663</v>
      </c>
      <c r="D42" s="182">
        <f>C42-B42</f>
        <v>4.166666666666663E-2</v>
      </c>
      <c r="E42" s="396" t="s">
        <v>198</v>
      </c>
      <c r="F42" s="416"/>
      <c r="G42" s="185" t="s">
        <v>112</v>
      </c>
      <c r="H42" s="6"/>
    </row>
    <row r="43" spans="1:8" ht="9.75" customHeight="1" thickBot="1" x14ac:dyDescent="0.25">
      <c r="A43" s="264"/>
      <c r="B43" s="259"/>
      <c r="C43" s="259"/>
      <c r="D43" s="260"/>
      <c r="E43" s="417"/>
      <c r="F43" s="418"/>
      <c r="G43" s="261"/>
      <c r="H43" s="6"/>
    </row>
    <row r="44" spans="1:8" ht="15" customHeight="1" x14ac:dyDescent="0.2">
      <c r="A44" s="175">
        <v>43959</v>
      </c>
      <c r="B44" s="176">
        <v>0.58333333333333337</v>
      </c>
      <c r="C44" s="176">
        <v>0.60416666666666663</v>
      </c>
      <c r="D44" s="177">
        <f>C44-B44</f>
        <v>2.0833333333333259E-2</v>
      </c>
      <c r="E44" s="409" t="s">
        <v>130</v>
      </c>
      <c r="F44" s="410"/>
      <c r="G44" s="185"/>
      <c r="H44" s="6"/>
    </row>
    <row r="45" spans="1:8" ht="15.75" customHeight="1" thickBot="1" x14ac:dyDescent="0.25">
      <c r="A45" s="168"/>
      <c r="B45" s="169"/>
      <c r="C45" s="169"/>
      <c r="D45" s="170"/>
      <c r="E45" s="411"/>
      <c r="F45" s="412"/>
      <c r="G45" s="261"/>
      <c r="H45" s="6"/>
    </row>
    <row r="46" spans="1:8" ht="17.25" customHeight="1" x14ac:dyDescent="0.2">
      <c r="A46" s="183">
        <v>43959</v>
      </c>
      <c r="B46" s="181">
        <v>0.625</v>
      </c>
      <c r="C46" s="181">
        <v>0.65972222222222221</v>
      </c>
      <c r="D46" s="182">
        <f>C46-B46</f>
        <v>3.472222222222221E-2</v>
      </c>
      <c r="E46" s="396" t="s">
        <v>199</v>
      </c>
      <c r="F46" s="416"/>
      <c r="G46" s="185" t="s">
        <v>185</v>
      </c>
      <c r="H46" s="6"/>
    </row>
    <row r="47" spans="1:8" ht="15" customHeight="1" thickBot="1" x14ac:dyDescent="0.25">
      <c r="A47" s="264"/>
      <c r="B47" s="259"/>
      <c r="C47" s="259"/>
      <c r="D47" s="260"/>
      <c r="E47" s="417"/>
      <c r="F47" s="418"/>
      <c r="G47" s="261"/>
      <c r="H47" s="6"/>
    </row>
    <row r="48" spans="1:8" ht="13.5" customHeight="1" x14ac:dyDescent="0.2">
      <c r="A48" s="183">
        <v>43960</v>
      </c>
      <c r="B48" s="181">
        <v>4.1666666666666664E-2</v>
      </c>
      <c r="C48" s="181">
        <v>5.2083333333333336E-2</v>
      </c>
      <c r="D48" s="182">
        <f>C48-B48</f>
        <v>1.0416666666666671E-2</v>
      </c>
      <c r="E48" s="396" t="s">
        <v>199</v>
      </c>
      <c r="F48" s="416"/>
      <c r="G48" s="185" t="s">
        <v>204</v>
      </c>
      <c r="H48" s="6"/>
    </row>
    <row r="49" spans="1:8" ht="22.5" customHeight="1" thickBot="1" x14ac:dyDescent="0.25">
      <c r="A49" s="264"/>
      <c r="B49" s="259"/>
      <c r="C49" s="259"/>
      <c r="D49" s="260"/>
      <c r="E49" s="417"/>
      <c r="F49" s="418"/>
      <c r="G49" s="261"/>
      <c r="H49" s="6"/>
    </row>
    <row r="50" spans="1:8" ht="18" customHeight="1" x14ac:dyDescent="0.2">
      <c r="A50" s="175">
        <v>43960</v>
      </c>
      <c r="B50" s="176">
        <v>0.54166666666666663</v>
      </c>
      <c r="C50" s="176">
        <v>0.54861111111111105</v>
      </c>
      <c r="D50" s="177">
        <f>C50-B50</f>
        <v>6.9444444444444198E-3</v>
      </c>
      <c r="E50" s="409" t="s">
        <v>200</v>
      </c>
      <c r="F50" s="410"/>
      <c r="G50" s="185"/>
      <c r="H50" s="6"/>
    </row>
    <row r="51" spans="1:8" ht="3.75" customHeight="1" thickBot="1" x14ac:dyDescent="0.25">
      <c r="A51" s="168"/>
      <c r="B51" s="169"/>
      <c r="C51" s="169"/>
      <c r="D51" s="170"/>
      <c r="E51" s="411"/>
      <c r="F51" s="412"/>
      <c r="G51" s="261"/>
      <c r="H51" s="6"/>
    </row>
    <row r="52" spans="1:8" ht="20.25" customHeight="1" x14ac:dyDescent="0.2">
      <c r="A52" s="183">
        <v>43960</v>
      </c>
      <c r="B52" s="265">
        <v>0.57291666666666663</v>
      </c>
      <c r="C52" s="265">
        <v>0.625</v>
      </c>
      <c r="D52" s="267">
        <f>C52-B52</f>
        <v>5.208333333333337E-2</v>
      </c>
      <c r="E52" s="415" t="s">
        <v>201</v>
      </c>
      <c r="F52" s="416"/>
      <c r="G52" s="262"/>
      <c r="H52" s="6"/>
    </row>
    <row r="53" spans="1:8" ht="9" customHeight="1" thickBot="1" x14ac:dyDescent="0.25">
      <c r="A53" s="264"/>
      <c r="B53" s="266"/>
      <c r="C53" s="266"/>
      <c r="D53" s="268"/>
      <c r="E53" s="417"/>
      <c r="F53" s="418"/>
      <c r="G53" s="271"/>
      <c r="H53" s="6"/>
    </row>
    <row r="54" spans="1:8" ht="21" customHeight="1" x14ac:dyDescent="0.2">
      <c r="A54" s="183">
        <v>43960</v>
      </c>
      <c r="B54" s="265">
        <v>0.64583333333333337</v>
      </c>
      <c r="C54" s="265">
        <v>0.68055555555555547</v>
      </c>
      <c r="D54" s="267">
        <f>C54-B54</f>
        <v>3.4722222222222099E-2</v>
      </c>
      <c r="E54" s="396" t="s">
        <v>202</v>
      </c>
      <c r="F54" s="416"/>
      <c r="G54" s="185" t="s">
        <v>185</v>
      </c>
      <c r="H54" s="6"/>
    </row>
    <row r="55" spans="1:8" ht="15" customHeight="1" thickBot="1" x14ac:dyDescent="0.25">
      <c r="A55" s="264"/>
      <c r="B55" s="266"/>
      <c r="C55" s="266"/>
      <c r="D55" s="268"/>
      <c r="E55" s="417"/>
      <c r="F55" s="418"/>
      <c r="G55" s="271"/>
      <c r="H55" s="6"/>
    </row>
    <row r="56" spans="1:8" ht="24" customHeight="1" x14ac:dyDescent="0.2">
      <c r="A56" s="149">
        <v>43960</v>
      </c>
      <c r="B56" s="144">
        <v>0.75</v>
      </c>
      <c r="C56" s="144">
        <v>0.82638888888888884</v>
      </c>
      <c r="D56" s="145">
        <f>(C56-B56)</f>
        <v>7.638888888888884E-2</v>
      </c>
      <c r="E56" s="405" t="s">
        <v>203</v>
      </c>
      <c r="F56" s="419"/>
      <c r="G56" s="185"/>
      <c r="H56" s="6"/>
    </row>
    <row r="57" spans="1:8" ht="29.25" customHeight="1" thickBot="1" x14ac:dyDescent="0.25">
      <c r="A57" s="270"/>
      <c r="B57" s="160"/>
      <c r="C57" s="160"/>
      <c r="D57" s="161"/>
      <c r="E57" s="420"/>
      <c r="F57" s="421"/>
      <c r="G57" s="271"/>
      <c r="H57" s="6"/>
    </row>
    <row r="58" spans="1:8" ht="24" customHeight="1" x14ac:dyDescent="0.2">
      <c r="A58" s="149">
        <v>43960</v>
      </c>
      <c r="B58" s="144">
        <v>0.83333333333333337</v>
      </c>
      <c r="C58" s="144">
        <v>0.85416666666666663</v>
      </c>
      <c r="D58" s="145">
        <f>(C58-B58)</f>
        <v>2.0833333333333259E-2</v>
      </c>
      <c r="E58" s="405" t="s">
        <v>205</v>
      </c>
      <c r="F58" s="419"/>
      <c r="G58" s="185"/>
      <c r="H58" s="7"/>
    </row>
    <row r="59" spans="1:8" ht="6" customHeight="1" thickBot="1" x14ac:dyDescent="0.25">
      <c r="A59" s="278"/>
      <c r="B59" s="160"/>
      <c r="C59" s="160"/>
      <c r="D59" s="161"/>
      <c r="E59" s="420"/>
      <c r="F59" s="421"/>
      <c r="G59" s="271"/>
      <c r="H59" s="15"/>
    </row>
    <row r="60" spans="1:8" ht="24" customHeight="1" x14ac:dyDescent="0.2">
      <c r="A60" s="273">
        <v>43961</v>
      </c>
      <c r="B60" s="181">
        <v>0.10416666666666667</v>
      </c>
      <c r="C60" s="181">
        <v>0.1875</v>
      </c>
      <c r="D60" s="182">
        <f>(C60-B60)</f>
        <v>8.3333333333333329E-2</v>
      </c>
      <c r="E60" s="415" t="s">
        <v>206</v>
      </c>
      <c r="F60" s="416"/>
      <c r="G60" s="185" t="s">
        <v>204</v>
      </c>
      <c r="H60" s="15"/>
    </row>
    <row r="61" spans="1:8" ht="12.75" customHeight="1" thickBot="1" x14ac:dyDescent="0.25">
      <c r="A61" s="274"/>
      <c r="B61" s="275"/>
      <c r="C61" s="275"/>
      <c r="D61" s="276"/>
      <c r="E61" s="417"/>
      <c r="F61" s="418"/>
      <c r="G61" s="279"/>
      <c r="H61" s="15"/>
    </row>
    <row r="62" spans="1:8" ht="20.25" customHeight="1" x14ac:dyDescent="0.2">
      <c r="A62" s="146">
        <v>43961</v>
      </c>
      <c r="B62" s="176">
        <v>0.58333333333333337</v>
      </c>
      <c r="C62" s="176">
        <v>0.59375</v>
      </c>
      <c r="D62" s="177">
        <f>(C62-B62)</f>
        <v>1.041666666666663E-2</v>
      </c>
      <c r="E62" s="409" t="s">
        <v>200</v>
      </c>
      <c r="F62" s="410"/>
      <c r="G62" s="280"/>
      <c r="H62" s="15"/>
    </row>
    <row r="63" spans="1:8" ht="24" customHeight="1" thickBot="1" x14ac:dyDescent="0.25">
      <c r="A63" s="168"/>
      <c r="B63" s="169"/>
      <c r="C63" s="169"/>
      <c r="D63" s="170"/>
      <c r="E63" s="411"/>
      <c r="F63" s="412"/>
      <c r="G63" s="279"/>
      <c r="H63" s="15"/>
    </row>
    <row r="64" spans="1:8" ht="27" customHeight="1" x14ac:dyDescent="0.2">
      <c r="A64" s="277">
        <v>43961</v>
      </c>
      <c r="B64" s="144">
        <v>0.74305555555555547</v>
      </c>
      <c r="C64" s="144">
        <v>0.74305555555555547</v>
      </c>
      <c r="D64" s="145">
        <f>(C64-B64)</f>
        <v>0</v>
      </c>
      <c r="E64" s="405" t="s">
        <v>207</v>
      </c>
      <c r="F64" s="419"/>
      <c r="G64" s="280"/>
      <c r="H64" s="15"/>
    </row>
    <row r="65" spans="1:11" ht="11.25" customHeight="1" thickBot="1" x14ac:dyDescent="0.25">
      <c r="A65" s="278"/>
      <c r="B65" s="160"/>
      <c r="C65" s="160"/>
      <c r="D65" s="161"/>
      <c r="E65" s="420"/>
      <c r="F65" s="421"/>
      <c r="G65" s="279"/>
      <c r="H65" s="15"/>
    </row>
    <row r="66" spans="1:11" ht="23.25" customHeight="1" x14ac:dyDescent="0.2">
      <c r="A66" s="273">
        <v>43961</v>
      </c>
      <c r="B66" s="181"/>
      <c r="C66" s="181"/>
      <c r="D66" s="182">
        <f>(C66-B66)</f>
        <v>0</v>
      </c>
      <c r="E66" s="415"/>
      <c r="F66" s="416"/>
      <c r="G66" s="280"/>
      <c r="H66" s="15"/>
    </row>
    <row r="67" spans="1:11" ht="23.25" customHeight="1" thickBot="1" x14ac:dyDescent="0.25">
      <c r="A67" s="274"/>
      <c r="B67" s="275"/>
      <c r="C67" s="275"/>
      <c r="D67" s="276"/>
      <c r="E67" s="417"/>
      <c r="F67" s="418"/>
      <c r="G67" s="279"/>
      <c r="H67" s="15"/>
    </row>
    <row r="68" spans="1:11" ht="23.25" customHeight="1" x14ac:dyDescent="0.2">
      <c r="A68" s="273">
        <v>43961</v>
      </c>
      <c r="B68" s="181"/>
      <c r="C68" s="181"/>
      <c r="D68" s="182">
        <f>(C68-B68)</f>
        <v>0</v>
      </c>
      <c r="E68" s="415"/>
      <c r="F68" s="416"/>
      <c r="G68" s="280"/>
      <c r="H68" s="15"/>
    </row>
    <row r="69" spans="1:11" ht="23.25" customHeight="1" thickBot="1" x14ac:dyDescent="0.25">
      <c r="A69" s="274"/>
      <c r="B69" s="275"/>
      <c r="C69" s="275"/>
      <c r="D69" s="276"/>
      <c r="E69" s="417"/>
      <c r="F69" s="418"/>
      <c r="G69" s="279"/>
      <c r="H69" s="15"/>
    </row>
    <row r="70" spans="1:11" ht="23.25" customHeight="1" x14ac:dyDescent="0.2">
      <c r="A70" s="273">
        <v>43961</v>
      </c>
      <c r="B70" s="181"/>
      <c r="C70" s="181"/>
      <c r="D70" s="182">
        <f>(C70-B70)</f>
        <v>0</v>
      </c>
      <c r="E70" s="415"/>
      <c r="F70" s="416"/>
      <c r="G70" s="280"/>
      <c r="H70" s="15"/>
    </row>
    <row r="71" spans="1:11" ht="23.25" customHeight="1" thickBot="1" x14ac:dyDescent="0.25">
      <c r="A71" s="274"/>
      <c r="B71" s="275"/>
      <c r="C71" s="275"/>
      <c r="D71" s="276"/>
      <c r="E71" s="417"/>
      <c r="F71" s="418"/>
      <c r="G71" s="279"/>
      <c r="H71" s="15"/>
    </row>
    <row r="72" spans="1:11" ht="23.25" customHeight="1" x14ac:dyDescent="0.2">
      <c r="A72" s="273">
        <v>43961</v>
      </c>
      <c r="B72" s="181"/>
      <c r="C72" s="181"/>
      <c r="D72" s="182">
        <f>(C72-B72)</f>
        <v>0</v>
      </c>
      <c r="E72" s="415"/>
      <c r="F72" s="416"/>
      <c r="G72" s="280"/>
      <c r="H72" s="15"/>
    </row>
    <row r="73" spans="1:11" ht="23.25" customHeight="1" thickBot="1" x14ac:dyDescent="0.25">
      <c r="A73" s="274"/>
      <c r="B73" s="275"/>
      <c r="C73" s="275"/>
      <c r="D73" s="276"/>
      <c r="E73" s="417"/>
      <c r="F73" s="418"/>
      <c r="G73" s="279"/>
      <c r="H73" s="15"/>
    </row>
    <row r="74" spans="1:11" ht="23.25" customHeight="1" x14ac:dyDescent="0.2">
      <c r="A74" s="273">
        <v>43961</v>
      </c>
      <c r="B74" s="181"/>
      <c r="C74" s="181"/>
      <c r="D74" s="182">
        <f>(C74-B74)</f>
        <v>0</v>
      </c>
      <c r="E74" s="415"/>
      <c r="F74" s="416"/>
      <c r="G74" s="280"/>
      <c r="H74" s="15"/>
    </row>
    <row r="75" spans="1:11" ht="23.25" customHeight="1" thickBot="1" x14ac:dyDescent="0.25">
      <c r="A75" s="183"/>
      <c r="B75" s="275"/>
      <c r="C75" s="275"/>
      <c r="D75" s="276"/>
      <c r="E75" s="417"/>
      <c r="F75" s="418"/>
      <c r="G75" s="279"/>
      <c r="H75" s="15"/>
    </row>
    <row r="76" spans="1:11" ht="24" customHeight="1" x14ac:dyDescent="0.2">
      <c r="A76" s="146">
        <v>43961</v>
      </c>
      <c r="B76" s="176"/>
      <c r="C76" s="176"/>
      <c r="D76" s="177">
        <f>(C76-B76)</f>
        <v>0</v>
      </c>
      <c r="E76" s="402"/>
      <c r="F76" s="435"/>
      <c r="G76" s="439"/>
      <c r="H76" s="15"/>
      <c r="J76" s="172"/>
      <c r="K76" s="172"/>
    </row>
    <row r="77" spans="1:11" ht="24" customHeight="1" thickBot="1" x14ac:dyDescent="0.25">
      <c r="A77" s="168"/>
      <c r="B77" s="169"/>
      <c r="C77" s="169"/>
      <c r="D77" s="170"/>
      <c r="E77" s="411"/>
      <c r="F77" s="412"/>
      <c r="G77" s="436"/>
      <c r="H77" s="15"/>
      <c r="J77" s="172"/>
      <c r="K77" s="172"/>
    </row>
    <row r="78" spans="1:11" ht="12.75" customHeight="1" x14ac:dyDescent="0.2">
      <c r="H78" s="15"/>
      <c r="J78" s="172"/>
      <c r="K78" s="172"/>
    </row>
    <row r="79" spans="1:11" ht="36" customHeight="1" x14ac:dyDescent="0.2">
      <c r="H79" s="15"/>
      <c r="J79" s="172"/>
    </row>
    <row r="80" spans="1:11" ht="15" customHeight="1" x14ac:dyDescent="0.2">
      <c r="H80" s="15"/>
      <c r="J80" s="172"/>
    </row>
    <row r="81" spans="1:10" ht="34.5" customHeight="1" x14ac:dyDescent="0.2">
      <c r="H81" s="15"/>
      <c r="J81" s="172"/>
    </row>
    <row r="82" spans="1:10" ht="15.75" customHeight="1" x14ac:dyDescent="0.2">
      <c r="H82" s="15"/>
      <c r="J82" s="172"/>
    </row>
    <row r="83" spans="1:10" ht="9" customHeight="1" x14ac:dyDescent="0.2">
      <c r="H83" s="15"/>
      <c r="J83" s="172"/>
    </row>
    <row r="84" spans="1:10" ht="15" customHeight="1" x14ac:dyDescent="0.2">
      <c r="J84" s="172"/>
    </row>
    <row r="85" spans="1:10" ht="26.25" customHeight="1" thickBot="1" x14ac:dyDescent="0.25">
      <c r="A85" s="28" t="s">
        <v>16</v>
      </c>
      <c r="B85" s="29"/>
      <c r="C85" s="30"/>
      <c r="D85" s="20"/>
      <c r="E85" s="20"/>
      <c r="F85" s="20"/>
      <c r="G85" s="20"/>
      <c r="J85" s="172"/>
    </row>
    <row r="86" spans="1:10" ht="12.75" customHeight="1" thickBot="1" x14ac:dyDescent="0.25">
      <c r="D86" s="21"/>
      <c r="E86" s="21"/>
      <c r="F86" s="21"/>
      <c r="G86" s="21"/>
      <c r="J86" s="172"/>
    </row>
    <row r="87" spans="1:10" ht="12.75" customHeight="1" x14ac:dyDescent="0.2">
      <c r="A87" s="357" t="s">
        <v>208</v>
      </c>
      <c r="B87" s="358"/>
      <c r="C87" s="358"/>
      <c r="D87" s="358"/>
      <c r="E87" s="358"/>
      <c r="F87" s="358"/>
      <c r="G87" s="359"/>
      <c r="J87" s="172"/>
    </row>
    <row r="88" spans="1:10" ht="12.75" customHeight="1" x14ac:dyDescent="0.2">
      <c r="A88" s="360"/>
      <c r="B88" s="361"/>
      <c r="C88" s="361"/>
      <c r="D88" s="361"/>
      <c r="E88" s="361"/>
      <c r="F88" s="361"/>
      <c r="G88" s="362"/>
      <c r="J88" s="172"/>
    </row>
    <row r="89" spans="1:10" ht="12.75" customHeight="1" x14ac:dyDescent="0.2">
      <c r="A89" s="360"/>
      <c r="B89" s="361"/>
      <c r="C89" s="361"/>
      <c r="D89" s="361"/>
      <c r="E89" s="361"/>
      <c r="F89" s="361"/>
      <c r="G89" s="362"/>
      <c r="J89" s="172"/>
    </row>
    <row r="90" spans="1:10" ht="21.75" customHeight="1" x14ac:dyDescent="0.2">
      <c r="A90" s="360"/>
      <c r="B90" s="361"/>
      <c r="C90" s="361"/>
      <c r="D90" s="361"/>
      <c r="E90" s="361"/>
      <c r="F90" s="361"/>
      <c r="G90" s="362"/>
    </row>
    <row r="91" spans="1:10" ht="23.25" customHeight="1" x14ac:dyDescent="0.2">
      <c r="A91" s="360"/>
      <c r="B91" s="361"/>
      <c r="C91" s="361"/>
      <c r="D91" s="361"/>
      <c r="E91" s="361"/>
      <c r="F91" s="361"/>
      <c r="G91" s="362"/>
    </row>
    <row r="92" spans="1:10" ht="20.25" customHeight="1" x14ac:dyDescent="0.2">
      <c r="A92" s="360"/>
      <c r="B92" s="361"/>
      <c r="C92" s="361"/>
      <c r="D92" s="361"/>
      <c r="E92" s="361"/>
      <c r="F92" s="361"/>
      <c r="G92" s="362"/>
    </row>
    <row r="93" spans="1:10" ht="15.75" customHeight="1" x14ac:dyDescent="0.2">
      <c r="A93" s="360"/>
      <c r="B93" s="361"/>
      <c r="C93" s="361"/>
      <c r="D93" s="361"/>
      <c r="E93" s="361"/>
      <c r="F93" s="361"/>
      <c r="G93" s="362"/>
    </row>
    <row r="94" spans="1:10" ht="12.75" customHeight="1" x14ac:dyDescent="0.2">
      <c r="A94" s="360"/>
      <c r="B94" s="361"/>
      <c r="C94" s="361"/>
      <c r="D94" s="361"/>
      <c r="E94" s="361"/>
      <c r="F94" s="361"/>
      <c r="G94" s="362"/>
    </row>
    <row r="95" spans="1:10" ht="12.75" customHeight="1" x14ac:dyDescent="0.2">
      <c r="A95" s="360"/>
      <c r="B95" s="361"/>
      <c r="C95" s="361"/>
      <c r="D95" s="361"/>
      <c r="E95" s="361"/>
      <c r="F95" s="361"/>
      <c r="G95" s="362"/>
    </row>
    <row r="96" spans="1:10" ht="13.5" customHeight="1" x14ac:dyDescent="0.2">
      <c r="A96" s="360"/>
      <c r="B96" s="361"/>
      <c r="C96" s="361"/>
      <c r="D96" s="361"/>
      <c r="E96" s="361"/>
      <c r="F96" s="361"/>
      <c r="G96" s="362"/>
      <c r="J96" s="178"/>
    </row>
    <row r="97" spans="1:10" ht="12.75" customHeight="1" x14ac:dyDescent="0.2">
      <c r="A97" s="360"/>
      <c r="B97" s="361"/>
      <c r="C97" s="361"/>
      <c r="D97" s="361"/>
      <c r="E97" s="361"/>
      <c r="F97" s="361"/>
      <c r="G97" s="362"/>
      <c r="J97" s="178"/>
    </row>
    <row r="98" spans="1:10" ht="12.75" customHeight="1" x14ac:dyDescent="0.2">
      <c r="A98" s="360"/>
      <c r="B98" s="361"/>
      <c r="C98" s="361"/>
      <c r="D98" s="361"/>
      <c r="E98" s="361"/>
      <c r="F98" s="361"/>
      <c r="G98" s="362"/>
    </row>
    <row r="99" spans="1:10" ht="12.75" customHeight="1" x14ac:dyDescent="0.2">
      <c r="A99" s="360"/>
      <c r="B99" s="361"/>
      <c r="C99" s="361"/>
      <c r="D99" s="361"/>
      <c r="E99" s="361"/>
      <c r="F99" s="361"/>
      <c r="G99" s="362"/>
    </row>
    <row r="100" spans="1:10" ht="12.75" customHeight="1" x14ac:dyDescent="0.2">
      <c r="A100" s="360"/>
      <c r="B100" s="361"/>
      <c r="C100" s="361"/>
      <c r="D100" s="361"/>
      <c r="E100" s="361"/>
      <c r="F100" s="361"/>
      <c r="G100" s="362"/>
    </row>
    <row r="101" spans="1:10" ht="12.75" customHeight="1" x14ac:dyDescent="0.2">
      <c r="A101" s="360"/>
      <c r="B101" s="361"/>
      <c r="C101" s="361"/>
      <c r="D101" s="361"/>
      <c r="E101" s="361"/>
      <c r="F101" s="361"/>
      <c r="G101" s="362"/>
    </row>
    <row r="102" spans="1:10" ht="12.75" customHeight="1" x14ac:dyDescent="0.2">
      <c r="A102" s="360"/>
      <c r="B102" s="361"/>
      <c r="C102" s="361"/>
      <c r="D102" s="361"/>
      <c r="E102" s="361"/>
      <c r="F102" s="361"/>
      <c r="G102" s="362"/>
    </row>
    <row r="103" spans="1:10" ht="12.75" customHeight="1" x14ac:dyDescent="0.2">
      <c r="A103" s="360"/>
      <c r="B103" s="361"/>
      <c r="C103" s="361"/>
      <c r="D103" s="361"/>
      <c r="E103" s="361"/>
      <c r="F103" s="361"/>
      <c r="G103" s="362"/>
    </row>
    <row r="104" spans="1:10" ht="409.5" customHeight="1" x14ac:dyDescent="0.2">
      <c r="A104" s="360"/>
      <c r="B104" s="361"/>
      <c r="C104" s="361"/>
      <c r="D104" s="361"/>
      <c r="E104" s="361"/>
      <c r="F104" s="361"/>
      <c r="G104" s="362"/>
    </row>
    <row r="105" spans="1:10" ht="13.5" customHeight="1" x14ac:dyDescent="0.2">
      <c r="A105" s="360"/>
      <c r="B105" s="361"/>
      <c r="C105" s="361"/>
      <c r="D105" s="361"/>
      <c r="E105" s="361"/>
      <c r="F105" s="361"/>
      <c r="G105" s="362"/>
    </row>
    <row r="106" spans="1:10" ht="12.75" customHeight="1" x14ac:dyDescent="0.2">
      <c r="A106" s="360"/>
      <c r="B106" s="361"/>
      <c r="C106" s="361"/>
      <c r="D106" s="361"/>
      <c r="E106" s="361"/>
      <c r="F106" s="361"/>
      <c r="G106" s="362"/>
    </row>
    <row r="107" spans="1:10" ht="12.75" customHeight="1" x14ac:dyDescent="0.2">
      <c r="A107" s="360"/>
      <c r="B107" s="361"/>
      <c r="C107" s="361"/>
      <c r="D107" s="361"/>
      <c r="E107" s="361"/>
      <c r="F107" s="361"/>
      <c r="G107" s="362"/>
    </row>
    <row r="108" spans="1:10" ht="12.75" customHeight="1" x14ac:dyDescent="0.2">
      <c r="A108" s="360"/>
      <c r="B108" s="361"/>
      <c r="C108" s="361"/>
      <c r="D108" s="361"/>
      <c r="E108" s="361"/>
      <c r="F108" s="361"/>
      <c r="G108" s="362"/>
    </row>
    <row r="109" spans="1:10" ht="12.75" customHeight="1" x14ac:dyDescent="0.2">
      <c r="A109" s="360"/>
      <c r="B109" s="361"/>
      <c r="C109" s="361"/>
      <c r="D109" s="361"/>
      <c r="E109" s="361"/>
      <c r="F109" s="361"/>
      <c r="G109" s="362"/>
    </row>
    <row r="110" spans="1:10" ht="12.75" customHeight="1" x14ac:dyDescent="0.2">
      <c r="A110" s="360"/>
      <c r="B110" s="361"/>
      <c r="C110" s="361"/>
      <c r="D110" s="361"/>
      <c r="E110" s="361"/>
      <c r="F110" s="361"/>
      <c r="G110" s="362"/>
    </row>
    <row r="111" spans="1:10" ht="12.75" customHeight="1" x14ac:dyDescent="0.2">
      <c r="A111" s="360"/>
      <c r="B111" s="361"/>
      <c r="C111" s="361"/>
      <c r="D111" s="361"/>
      <c r="E111" s="361"/>
      <c r="F111" s="361"/>
      <c r="G111" s="362"/>
    </row>
    <row r="112" spans="1:10" ht="12.75" customHeight="1" x14ac:dyDescent="0.2">
      <c r="A112" s="360"/>
      <c r="B112" s="361"/>
      <c r="C112" s="361"/>
      <c r="D112" s="361"/>
      <c r="E112" s="361"/>
      <c r="F112" s="361"/>
      <c r="G112" s="362"/>
    </row>
    <row r="113" spans="1:15" ht="12.75" customHeight="1" x14ac:dyDescent="0.2">
      <c r="A113" s="360"/>
      <c r="B113" s="361"/>
      <c r="C113" s="361"/>
      <c r="D113" s="361"/>
      <c r="E113" s="361"/>
      <c r="F113" s="361"/>
      <c r="G113" s="362"/>
    </row>
    <row r="114" spans="1:15" ht="12.75" customHeight="1" x14ac:dyDescent="0.2">
      <c r="A114" s="360"/>
      <c r="B114" s="361"/>
      <c r="C114" s="361"/>
      <c r="D114" s="361"/>
      <c r="E114" s="361"/>
      <c r="F114" s="361"/>
      <c r="G114" s="362"/>
    </row>
    <row r="115" spans="1:15" ht="12.75" customHeight="1" x14ac:dyDescent="0.2">
      <c r="A115" s="360"/>
      <c r="B115" s="361"/>
      <c r="C115" s="361"/>
      <c r="D115" s="361"/>
      <c r="E115" s="361"/>
      <c r="F115" s="361"/>
      <c r="G115" s="362"/>
    </row>
    <row r="116" spans="1:15" ht="13.5" customHeight="1" x14ac:dyDescent="0.2">
      <c r="A116" s="360"/>
      <c r="B116" s="361"/>
      <c r="C116" s="361"/>
      <c r="D116" s="361"/>
      <c r="E116" s="361"/>
      <c r="F116" s="361"/>
      <c r="G116" s="362"/>
    </row>
    <row r="117" spans="1:15" ht="12.75" customHeight="1" x14ac:dyDescent="0.2">
      <c r="A117" s="360"/>
      <c r="B117" s="361"/>
      <c r="C117" s="361"/>
      <c r="D117" s="361"/>
      <c r="E117" s="361"/>
      <c r="F117" s="361"/>
      <c r="G117" s="362"/>
    </row>
    <row r="118" spans="1:15" ht="12.75" customHeight="1" x14ac:dyDescent="0.2">
      <c r="A118" s="360"/>
      <c r="B118" s="361"/>
      <c r="C118" s="361"/>
      <c r="D118" s="361"/>
      <c r="E118" s="361"/>
      <c r="F118" s="361"/>
      <c r="G118" s="362"/>
    </row>
    <row r="119" spans="1:15" ht="11.25" customHeight="1" thickBot="1" x14ac:dyDescent="0.25">
      <c r="A119" s="363"/>
      <c r="B119" s="364"/>
      <c r="C119" s="364"/>
      <c r="D119" s="364"/>
      <c r="E119" s="364"/>
      <c r="F119" s="364"/>
      <c r="G119" s="365"/>
    </row>
    <row r="120" spans="1:15" ht="12.75" customHeight="1" x14ac:dyDescent="0.2"/>
    <row r="121" spans="1:15" ht="12.75" customHeight="1" x14ac:dyDescent="0.2"/>
    <row r="122" spans="1:15" ht="12.75" customHeight="1" x14ac:dyDescent="0.2"/>
    <row r="123" spans="1:15" ht="12.75" customHeight="1" x14ac:dyDescent="0.2"/>
    <row r="124" spans="1:15" ht="12.75" customHeight="1" x14ac:dyDescent="0.2">
      <c r="L124" s="172"/>
    </row>
    <row r="125" spans="1:15" ht="12.75" customHeight="1" x14ac:dyDescent="0.2">
      <c r="L125" s="172"/>
    </row>
    <row r="126" spans="1:15" ht="71.25" customHeight="1" x14ac:dyDescent="0.2">
      <c r="L126" s="172"/>
    </row>
    <row r="127" spans="1:15" x14ac:dyDescent="0.2">
      <c r="L127" s="172"/>
    </row>
    <row r="128" spans="1:15" x14ac:dyDescent="0.2">
      <c r="L128" s="172"/>
      <c r="M128" s="172"/>
      <c r="N128" s="172"/>
      <c r="O128" s="172"/>
    </row>
    <row r="129" spans="12:17" x14ac:dyDescent="0.2">
      <c r="L129" s="172"/>
      <c r="M129" s="172"/>
      <c r="N129" s="172"/>
      <c r="O129" s="172"/>
    </row>
    <row r="130" spans="12:17" x14ac:dyDescent="0.2">
      <c r="L130" s="172"/>
      <c r="M130" s="172"/>
      <c r="N130" s="172"/>
      <c r="O130" s="172"/>
    </row>
    <row r="131" spans="12:17" x14ac:dyDescent="0.2">
      <c r="L131" s="172"/>
      <c r="M131" s="172"/>
      <c r="N131" s="172"/>
      <c r="O131" s="172"/>
    </row>
    <row r="132" spans="12:17" x14ac:dyDescent="0.2">
      <c r="L132" s="172"/>
      <c r="M132" s="172"/>
      <c r="N132" s="172"/>
      <c r="O132" s="172"/>
    </row>
    <row r="133" spans="12:17" x14ac:dyDescent="0.2">
      <c r="L133" s="172"/>
      <c r="M133" s="172"/>
      <c r="N133" s="172"/>
      <c r="O133" s="172"/>
    </row>
    <row r="134" spans="12:17" x14ac:dyDescent="0.2">
      <c r="P134" s="172"/>
      <c r="Q134" s="172"/>
    </row>
    <row r="135" spans="12:17" x14ac:dyDescent="0.2">
      <c r="P135" s="172"/>
      <c r="Q135" s="172"/>
    </row>
    <row r="136" spans="12:17" x14ac:dyDescent="0.2">
      <c r="P136" s="172"/>
      <c r="Q136" s="172"/>
    </row>
    <row r="137" spans="12:17" x14ac:dyDescent="0.2">
      <c r="P137" s="172"/>
      <c r="Q137" s="172"/>
    </row>
    <row r="138" spans="12:17" x14ac:dyDescent="0.2">
      <c r="P138" s="172"/>
      <c r="Q138" s="172"/>
    </row>
    <row r="139" spans="12:17" x14ac:dyDescent="0.2">
      <c r="P139" s="172"/>
      <c r="Q139" s="172"/>
    </row>
  </sheetData>
  <mergeCells count="50">
    <mergeCell ref="E56:F57"/>
    <mergeCell ref="E58:F59"/>
    <mergeCell ref="E60:F61"/>
    <mergeCell ref="G40:G41"/>
    <mergeCell ref="A1:E1"/>
    <mergeCell ref="A4:B5"/>
    <mergeCell ref="C4:D5"/>
    <mergeCell ref="E10:F11"/>
    <mergeCell ref="E12:F13"/>
    <mergeCell ref="E28:F29"/>
    <mergeCell ref="G28:G29"/>
    <mergeCell ref="G14:G15"/>
    <mergeCell ref="E16:F17"/>
    <mergeCell ref="E18:F19"/>
    <mergeCell ref="E20:F21"/>
    <mergeCell ref="E14:F15"/>
    <mergeCell ref="E22:F23"/>
    <mergeCell ref="G22:G23"/>
    <mergeCell ref="E24:F25"/>
    <mergeCell ref="G24:G25"/>
    <mergeCell ref="E26:F27"/>
    <mergeCell ref="E30:F31"/>
    <mergeCell ref="G30:G31"/>
    <mergeCell ref="E32:F33"/>
    <mergeCell ref="G32:G33"/>
    <mergeCell ref="E34:F35"/>
    <mergeCell ref="G34:G35"/>
    <mergeCell ref="A87:G119"/>
    <mergeCell ref="E36:F37"/>
    <mergeCell ref="G36:G37"/>
    <mergeCell ref="E38:F39"/>
    <mergeCell ref="G38:G39"/>
    <mergeCell ref="E76:F77"/>
    <mergeCell ref="G76:G77"/>
    <mergeCell ref="D40:D41"/>
    <mergeCell ref="E40:F41"/>
    <mergeCell ref="E42:F43"/>
    <mergeCell ref="E44:F45"/>
    <mergeCell ref="E46:F47"/>
    <mergeCell ref="E48:F49"/>
    <mergeCell ref="E50:F51"/>
    <mergeCell ref="E52:F53"/>
    <mergeCell ref="E54:F55"/>
    <mergeCell ref="E72:F73"/>
    <mergeCell ref="E74:F75"/>
    <mergeCell ref="E62:F63"/>
    <mergeCell ref="E64:F65"/>
    <mergeCell ref="E66:F67"/>
    <mergeCell ref="E68:F69"/>
    <mergeCell ref="E70:F71"/>
  </mergeCells>
  <conditionalFormatting sqref="H31:H32">
    <cfRule type="expression" dxfId="51" priority="71">
      <formula>ISNUMBER(SEARCH(TEXT(#REF!,"ddd"),#REF!))</formula>
    </cfRule>
  </conditionalFormatting>
  <conditionalFormatting sqref="B10:C27">
    <cfRule type="expression" dxfId="50" priority="72">
      <formula>ISNUMBER(SEARCH(TEXT(#REF!,"ddd"),#REF!))</formula>
    </cfRule>
  </conditionalFormatting>
  <conditionalFormatting sqref="D10:D13">
    <cfRule type="expression" dxfId="49" priority="70">
      <formula>ISNUMBER(SEARCH(TEXT(#REF!,"ddd"),#REF!))</formula>
    </cfRule>
  </conditionalFormatting>
  <conditionalFormatting sqref="A10:A13">
    <cfRule type="expression" dxfId="48" priority="69">
      <formula>ISNUMBER(SEARCH(TEXT(#REF!,"ddd"),#REF!))</formula>
    </cfRule>
  </conditionalFormatting>
  <conditionalFormatting sqref="D14:D27">
    <cfRule type="expression" dxfId="47" priority="68">
      <formula>ISNUMBER(SEARCH(TEXT(#REF!,"ddd"),#REF!))</formula>
    </cfRule>
  </conditionalFormatting>
  <conditionalFormatting sqref="A15 A17 A19 A21 A23 A25 A27">
    <cfRule type="expression" dxfId="46" priority="67">
      <formula>ISNUMBER(SEARCH(TEXT(#REF!,"ddd"),#REF!))</formula>
    </cfRule>
  </conditionalFormatting>
  <conditionalFormatting sqref="D24:D25">
    <cfRule type="expression" dxfId="45" priority="66">
      <formula>ISNUMBER(SEARCH(TEXT(#REF!,"ddd"),#REF!))</formula>
    </cfRule>
  </conditionalFormatting>
  <conditionalFormatting sqref="A25">
    <cfRule type="expression" dxfId="44" priority="65">
      <formula>ISNUMBER(SEARCH(TEXT(#REF!,"ddd"),#REF!))</formula>
    </cfRule>
  </conditionalFormatting>
  <conditionalFormatting sqref="N128:O132">
    <cfRule type="expression" dxfId="43" priority="62">
      <formula>ISNUMBER(SEARCH(TEXT(#REF!,"ddd"),#REF!))</formula>
    </cfRule>
  </conditionalFormatting>
  <conditionalFormatting sqref="P134:P138">
    <cfRule type="expression" dxfId="42" priority="61">
      <formula>ISNUMBER(SEARCH(TEXT(#REF!,"ddd"),#REF!))</formula>
    </cfRule>
  </conditionalFormatting>
  <conditionalFormatting sqref="M128:M132">
    <cfRule type="expression" dxfId="41" priority="60">
      <formula>ISNUMBER(SEARCH(TEXT(#REF!,"ddd"),#REF!))</formula>
    </cfRule>
  </conditionalFormatting>
  <conditionalFormatting sqref="A18">
    <cfRule type="expression" dxfId="40" priority="59">
      <formula>ISNUMBER(SEARCH(TEXT(#REF!,"ddd"),#REF!))</formula>
    </cfRule>
  </conditionalFormatting>
  <conditionalFormatting sqref="A26">
    <cfRule type="expression" dxfId="39" priority="55">
      <formula>ISNUMBER(SEARCH(TEXT(#REF!,"ddd"),#REF!))</formula>
    </cfRule>
  </conditionalFormatting>
  <conditionalFormatting sqref="B28:C33">
    <cfRule type="expression" dxfId="38" priority="54">
      <formula>ISNUMBER(SEARCH(TEXT(#REF!,"ddd"),#REF!))</formula>
    </cfRule>
  </conditionalFormatting>
  <conditionalFormatting sqref="D28:D33">
    <cfRule type="expression" dxfId="37" priority="53">
      <formula>ISNUMBER(SEARCH(TEXT(#REF!,"ddd"),#REF!))</formula>
    </cfRule>
  </conditionalFormatting>
  <conditionalFormatting sqref="A29 A31 A33">
    <cfRule type="expression" dxfId="36" priority="52">
      <formula>ISNUMBER(SEARCH(TEXT(#REF!,"ddd"),#REF!))</formula>
    </cfRule>
  </conditionalFormatting>
  <conditionalFormatting sqref="D30:D31">
    <cfRule type="expression" dxfId="35" priority="51">
      <formula>ISNUMBER(SEARCH(TEXT(#REF!,"ddd"),#REF!))</formula>
    </cfRule>
  </conditionalFormatting>
  <conditionalFormatting sqref="A31">
    <cfRule type="expression" dxfId="34" priority="50">
      <formula>ISNUMBER(SEARCH(TEXT(#REF!,"ddd"),#REF!))</formula>
    </cfRule>
  </conditionalFormatting>
  <conditionalFormatting sqref="B34:C37 B76:C77">
    <cfRule type="expression" dxfId="33" priority="48">
      <formula>ISNUMBER(SEARCH(TEXT(#REF!,"ddd"),#REF!))</formula>
    </cfRule>
  </conditionalFormatting>
  <conditionalFormatting sqref="D34:D37 D77">
    <cfRule type="expression" dxfId="32" priority="47">
      <formula>ISNUMBER(SEARCH(TEXT(#REF!,"ddd"),#REF!))</formula>
    </cfRule>
  </conditionalFormatting>
  <conditionalFormatting sqref="A35 A37 A77">
    <cfRule type="expression" dxfId="31" priority="46">
      <formula>ISNUMBER(SEARCH(TEXT(#REF!,"ddd"),#REF!))</formula>
    </cfRule>
  </conditionalFormatting>
  <conditionalFormatting sqref="D36:D37">
    <cfRule type="expression" dxfId="30" priority="45">
      <formula>ISNUMBER(SEARCH(TEXT(#REF!,"ddd"),#REF!))</formula>
    </cfRule>
  </conditionalFormatting>
  <conditionalFormatting sqref="A37">
    <cfRule type="expression" dxfId="29" priority="44">
      <formula>ISNUMBER(SEARCH(TEXT(#REF!,"ddd"),#REF!))</formula>
    </cfRule>
  </conditionalFormatting>
  <conditionalFormatting sqref="A34">
    <cfRule type="expression" dxfId="28" priority="43">
      <formula>ISNUMBER(SEARCH(TEXT(#REF!,"ddd"),#REF!))</formula>
    </cfRule>
  </conditionalFormatting>
  <conditionalFormatting sqref="B38:C53 B55:C61 B64:C75">
    <cfRule type="expression" dxfId="27" priority="38">
      <formula>ISNUMBER(SEARCH(TEXT(#REF!,"ddd"),#REF!))</formula>
    </cfRule>
  </conditionalFormatting>
  <conditionalFormatting sqref="D38:D40 D42:D53 D55:D61 D65 D67 D69 D71 D73 D75">
    <cfRule type="expression" dxfId="26" priority="37">
      <formula>ISNUMBER(SEARCH(TEXT(#REF!,"ddd"),#REF!))</formula>
    </cfRule>
  </conditionalFormatting>
  <conditionalFormatting sqref="A39:A61 A65 A67 A69 A71 A73 A75">
    <cfRule type="expression" dxfId="25" priority="36">
      <formula>ISNUMBER(SEARCH(TEXT(#REF!,"ddd"),#REF!))</formula>
    </cfRule>
  </conditionalFormatting>
  <conditionalFormatting sqref="A20">
    <cfRule type="expression" dxfId="24" priority="34">
      <formula>ISNUMBER(SEARCH(TEXT(#REF!,"ddd"),#REF!))</formula>
    </cfRule>
  </conditionalFormatting>
  <conditionalFormatting sqref="A22">
    <cfRule type="expression" dxfId="23" priority="33">
      <formula>ISNUMBER(SEARCH(TEXT(#REF!,"ddd"),#REF!))</formula>
    </cfRule>
  </conditionalFormatting>
  <conditionalFormatting sqref="A24">
    <cfRule type="expression" dxfId="22" priority="32">
      <formula>ISNUMBER(SEARCH(TEXT(#REF!,"ddd"),#REF!))</formula>
    </cfRule>
  </conditionalFormatting>
  <conditionalFormatting sqref="A32">
    <cfRule type="expression" dxfId="21" priority="31">
      <formula>ISNUMBER(SEARCH(TEXT(#REF!,"ddd"),#REF!))</formula>
    </cfRule>
  </conditionalFormatting>
  <conditionalFormatting sqref="B54">
    <cfRule type="expression" dxfId="20" priority="30">
      <formula>ISNUMBER(SEARCH(TEXT(#REF!,"ddd"),#REF!))</formula>
    </cfRule>
  </conditionalFormatting>
  <conditionalFormatting sqref="C54">
    <cfRule type="expression" dxfId="19" priority="29">
      <formula>ISNUMBER(SEARCH(TEXT(#REF!,"ddd"),#REF!))</formula>
    </cfRule>
  </conditionalFormatting>
  <conditionalFormatting sqref="D54">
    <cfRule type="expression" dxfId="18" priority="28">
      <formula>ISNUMBER(SEARCH(TEXT(#REF!,"ddd"),#REF!))</formula>
    </cfRule>
  </conditionalFormatting>
  <conditionalFormatting sqref="A16 A14">
    <cfRule type="expression" dxfId="17" priority="25">
      <formula>ISNUMBER(SEARCH(TEXT(#REF!,"ddd"),#REF!))</formula>
    </cfRule>
  </conditionalFormatting>
  <conditionalFormatting sqref="A36">
    <cfRule type="expression" dxfId="16" priority="24">
      <formula>ISNUMBER(SEARCH(TEXT(#REF!,"ddd"),#REF!))</formula>
    </cfRule>
  </conditionalFormatting>
  <conditionalFormatting sqref="A38">
    <cfRule type="expression" dxfId="15" priority="23">
      <formula>ISNUMBER(SEARCH(TEXT(#REF!,"ddd"),#REF!))</formula>
    </cfRule>
  </conditionalFormatting>
  <conditionalFormatting sqref="A28">
    <cfRule type="expression" dxfId="14" priority="21">
      <formula>ISNUMBER(SEARCH(TEXT(#REF!,"ddd"),#REF!))</formula>
    </cfRule>
  </conditionalFormatting>
  <conditionalFormatting sqref="A30">
    <cfRule type="expression" dxfId="13" priority="20">
      <formula>ISNUMBER(SEARCH(TEXT(#REF!,"ddd"),#REF!))</formula>
    </cfRule>
  </conditionalFormatting>
  <conditionalFormatting sqref="B62:C63">
    <cfRule type="expression" dxfId="12" priority="19">
      <formula>ISNUMBER(SEARCH(TEXT(#REF!,"ddd"),#REF!))</formula>
    </cfRule>
  </conditionalFormatting>
  <conditionalFormatting sqref="D63">
    <cfRule type="expression" dxfId="11" priority="18">
      <formula>ISNUMBER(SEARCH(TEXT(#REF!,"ddd"),#REF!))</formula>
    </cfRule>
  </conditionalFormatting>
  <conditionalFormatting sqref="A63">
    <cfRule type="expression" dxfId="10" priority="17">
      <formula>ISNUMBER(SEARCH(TEXT(#REF!,"ddd"),#REF!))</formula>
    </cfRule>
  </conditionalFormatting>
  <conditionalFormatting sqref="A62">
    <cfRule type="expression" dxfId="9" priority="16">
      <formula>ISNUMBER(SEARCH(TEXT(#REF!,"ddd"),#REF!))</formula>
    </cfRule>
  </conditionalFormatting>
  <conditionalFormatting sqref="D62">
    <cfRule type="expression" dxfId="8" priority="15">
      <formula>ISNUMBER(SEARCH(TEXT(#REF!,"ddd"),#REF!))</formula>
    </cfRule>
  </conditionalFormatting>
  <conditionalFormatting sqref="D64">
    <cfRule type="expression" dxfId="7" priority="14">
      <formula>ISNUMBER(SEARCH(TEXT(#REF!,"ddd"),#REF!))</formula>
    </cfRule>
  </conditionalFormatting>
  <conditionalFormatting sqref="D66">
    <cfRule type="expression" dxfId="6" priority="13">
      <formula>ISNUMBER(SEARCH(TEXT(#REF!,"ddd"),#REF!))</formula>
    </cfRule>
  </conditionalFormatting>
  <conditionalFormatting sqref="D68">
    <cfRule type="expression" dxfId="5" priority="12">
      <formula>ISNUMBER(SEARCH(TEXT(#REF!,"ddd"),#REF!))</formula>
    </cfRule>
  </conditionalFormatting>
  <conditionalFormatting sqref="D70">
    <cfRule type="expression" dxfId="4" priority="11">
      <formula>ISNUMBER(SEARCH(TEXT(#REF!,"ddd"),#REF!))</formula>
    </cfRule>
  </conditionalFormatting>
  <conditionalFormatting sqref="D72">
    <cfRule type="expression" dxfId="3" priority="10">
      <formula>ISNUMBER(SEARCH(TEXT(#REF!,"ddd"),#REF!))</formula>
    </cfRule>
  </conditionalFormatting>
  <conditionalFormatting sqref="D74">
    <cfRule type="expression" dxfId="2" priority="9">
      <formula>ISNUMBER(SEARCH(TEXT(#REF!,"ddd"),#REF!))</formula>
    </cfRule>
  </conditionalFormatting>
  <conditionalFormatting sqref="D76">
    <cfRule type="expression" dxfId="1" priority="8">
      <formula>ISNUMBER(SEARCH(TEXT(#REF!,"ddd"),#REF!))</formula>
    </cfRule>
  </conditionalFormatting>
  <conditionalFormatting sqref="A76 A74 A72 A70 A68 A66 A64">
    <cfRule type="expression" dxfId="0" priority="1">
      <formula>ISNUMBER(SEARCH(TEXT(#REF!,"ddd"),#REF!))</formula>
    </cfRule>
  </conditionalFormatting>
  <dataValidations count="2">
    <dataValidation type="custom" allowBlank="1" showInputMessage="1" showErrorMessage="1" sqref="C10:C77" xr:uid="{D7D4F17C-FA7D-4203-A066-7AE46F3F5899}">
      <formula1>AND($C10&lt;=1,ISNUMBER($C10),($C10&gt;=$B10))</formula1>
    </dataValidation>
    <dataValidation type="custom" allowBlank="1" showInputMessage="1" showErrorMessage="1" sqref="B10:B77" xr:uid="{DF1251C5-D434-47AE-82C9-BFB2E025D16F}">
      <formula1>AND($B10&lt;=1,ISNUMBER($B10))</formula1>
    </dataValidation>
  </dataValidations>
  <pageMargins left="0.39370078740157483" right="0" top="0.39370078740157483" bottom="0" header="0" footer="0"/>
  <pageSetup paperSize="9" scale="98" fitToHeight="0" orientation="portrait" horizontalDpi="4294967293" vertic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5C2D0-C410-4B25-8907-1EF964BA41F5}">
  <sheetPr codeName="Sheet5"/>
  <dimension ref="A6"/>
  <sheetViews>
    <sheetView workbookViewId="0">
      <selection activeCell="A6" sqref="A6"/>
    </sheetView>
  </sheetViews>
  <sheetFormatPr baseColWidth="10" defaultColWidth="9" defaultRowHeight="12.75" x14ac:dyDescent="0.2"/>
  <sheetData>
    <row r="6" spans="1:1" x14ac:dyDescent="0.2">
      <c r="A6" s="11">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2"/>
  <sheetViews>
    <sheetView showGridLines="0" workbookViewId="0">
      <selection activeCell="B2" sqref="B2"/>
    </sheetView>
  </sheetViews>
  <sheetFormatPr baseColWidth="10" defaultColWidth="9" defaultRowHeight="12.75" x14ac:dyDescent="0.2"/>
  <cols>
    <col min="1" max="1" width="9" style="2"/>
    <col min="2" max="2" width="9.75" style="2" bestFit="1" customWidth="1"/>
    <col min="3" max="3" width="9" style="2"/>
    <col min="4" max="4" width="11.125" style="2" bestFit="1" customWidth="1"/>
    <col min="5" max="5" width="9.875" customWidth="1"/>
    <col min="6" max="6" width="9.75" customWidth="1"/>
  </cols>
  <sheetData>
    <row r="1" spans="1:5" x14ac:dyDescent="0.2">
      <c r="A1" s="4" t="s">
        <v>17</v>
      </c>
      <c r="B1" s="4" t="s">
        <v>18</v>
      </c>
      <c r="C1" s="4" t="s">
        <v>19</v>
      </c>
      <c r="D1" s="4" t="s">
        <v>20</v>
      </c>
      <c r="E1" s="4" t="s">
        <v>21</v>
      </c>
    </row>
    <row r="2" spans="1:5" x14ac:dyDescent="0.2">
      <c r="A2" s="2">
        <v>2015</v>
      </c>
      <c r="B2" s="2" t="s">
        <v>22</v>
      </c>
      <c r="C2" s="2">
        <v>1</v>
      </c>
      <c r="D2" s="3" t="s">
        <v>23</v>
      </c>
      <c r="E2" s="2" t="b">
        <v>1</v>
      </c>
    </row>
    <row r="3" spans="1:5" x14ac:dyDescent="0.2">
      <c r="A3" s="2">
        <v>2016</v>
      </c>
      <c r="B3" s="2" t="s">
        <v>24</v>
      </c>
      <c r="C3" s="2">
        <v>2</v>
      </c>
      <c r="D3" s="3" t="s">
        <v>25</v>
      </c>
    </row>
    <row r="4" spans="1:5" x14ac:dyDescent="0.2">
      <c r="A4" s="2">
        <v>2017</v>
      </c>
      <c r="B4" s="2" t="s">
        <v>26</v>
      </c>
      <c r="C4" s="2">
        <v>3</v>
      </c>
      <c r="D4" s="3" t="s">
        <v>27</v>
      </c>
    </row>
    <row r="5" spans="1:5" x14ac:dyDescent="0.2">
      <c r="A5" s="2">
        <v>2018</v>
      </c>
      <c r="B5" s="2" t="s">
        <v>28</v>
      </c>
      <c r="C5" s="2">
        <v>4</v>
      </c>
      <c r="D5" s="3" t="s">
        <v>29</v>
      </c>
    </row>
    <row r="6" spans="1:5" x14ac:dyDescent="0.2">
      <c r="A6" s="2">
        <v>2019</v>
      </c>
      <c r="B6" s="2" t="s">
        <v>30</v>
      </c>
      <c r="C6" s="2">
        <v>5</v>
      </c>
      <c r="D6" s="3" t="s">
        <v>31</v>
      </c>
    </row>
    <row r="7" spans="1:5" x14ac:dyDescent="0.2">
      <c r="A7" s="2">
        <v>2020</v>
      </c>
      <c r="B7" s="2" t="s">
        <v>32</v>
      </c>
      <c r="C7" s="2">
        <v>6</v>
      </c>
      <c r="D7" s="3" t="s">
        <v>33</v>
      </c>
    </row>
    <row r="8" spans="1:5" x14ac:dyDescent="0.2">
      <c r="A8" s="2">
        <v>2021</v>
      </c>
      <c r="B8" s="2" t="s">
        <v>34</v>
      </c>
      <c r="C8" s="2">
        <v>7</v>
      </c>
      <c r="D8" s="3" t="s">
        <v>35</v>
      </c>
    </row>
    <row r="9" spans="1:5" x14ac:dyDescent="0.2">
      <c r="A9" s="2">
        <v>2022</v>
      </c>
      <c r="B9" s="2" t="s">
        <v>36</v>
      </c>
      <c r="C9" s="2">
        <v>8</v>
      </c>
      <c r="D9" s="3" t="s">
        <v>37</v>
      </c>
    </row>
    <row r="10" spans="1:5" x14ac:dyDescent="0.2">
      <c r="A10" s="2">
        <v>2023</v>
      </c>
      <c r="B10" s="2" t="s">
        <v>38</v>
      </c>
      <c r="C10" s="2">
        <v>9</v>
      </c>
      <c r="D10" s="3" t="s">
        <v>39</v>
      </c>
    </row>
    <row r="11" spans="1:5" x14ac:dyDescent="0.2">
      <c r="A11" s="2">
        <v>2024</v>
      </c>
      <c r="B11" s="2" t="s">
        <v>40</v>
      </c>
      <c r="C11" s="2">
        <v>10</v>
      </c>
      <c r="D11" s="3" t="s">
        <v>41</v>
      </c>
    </row>
    <row r="12" spans="1:5" x14ac:dyDescent="0.2">
      <c r="A12" s="2">
        <v>2025</v>
      </c>
      <c r="B12" s="2" t="s">
        <v>42</v>
      </c>
      <c r="C12" s="2">
        <v>11</v>
      </c>
      <c r="D12" s="3" t="s">
        <v>43</v>
      </c>
    </row>
    <row r="13" spans="1:5" x14ac:dyDescent="0.2">
      <c r="B13" s="2" t="s">
        <v>44</v>
      </c>
      <c r="C13" s="2">
        <v>12</v>
      </c>
      <c r="D13" s="3" t="s">
        <v>45</v>
      </c>
    </row>
    <row r="14" spans="1:5" x14ac:dyDescent="0.2">
      <c r="C14" s="2">
        <v>13</v>
      </c>
      <c r="D14" s="3" t="s">
        <v>46</v>
      </c>
    </row>
    <row r="15" spans="1:5" x14ac:dyDescent="0.2">
      <c r="C15" s="2">
        <v>14</v>
      </c>
      <c r="D15" s="3" t="s">
        <v>47</v>
      </c>
    </row>
    <row r="16" spans="1:5" x14ac:dyDescent="0.2">
      <c r="C16" s="2">
        <v>15</v>
      </c>
      <c r="D16" s="3" t="s">
        <v>48</v>
      </c>
    </row>
    <row r="17" spans="3:4" x14ac:dyDescent="0.2">
      <c r="C17" s="2">
        <v>16</v>
      </c>
      <c r="D17" s="3"/>
    </row>
    <row r="18" spans="3:4" x14ac:dyDescent="0.2">
      <c r="C18" s="2">
        <v>17</v>
      </c>
      <c r="D18" s="3"/>
    </row>
    <row r="19" spans="3:4" x14ac:dyDescent="0.2">
      <c r="C19" s="2">
        <v>18</v>
      </c>
      <c r="D19" s="3"/>
    </row>
    <row r="20" spans="3:4" x14ac:dyDescent="0.2">
      <c r="C20" s="2">
        <v>19</v>
      </c>
    </row>
    <row r="21" spans="3:4" x14ac:dyDescent="0.2">
      <c r="C21" s="2">
        <v>20</v>
      </c>
    </row>
    <row r="22" spans="3:4" x14ac:dyDescent="0.2">
      <c r="C22" s="2">
        <v>21</v>
      </c>
    </row>
    <row r="23" spans="3:4" x14ac:dyDescent="0.2">
      <c r="C23" s="2">
        <v>22</v>
      </c>
    </row>
    <row r="24" spans="3:4" x14ac:dyDescent="0.2">
      <c r="C24" s="2">
        <v>23</v>
      </c>
    </row>
    <row r="25" spans="3:4" x14ac:dyDescent="0.2">
      <c r="C25" s="2">
        <v>24</v>
      </c>
    </row>
    <row r="26" spans="3:4" x14ac:dyDescent="0.2">
      <c r="C26" s="2">
        <v>25</v>
      </c>
    </row>
    <row r="27" spans="3:4" x14ac:dyDescent="0.2">
      <c r="C27" s="2">
        <v>26</v>
      </c>
    </row>
    <row r="28" spans="3:4" x14ac:dyDescent="0.2">
      <c r="C28" s="2">
        <v>27</v>
      </c>
    </row>
    <row r="29" spans="3:4" x14ac:dyDescent="0.2">
      <c r="C29" s="2">
        <v>28</v>
      </c>
    </row>
    <row r="30" spans="3:4" x14ac:dyDescent="0.2">
      <c r="C30" s="2">
        <v>29</v>
      </c>
    </row>
    <row r="31" spans="3:4" x14ac:dyDescent="0.2">
      <c r="C31" s="2">
        <v>30</v>
      </c>
    </row>
    <row r="32" spans="3:4" x14ac:dyDescent="0.2">
      <c r="C32" s="2">
        <v>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411A56368AE14A9B517B81E8925F8F" ma:contentTypeVersion="7" ma:contentTypeDescription="Create a new document." ma:contentTypeScope="" ma:versionID="37e8f0f7a695c2958f5febe0a3323879">
  <xsd:schema xmlns:xsd="http://www.w3.org/2001/XMLSchema" xmlns:xs="http://www.w3.org/2001/XMLSchema" xmlns:p="http://schemas.microsoft.com/office/2006/metadata/properties" xmlns:ns3="15562013-b821-4daa-a63d-48c72bf3491a" targetNamespace="http://schemas.microsoft.com/office/2006/metadata/properties" ma:root="true" ma:fieldsID="ffc2933dacee5c9042b7e0d389f5f343" ns3:_="">
    <xsd:import namespace="15562013-b821-4daa-a63d-48c72bf3491a"/>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5562013-b821-4daa-a63d-48c72bf349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F1B122-C9C1-42CE-B4C0-A9D2DA2F92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5562013-b821-4daa-a63d-48c72bf349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C27291-1D84-46B2-9690-53D0B4CCDEC0}">
  <ds:schemaRefs>
    <ds:schemaRef ds:uri="http://schemas.microsoft.com/sharepoint/v3/contenttype/forms"/>
  </ds:schemaRefs>
</ds:datastoreItem>
</file>

<file path=customXml/itemProps3.xml><?xml version="1.0" encoding="utf-8"?>
<ds:datastoreItem xmlns:ds="http://schemas.openxmlformats.org/officeDocument/2006/customXml" ds:itemID="{9833E268-5189-42F8-B406-65FD30993191}">
  <ds:schemaRefs>
    <ds:schemaRef ds:uri="15562013-b821-4daa-a63d-48c72bf3491a"/>
    <ds:schemaRef ds:uri="http://schemas.microsoft.com/office/infopath/2007/PartnerControls"/>
    <ds:schemaRef ds:uri="http://schemas.microsoft.com/office/2006/metadata/properties"/>
    <ds:schemaRef ds:uri="http://schemas.microsoft.com/office/2006/documentManagement/types"/>
    <ds:schemaRef ds:uri="http://purl.org/dc/terms/"/>
    <ds:schemaRef ds:uri="http://purl.org/dc/dcmitype/"/>
    <ds:schemaRef ds:uri="http://purl.org/dc/elements/1.1/"/>
    <ds:schemaRef ds:uri="http://www.w3.org/XML/1998/namespace"/>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22</vt:i4>
      </vt:variant>
    </vt:vector>
  </HeadingPairs>
  <TitlesOfParts>
    <vt:vector size="22" baseType="lpstr">
      <vt:lpstr>Først</vt:lpstr>
      <vt:lpstr>UkeX</vt:lpstr>
      <vt:lpstr>Uke2</vt:lpstr>
      <vt:lpstr>Uke3</vt:lpstr>
      <vt:lpstr>Uke4</vt:lpstr>
      <vt:lpstr>Uke5</vt:lpstr>
      <vt:lpstr>Uke6</vt:lpstr>
      <vt:lpstr>Uke7</vt:lpstr>
      <vt:lpstr>Uke8</vt:lpstr>
      <vt:lpstr>Uke9</vt:lpstr>
      <vt:lpstr>Uke10</vt:lpstr>
      <vt:lpstr>Uke11</vt:lpstr>
      <vt:lpstr>Uke12</vt:lpstr>
      <vt:lpstr>Uke13</vt:lpstr>
      <vt:lpstr>Uke14</vt:lpstr>
      <vt:lpstr>Uke15</vt:lpstr>
      <vt:lpstr>Uke16</vt:lpstr>
      <vt:lpstr>Uke17</vt:lpstr>
      <vt:lpstr>Uke18</vt:lpstr>
      <vt:lpstr>Uke19</vt:lpstr>
      <vt:lpstr>Sist</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sumit bansal</dc:creator>
  <cp:keywords/>
  <dc:description/>
  <cp:lastModifiedBy>Anders Rubach Ese</cp:lastModifiedBy>
  <cp:revision/>
  <cp:lastPrinted>2020-05-03T21:28:01Z</cp:lastPrinted>
  <dcterms:created xsi:type="dcterms:W3CDTF">2015-07-13T20:50:55Z</dcterms:created>
  <dcterms:modified xsi:type="dcterms:W3CDTF">2020-05-18T18:15:02Z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0x010100A2411A56368AE14A9B517B81E8925F8F</vt:lpwstr>
  </property>
</Properties>
</file>
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https://universitetetitromso-my.sharepoint.com/personal/aes014_uit_no/Documents/UiT Narvik/Systemutvikling ITE1807/Prosjekt felles mappe/Timelister/"/>
    </mc:Choice>
  </mc:AlternateContent>
  <xr:revisionPtr revIDLastSave="2938" documentId="8_{F630CA83-1BE0-41FB-B912-4151208B8B49}" xr6:coauthVersionLast="44" xr6:coauthVersionMax="45" xr10:uidLastSave="{9E60335D-1B3D-4035-8A08-BF0F12CAF550}"/>
  <bookViews>
    <workbookView xWindow="2190" yWindow="2625" windowWidth="28800" windowHeight="15555" firstSheet="1" activeTab="19" xr2:uid="{00000000-000D-0000-FFFF-FFFF00000000}"/>
  </bookViews>
  <sheets>
    <sheet name="Først" sheetId="11" state="hidden" r:id="rId1"/>
    <sheet name="Uke3" sheetId="40" r:id="rId2"/>
    <sheet name="Uke4" sheetId="39" r:id="rId3"/>
    <sheet name="Uke5" sheetId="38" r:id="rId4"/>
    <sheet name="Uke6" sheetId="36" r:id="rId5"/>
    <sheet name="Uke7" sheetId="41" r:id="rId6"/>
    <sheet name="Uke8" sheetId="42" r:id="rId7"/>
    <sheet name="Uke9" sheetId="45" r:id="rId8"/>
    <sheet name="Uke10" sheetId="43" r:id="rId9"/>
    <sheet name="Uke11" sheetId="46" r:id="rId10"/>
    <sheet name="Uke12" sheetId="47" r:id="rId11"/>
    <sheet name="Uke13" sheetId="48" r:id="rId12"/>
    <sheet name="Uke14" sheetId="49" r:id="rId13"/>
    <sheet name="Uke15" sheetId="50" r:id="rId14"/>
    <sheet name="Uke16" sheetId="51" r:id="rId15"/>
    <sheet name="Uke17" sheetId="52" r:id="rId16"/>
    <sheet name="Uke18" sheetId="53" r:id="rId17"/>
    <sheet name="Uke19" sheetId="54" r:id="rId18"/>
    <sheet name="Uke20" sheetId="55" r:id="rId19"/>
    <sheet name="Uke21" sheetId="56" r:id="rId20"/>
    <sheet name="Sist" sheetId="12" state="hidden" r:id="rId21"/>
    <sheet name="Data" sheetId="2" state="hidden" r:id="rId22"/>
  </sheets>
  <functionGroups builtInGroupCount="19"/>
  <externalReferences>
    <externalReference r:id="rId23"/>
    <externalReference r:id="rId24"/>
  </externalReferences>
  <definedNames>
    <definedName name="DateCalc" localSheetId="8">Data!$C$2:INDEX(Data!$C$2:$C$32,DAY(DATE('Uke10'!#REF!,MATCH('Uke10'!#REF!,Data!$B$2:$B$13,0)+1,0)))</definedName>
    <definedName name="DateCalc" localSheetId="9">Data!$C$2:INDEX(Data!$C$2:$C$32,DAY(DATE('Uke11'!#REF!,MATCH('Uke11'!#REF!,Data!$B$2:$B$13,0)+1,0)))</definedName>
    <definedName name="DateCalc" localSheetId="10">Data!$C$2:INDEX(Data!$C$2:$C$32,DAY(DATE('Uke12'!#REF!,MATCH('Uke12'!#REF!,Data!$B$2:$B$13,0)+1,0)))</definedName>
    <definedName name="DateCalc" localSheetId="11">Data!$C$2:INDEX(Data!$C$2:$C$32,DAY(DATE('Uke13'!#REF!,MATCH('Uke13'!#REF!,Data!$B$2:$B$13,0)+1,0)))</definedName>
    <definedName name="DateCalc" localSheetId="12">Data!$C$2:INDEX(Data!$C$2:$C$32,DAY(DATE('Uke14'!#REF!,MATCH('Uke14'!#REF!,Data!$B$2:$B$13,0)+1,0)))</definedName>
    <definedName name="DateCalc" localSheetId="13">Data!$C$2:INDEX(Data!$C$2:$C$32,DAY(DATE('Uke15'!#REF!,MATCH('Uke15'!#REF!,Data!$B$2:$B$13,0)+1,0)))</definedName>
    <definedName name="DateCalc" localSheetId="14">Data!$C$2:INDEX(Data!$C$2:$C$32,DAY(DATE('Uke16'!#REF!,MATCH('Uke16'!#REF!,Data!$B$2:$B$13,0)+1,0)))</definedName>
    <definedName name="DateCalc" localSheetId="15">Data!$C$2:INDEX(Data!$C$2:$C$32,DAY(DATE('Uke17'!#REF!,MATCH('Uke17'!#REF!,Data!$B$2:$B$13,0)+1,0)))</definedName>
    <definedName name="DateCalc" localSheetId="16">Data!$C$2:INDEX(Data!$C$2:$C$32,DAY(DATE('Uke18'!#REF!,MATCH('Uke18'!#REF!,Data!$B$2:$B$13,0)+1,0)))</definedName>
    <definedName name="DateCalc" localSheetId="17">Data!$C$2:INDEX(Data!$C$2:$C$32,DAY(DATE('Uke19'!#REF!,MATCH('Uke19'!#REF!,Data!$B$2:$B$13,0)+1,0)))</definedName>
    <definedName name="DateCalc" localSheetId="18">Data!$C$2:INDEX(Data!$C$2:$C$32,DAY(DATE('Uke20'!#REF!,MATCH('Uke20'!#REF!,Data!$B$2:$B$13,0)+1,0)))</definedName>
    <definedName name="DateCalc" localSheetId="19">Data!$C$2:INDEX(Data!$C$2:$C$32,DAY(DATE('Uke21'!#REF!,MATCH('Uke21'!#REF!,Data!$B$2:$B$13,0)+1,0)))</definedName>
    <definedName name="DateCalc" localSheetId="1">Data!$C$2:INDEX(Data!$C$2:$C$32,DAY(DATE('Uke3'!#REF!,MATCH('Uke3'!#REF!,Data!$B$2:$B$13,0)+1,0)))</definedName>
    <definedName name="DateCalc" localSheetId="2">Data!$C$2:INDEX(Data!$C$2:$C$32,DAY(DATE('Uke4'!#REF!,MATCH('Uke4'!#REF!,Data!$B$2:$B$13,0)+1,0)))</definedName>
    <definedName name="DateCalc" localSheetId="3">Data!$C$2:INDEX(Data!$C$2:$C$32,DAY(DATE('Uke5'!#REF!,MATCH('Uke5'!#REF!,Data!$B$2:$B$13,0)+1,0)))</definedName>
    <definedName name="DateCalc" localSheetId="4">Data!$C$2:INDEX(Data!$C$2:$C$32,DAY(DATE('Uke6'!#REF!,MATCH('Uke6'!#REF!,Data!$B$2:$B$13,0)+1,0)))</definedName>
    <definedName name="DateCalc" localSheetId="5">Data!$C$2:INDEX(Data!$C$2:$C$32,DAY(DATE('Uke7'!#REF!,MATCH('Uke7'!#REF!,Data!$B$2:$B$13,0)+1,0)))</definedName>
    <definedName name="DateCalc" localSheetId="6">Data!$C$2:INDEX(Data!$C$2:$C$32,DAY(DATE('Uke8'!#REF!,MATCH('Uke8'!#REF!,Data!$B$2:$B$13,0)+1,0)))</definedName>
    <definedName name="DateCalc" localSheetId="7">Data!$C$2:INDEX(Data!$C$2:$C$32,DAY(DATE('Uke9'!#REF!,MATCH('Uke9'!#REF!,Data!$B$2:$B$13,0)+1,0)))</definedName>
    <definedName name="DateCalc">Data!$C$2:INDEX(Data!$C$2:$C$32,DAY(DATE(#REF!,MATCH(#REF!,Data!$B$2:$B$13,0)+1,0)))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0" i="56" l="1"/>
  <c r="D28" i="56"/>
  <c r="D26" i="56"/>
  <c r="D24" i="56"/>
  <c r="D22" i="56"/>
  <c r="D20" i="56"/>
  <c r="D18" i="56"/>
  <c r="D16" i="56"/>
  <c r="D14" i="56"/>
  <c r="D12" i="56"/>
  <c r="D10" i="56"/>
  <c r="C3" i="56"/>
  <c r="A3" i="56"/>
  <c r="E1" i="56"/>
  <c r="F6" i="56"/>
  <c r="F5" i="56"/>
  <c r="F4" i="56"/>
  <c r="F3" i="56"/>
  <c r="A6" i="56" l="1"/>
  <c r="C6" i="56" s="1"/>
  <c r="C3" i="55"/>
  <c r="D30" i="55" l="1"/>
  <c r="D28" i="55"/>
  <c r="D26" i="55"/>
  <c r="D24" i="55"/>
  <c r="D22" i="55"/>
  <c r="D20" i="55"/>
  <c r="D18" i="55"/>
  <c r="D16" i="55"/>
  <c r="D14" i="55"/>
  <c r="D12" i="55"/>
  <c r="D10" i="55"/>
  <c r="A3" i="55"/>
  <c r="E1" i="55"/>
  <c r="F6" i="55"/>
  <c r="F3" i="55"/>
  <c r="F4" i="55"/>
  <c r="F5" i="55"/>
  <c r="A6" i="55" l="1"/>
  <c r="C6" i="55" s="1"/>
  <c r="C3" i="53"/>
  <c r="C3" i="54"/>
  <c r="C6" i="40"/>
  <c r="C6" i="39"/>
  <c r="C6" i="38"/>
  <c r="C6" i="36"/>
  <c r="C6" i="41"/>
  <c r="C3" i="41"/>
  <c r="C6" i="42"/>
  <c r="C6" i="45"/>
  <c r="C6" i="43"/>
  <c r="C6" i="46"/>
  <c r="C6" i="47"/>
  <c r="C6" i="48"/>
  <c r="C6" i="49"/>
  <c r="C6" i="50"/>
  <c r="C6" i="51"/>
  <c r="C6" i="52"/>
  <c r="C6" i="53"/>
  <c r="D67" i="54"/>
  <c r="D69" i="54"/>
  <c r="D71" i="54"/>
  <c r="D73" i="54"/>
  <c r="D55" i="54"/>
  <c r="D57" i="54"/>
  <c r="D59" i="54"/>
  <c r="D61" i="54"/>
  <c r="D63" i="54"/>
  <c r="D65" i="54"/>
  <c r="D53" i="54"/>
  <c r="D51" i="54"/>
  <c r="D49" i="54"/>
  <c r="D45" i="54"/>
  <c r="D47" i="54"/>
  <c r="D43" i="54"/>
  <c r="F6" i="54"/>
  <c r="F3" i="54"/>
  <c r="D40" i="54" l="1"/>
  <c r="D38" i="54"/>
  <c r="D36" i="54"/>
  <c r="D34" i="54"/>
  <c r="D32" i="54"/>
  <c r="D30" i="54"/>
  <c r="D28" i="54"/>
  <c r="D26" i="54"/>
  <c r="D24" i="54"/>
  <c r="D22" i="54"/>
  <c r="D20" i="54"/>
  <c r="D18" i="54"/>
  <c r="D16" i="54"/>
  <c r="D14" i="54"/>
  <c r="D12" i="54"/>
  <c r="D10" i="54"/>
  <c r="A3" i="54"/>
  <c r="E1" i="54"/>
  <c r="F5" i="54"/>
  <c r="F4" i="54"/>
  <c r="A6" i="54" l="1"/>
  <c r="C6" i="54" s="1"/>
  <c r="D10" i="53"/>
  <c r="D12" i="53"/>
  <c r="D14" i="53"/>
  <c r="D16" i="53"/>
  <c r="D18" i="53"/>
  <c r="D20" i="53"/>
  <c r="D22" i="53"/>
  <c r="D24" i="53"/>
  <c r="D26" i="53"/>
  <c r="D28" i="53"/>
  <c r="D30" i="53"/>
  <c r="D32" i="53"/>
  <c r="D34" i="53"/>
  <c r="A3" i="53"/>
  <c r="E1" i="53"/>
  <c r="F3" i="53"/>
  <c r="F6" i="53"/>
  <c r="F5" i="53"/>
  <c r="F4" i="53"/>
  <c r="A6" i="53" l="1"/>
  <c r="F5" i="52"/>
  <c r="F6" i="52"/>
  <c r="F3" i="52"/>
  <c r="F4" i="52"/>
  <c r="D28" i="52" l="1"/>
  <c r="D30" i="52"/>
  <c r="D32" i="52"/>
  <c r="D34" i="52"/>
  <c r="D36" i="52"/>
  <c r="D38" i="52"/>
  <c r="D40" i="52"/>
  <c r="D26" i="52" l="1"/>
  <c r="D24" i="52"/>
  <c r="D22" i="52"/>
  <c r="D20" i="52"/>
  <c r="D18" i="52"/>
  <c r="D16" i="52"/>
  <c r="D14" i="52"/>
  <c r="D12" i="52"/>
  <c r="D10" i="52"/>
  <c r="A6" i="52" s="1"/>
  <c r="C3" i="52"/>
  <c r="A3" i="52"/>
  <c r="E1" i="52"/>
  <c r="C3" i="51"/>
  <c r="E1" i="50" l="1"/>
  <c r="C3" i="50"/>
  <c r="E1" i="51"/>
  <c r="D26" i="51"/>
  <c r="D24" i="51"/>
  <c r="D22" i="51"/>
  <c r="D20" i="51"/>
  <c r="D18" i="51"/>
  <c r="D16" i="51"/>
  <c r="D14" i="51"/>
  <c r="D12" i="51"/>
  <c r="D10" i="51"/>
  <c r="A3" i="51"/>
  <c r="F6" i="51"/>
  <c r="F5" i="51"/>
  <c r="F3" i="51"/>
  <c r="F4" i="51"/>
  <c r="A6" i="51" l="1"/>
  <c r="D14" i="50"/>
  <c r="D12" i="50" l="1"/>
  <c r="D10" i="50"/>
  <c r="A3" i="50"/>
  <c r="F4" i="50"/>
  <c r="F6" i="50"/>
  <c r="F5" i="50"/>
  <c r="F3" i="50"/>
  <c r="A6" i="50" l="1"/>
  <c r="C3" i="49"/>
  <c r="A3" i="48" l="1"/>
  <c r="A3" i="49"/>
  <c r="D10" i="49" l="1"/>
  <c r="D12" i="49"/>
  <c r="D14" i="49"/>
  <c r="D16" i="49"/>
  <c r="D18" i="49"/>
  <c r="D20" i="49"/>
  <c r="D22" i="49"/>
  <c r="D24" i="49"/>
  <c r="D26" i="49"/>
  <c r="D28" i="49"/>
  <c r="D30" i="49"/>
  <c r="D32" i="49"/>
  <c r="D34" i="49"/>
  <c r="D36" i="49"/>
  <c r="D38" i="49"/>
  <c r="D40" i="49"/>
  <c r="D42" i="49"/>
  <c r="D44" i="49"/>
  <c r="E1" i="49"/>
  <c r="C3" i="48"/>
  <c r="F3" i="49"/>
  <c r="F4" i="49"/>
  <c r="F6" i="49"/>
  <c r="F5" i="49"/>
  <c r="A6" i="49" l="1"/>
  <c r="D48" i="48"/>
  <c r="D46" i="48"/>
  <c r="D44" i="48"/>
  <c r="D42" i="48"/>
  <c r="D40" i="48"/>
  <c r="D38" i="48"/>
  <c r="D36" i="48"/>
  <c r="D34" i="48"/>
  <c r="D32" i="48"/>
  <c r="D30" i="48"/>
  <c r="D28" i="48"/>
  <c r="D26" i="48"/>
  <c r="D24" i="48"/>
  <c r="D22" i="48"/>
  <c r="D20" i="48"/>
  <c r="D18" i="48"/>
  <c r="D16" i="48"/>
  <c r="D14" i="48"/>
  <c r="D12" i="48"/>
  <c r="D10" i="48"/>
  <c r="E1" i="48"/>
  <c r="F5" i="48"/>
  <c r="F6" i="48"/>
  <c r="F3" i="48"/>
  <c r="F4" i="48"/>
  <c r="A6" i="48" l="1"/>
  <c r="A3" i="47"/>
  <c r="C3" i="47"/>
  <c r="D38" i="47" l="1"/>
  <c r="D36" i="47"/>
  <c r="D34" i="47"/>
  <c r="D32" i="47"/>
  <c r="D30" i="47"/>
  <c r="D28" i="47"/>
  <c r="D26" i="47"/>
  <c r="D24" i="47"/>
  <c r="D22" i="47"/>
  <c r="D20" i="47"/>
  <c r="D18" i="47"/>
  <c r="D16" i="47"/>
  <c r="D14" i="47"/>
  <c r="D12" i="47"/>
  <c r="D10" i="47"/>
  <c r="E1" i="47"/>
  <c r="F5" i="47"/>
  <c r="F3" i="47"/>
  <c r="F6" i="47"/>
  <c r="F4" i="47"/>
  <c r="A6" i="47" l="1"/>
  <c r="D64" i="46"/>
  <c r="D62" i="46"/>
  <c r="F6" i="46"/>
  <c r="F3" i="46"/>
  <c r="F5" i="46"/>
  <c r="F4" i="46"/>
  <c r="C3" i="46" l="1"/>
  <c r="D34" i="46" l="1"/>
  <c r="D60" i="46" l="1"/>
  <c r="D58" i="46"/>
  <c r="D56" i="46"/>
  <c r="D54" i="46"/>
  <c r="D52" i="46"/>
  <c r="D50" i="46"/>
  <c r="D48" i="46"/>
  <c r="D46" i="46"/>
  <c r="D44" i="46"/>
  <c r="D42" i="46"/>
  <c r="D40" i="46"/>
  <c r="D38" i="46"/>
  <c r="D36" i="46"/>
  <c r="D32" i="46"/>
  <c r="D30" i="46"/>
  <c r="D28" i="46"/>
  <c r="D26" i="46"/>
  <c r="D24" i="46"/>
  <c r="D22" i="46"/>
  <c r="L20" i="46" s="1"/>
  <c r="D20" i="46"/>
  <c r="D18" i="46"/>
  <c r="D16" i="46"/>
  <c r="D14" i="46"/>
  <c r="D12" i="46"/>
  <c r="D10" i="46"/>
  <c r="A6" i="46" s="1"/>
  <c r="A3" i="46"/>
  <c r="E1" i="46"/>
  <c r="D28" i="43" l="1"/>
  <c r="F6" i="43"/>
  <c r="C3" i="43" l="1"/>
  <c r="D60" i="45" l="1"/>
  <c r="C3" i="45"/>
  <c r="F4" i="45"/>
  <c r="F3" i="45"/>
  <c r="D58" i="45" l="1"/>
  <c r="F5" i="45"/>
  <c r="D56" i="45" l="1"/>
  <c r="D54" i="45"/>
  <c r="D50" i="45"/>
  <c r="D12" i="45" l="1"/>
  <c r="D10" i="45"/>
  <c r="D52" i="45" l="1"/>
  <c r="D48" i="45"/>
  <c r="D46" i="45"/>
  <c r="D44" i="45"/>
  <c r="D42" i="45"/>
  <c r="D40" i="45"/>
  <c r="D38" i="45"/>
  <c r="D36" i="45"/>
  <c r="D34" i="45"/>
  <c r="D32" i="45"/>
  <c r="D30" i="45"/>
  <c r="D28" i="45"/>
  <c r="D26" i="45"/>
  <c r="D24" i="45"/>
  <c r="D22" i="45"/>
  <c r="D20" i="45"/>
  <c r="M15" i="45"/>
  <c r="D18" i="45"/>
  <c r="D16" i="45"/>
  <c r="D14" i="45"/>
  <c r="A3" i="45"/>
  <c r="E1" i="45"/>
  <c r="F6" i="45"/>
  <c r="A6" i="45" l="1"/>
  <c r="D46" i="42"/>
  <c r="M15" i="42"/>
  <c r="F6" i="42"/>
  <c r="C3" i="42" l="1"/>
  <c r="D44" i="42" l="1"/>
  <c r="D14" i="42"/>
  <c r="D26" i="43" l="1"/>
  <c r="D24" i="43"/>
  <c r="D22" i="43"/>
  <c r="D20" i="43"/>
  <c r="D18" i="43"/>
  <c r="D16" i="43"/>
  <c r="D14" i="43"/>
  <c r="D12" i="43"/>
  <c r="D10" i="43"/>
  <c r="A6" i="43" s="1"/>
  <c r="A3" i="43"/>
  <c r="E1" i="43"/>
  <c r="D10" i="42"/>
  <c r="D12" i="42"/>
  <c r="D16" i="42"/>
  <c r="D18" i="42"/>
  <c r="D20" i="42"/>
  <c r="D22" i="42"/>
  <c r="D24" i="42"/>
  <c r="D26" i="42"/>
  <c r="D28" i="42"/>
  <c r="D30" i="42"/>
  <c r="D32" i="42"/>
  <c r="D34" i="42"/>
  <c r="D36" i="42"/>
  <c r="D38" i="42"/>
  <c r="D40" i="42"/>
  <c r="D42" i="42"/>
  <c r="A3" i="42"/>
  <c r="E1" i="42"/>
  <c r="D40" i="41"/>
  <c r="E1" i="41"/>
  <c r="D38" i="41"/>
  <c r="D36" i="41"/>
  <c r="D34" i="41"/>
  <c r="D32" i="41"/>
  <c r="D30" i="41"/>
  <c r="D28" i="41"/>
  <c r="F4" i="41"/>
  <c r="F6" i="41"/>
  <c r="F3" i="42"/>
  <c r="F3" i="41"/>
  <c r="F5" i="43"/>
  <c r="F4" i="43"/>
  <c r="F5" i="41"/>
  <c r="F3" i="43"/>
  <c r="F4" i="42"/>
  <c r="F5" i="42"/>
  <c r="A6" i="42" l="1"/>
  <c r="D26" i="41"/>
  <c r="D24" i="41" l="1"/>
  <c r="D22" i="41"/>
  <c r="D20" i="41"/>
  <c r="D12" i="41" l="1"/>
  <c r="D18" i="41"/>
  <c r="D16" i="41"/>
  <c r="D14" i="41"/>
  <c r="D10" i="41"/>
  <c r="A3" i="41"/>
  <c r="A6" i="41" l="1"/>
  <c r="C3" i="36"/>
  <c r="B14" i="40"/>
  <c r="A3" i="40" s="1"/>
  <c r="G20" i="40"/>
  <c r="G19" i="40"/>
  <c r="G18" i="40"/>
  <c r="G17" i="40"/>
  <c r="G16" i="40"/>
  <c r="G15" i="40"/>
  <c r="G14" i="40"/>
  <c r="A14" i="40"/>
  <c r="A15" i="40" s="1"/>
  <c r="A16" i="40" s="1"/>
  <c r="A17" i="40" s="1"/>
  <c r="A18" i="40" s="1"/>
  <c r="A19" i="40" s="1"/>
  <c r="A20" i="40" s="1"/>
  <c r="E20" i="39"/>
  <c r="E19" i="39"/>
  <c r="E18" i="39"/>
  <c r="E17" i="39"/>
  <c r="E16" i="39"/>
  <c r="E15" i="39"/>
  <c r="E14" i="39"/>
  <c r="B14" i="39"/>
  <c r="A3" i="39" s="1"/>
  <c r="A14" i="39"/>
  <c r="A15" i="39" s="1"/>
  <c r="A16" i="39" s="1"/>
  <c r="A17" i="39" s="1"/>
  <c r="A18" i="39" s="1"/>
  <c r="A19" i="39" s="1"/>
  <c r="A20" i="39" s="1"/>
  <c r="C3" i="38"/>
  <c r="D19" i="38"/>
  <c r="D17" i="38"/>
  <c r="D15" i="38"/>
  <c r="D13" i="38"/>
  <c r="D11" i="38"/>
  <c r="D10" i="38"/>
  <c r="A3" i="38"/>
  <c r="E1" i="38"/>
  <c r="F3" i="36"/>
  <c r="F3" i="39"/>
  <c r="F5" i="40"/>
  <c r="F4" i="40"/>
  <c r="F6" i="40"/>
  <c r="F6" i="39"/>
  <c r="F4" i="39"/>
  <c r="F3" i="38"/>
  <c r="F5" i="36"/>
  <c r="F5" i="38"/>
  <c r="F5" i="39"/>
  <c r="F3" i="40"/>
  <c r="F6" i="36"/>
  <c r="F6" i="38"/>
  <c r="F4" i="36"/>
  <c r="F4" i="38"/>
  <c r="G3" i="56" l="1"/>
  <c r="G6" i="56"/>
  <c r="G4" i="56"/>
  <c r="G5" i="56"/>
  <c r="G4" i="55"/>
  <c r="G5" i="55"/>
  <c r="G3" i="55"/>
  <c r="G3" i="54"/>
  <c r="G6" i="55"/>
  <c r="G4" i="54"/>
  <c r="G5" i="54"/>
  <c r="G6" i="54"/>
  <c r="G3" i="53"/>
  <c r="G4" i="53"/>
  <c r="G5" i="53"/>
  <c r="G6" i="53"/>
  <c r="G4" i="52"/>
  <c r="G5" i="52"/>
  <c r="G3" i="52"/>
  <c r="G6" i="52"/>
  <c r="G3" i="51"/>
  <c r="G6" i="51"/>
  <c r="G4" i="51"/>
  <c r="G5" i="51"/>
  <c r="G6" i="50"/>
  <c r="G4" i="50"/>
  <c r="G5" i="50"/>
  <c r="G3" i="50"/>
  <c r="G6" i="49"/>
  <c r="G4" i="49"/>
  <c r="G5" i="49"/>
  <c r="G3" i="49"/>
  <c r="G3" i="48"/>
  <c r="G5" i="48"/>
  <c r="G4" i="48"/>
  <c r="G6" i="48"/>
  <c r="G6" i="47"/>
  <c r="G4" i="47"/>
  <c r="G5" i="47"/>
  <c r="G3" i="47"/>
  <c r="G5" i="46"/>
  <c r="G3" i="46"/>
  <c r="G6" i="46"/>
  <c r="G4" i="46"/>
  <c r="A6" i="38"/>
  <c r="A6" i="40"/>
  <c r="G5" i="45"/>
  <c r="G4" i="45"/>
  <c r="G3" i="45"/>
  <c r="G6" i="45"/>
  <c r="G3" i="43"/>
  <c r="G5" i="43"/>
  <c r="G6" i="43"/>
  <c r="G4" i="43"/>
  <c r="G6" i="42"/>
  <c r="G6" i="41"/>
  <c r="G4" i="41"/>
  <c r="G4" i="42"/>
  <c r="G5" i="42"/>
  <c r="G5" i="41"/>
  <c r="G3" i="42"/>
  <c r="G3" i="41"/>
  <c r="A6" i="39"/>
  <c r="G6" i="38"/>
  <c r="G6" i="40"/>
  <c r="G6" i="39"/>
  <c r="G5" i="40"/>
  <c r="G5" i="39"/>
  <c r="G5" i="38"/>
  <c r="G4" i="40"/>
  <c r="G4" i="39"/>
  <c r="G4" i="38"/>
  <c r="G3" i="40"/>
  <c r="G3" i="39"/>
  <c r="G3" i="38"/>
  <c r="G3" i="36"/>
  <c r="C10" i="40"/>
  <c r="C1" i="40" s="1"/>
  <c r="B15" i="40"/>
  <c r="B16" i="40" s="1"/>
  <c r="B17" i="40" s="1"/>
  <c r="B18" i="40" s="1"/>
  <c r="B19" i="40" s="1"/>
  <c r="B20" i="40" s="1"/>
  <c r="C3" i="40" s="1"/>
  <c r="C10" i="39"/>
  <c r="C1" i="39" s="1"/>
  <c r="B15" i="39"/>
  <c r="B16" i="39" s="1"/>
  <c r="B17" i="39" s="1"/>
  <c r="B18" i="39" s="1"/>
  <c r="B19" i="39" s="1"/>
  <c r="B20" i="39" s="1"/>
  <c r="C3" i="39" s="1"/>
  <c r="D18" i="36" l="1"/>
  <c r="D16" i="36"/>
  <c r="D14" i="36"/>
  <c r="D12" i="36"/>
  <c r="D10" i="36" l="1"/>
  <c r="A6" i="36" s="1"/>
  <c r="A3" i="36"/>
  <c r="E1" i="36"/>
  <c r="G5" i="36" l="1"/>
  <c r="G4" i="36" l="1"/>
  <c r="G6" i="36"/>
</calcChain>
</file>

<file path=xl/sharedStrings.xml><?xml version="1.0" encoding="utf-8"?>
<sst xmlns="http://schemas.openxmlformats.org/spreadsheetml/2006/main" count="857" uniqueCount="323">
  <si>
    <t>Timeliste     -     Uke</t>
  </si>
  <si>
    <t>Fra dato</t>
  </si>
  <si>
    <t>Til dato</t>
  </si>
  <si>
    <t>Kategorier</t>
  </si>
  <si>
    <t>Timer denne uken</t>
  </si>
  <si>
    <t>Timer totalt brukt</t>
  </si>
  <si>
    <t>Teori</t>
  </si>
  <si>
    <t>Totalt tid brukt denne 
uken:</t>
  </si>
  <si>
    <t>Totalt antall tid brukt på 
prosjektet:</t>
  </si>
  <si>
    <t>Utvikling</t>
  </si>
  <si>
    <t>Administrativt</t>
  </si>
  <si>
    <t>Logg/Oppgaver</t>
  </si>
  <si>
    <t>År</t>
  </si>
  <si>
    <t>Måned</t>
  </si>
  <si>
    <t>UkeNr</t>
  </si>
  <si>
    <t>Dato</t>
  </si>
  <si>
    <t>January</t>
  </si>
  <si>
    <t>Dag</t>
  </si>
  <si>
    <t>Start</t>
  </si>
  <si>
    <t>Stopp</t>
  </si>
  <si>
    <t>Timer</t>
  </si>
  <si>
    <t>Kategori/notat</t>
  </si>
  <si>
    <t>Forelesning - Utviklingsprosesser</t>
  </si>
  <si>
    <t>Forelesning - UML</t>
  </si>
  <si>
    <t>Forelesning - Smidig og Scrum</t>
  </si>
  <si>
    <t>Jobbing med timeplan</t>
  </si>
  <si>
    <t>Oppsummering</t>
  </si>
  <si>
    <t>Uken har i korte trekk bestått av forelesninger i form av forberedelse til videre oppgaver og prosjekt i emnet. 
Ellers har jeg benyttet en del tid på å lage en god timeliste med inspirasjon fra timeliste som ble forevist under forelesningen. Her har jeg blant annet tatt i bruk funksjoner som dropdown-meny for år/måned/dato, automatisk oppdatering av ukenummer basert på første dag i uken, kategorier som er delt inn ved hjelp av farger (summeres også basert på fargene). Summering av totalt antall timer foregår på tvers av arkene. Litt "avanserte" funksjoner, men det ble gjort for å gjøre det enklere å føre samt holde styr på timene fremover.
"Utfordringen" underveis har i all hovedsak vært summering av timer basert på farger, da det krevde litt koding i VBA, en plattform som forsåvidt var litt ukjent for meg, men ellers har det gått fint.</t>
  </si>
  <si>
    <t>Timeliste - Alexander Hansen - Uke</t>
  </si>
  <si>
    <t>Timer brukt totalt</t>
  </si>
  <si>
    <t>Forelesning - Scrum Del 2</t>
  </si>
  <si>
    <t>Opptak - Design patterns &amp; XP</t>
  </si>
  <si>
    <t>Finpussing på timeliste</t>
  </si>
  <si>
    <t>Uken har bestått av forelesning samt videoopptak fra tidligere skoleår. Videre har jeg fokusert på nødvendige endringer som ble påpekt på forrige ukes timeplan.
Tanken bak å ha to start/stopp kolonner ble i all hovedsak gjort på grunn av at jeg så for meg minst to økter pr. dag. Måten jeg valgte å løse det på føltes ikke særlig elegant og har dermed blitt fjernet igjen. I og med at jeg ønsker at timelisten mer eller mindre skal være automatisk vil jeg forsøke
å komme tilbake med en bedre løsning så snart det lar seg gjøre, inntil videre blir timene summert i en og samme kolonne.</t>
  </si>
  <si>
    <t>Timeliste   -   Alexander Hansen  -   Uke</t>
  </si>
  <si>
    <r>
      <rPr>
        <b/>
        <sz val="11"/>
        <color theme="1"/>
        <rFont val="Calibri Light"/>
        <family val="2"/>
        <scheme val="major"/>
      </rPr>
      <t>Teori:</t>
    </r>
    <r>
      <rPr>
        <sz val="11"/>
        <color theme="1"/>
        <rFont val="Calibri Light"/>
        <family val="2"/>
        <scheme val="major"/>
      </rPr>
      <t xml:space="preserve"> Forelesning om prosjektet</t>
    </r>
  </si>
  <si>
    <r>
      <rPr>
        <b/>
        <sz val="11"/>
        <color theme="1"/>
        <rFont val="Calibri Light"/>
        <family val="2"/>
        <scheme val="major"/>
      </rPr>
      <t>Administrativt:</t>
    </r>
    <r>
      <rPr>
        <sz val="11"/>
        <color theme="1"/>
        <rFont val="Calibri Light"/>
        <family val="2"/>
        <scheme val="major"/>
      </rPr>
      <t xml:space="preserve"> Første møte om bruk av 
timeliste, diverse om prosjektet</t>
    </r>
  </si>
  <si>
    <r>
      <rPr>
        <b/>
        <sz val="11"/>
        <color theme="1"/>
        <rFont val="Calibri Light"/>
        <family val="2"/>
        <scheme val="major"/>
      </rPr>
      <t>Teori:</t>
    </r>
    <r>
      <rPr>
        <sz val="11"/>
        <color theme="1"/>
        <rFont val="Calibri Light"/>
        <family val="2"/>
        <scheme val="major"/>
      </rPr>
      <t xml:space="preserve"> Forelesning om
Prosjektstyring/rapportering</t>
    </r>
  </si>
  <si>
    <r>
      <rPr>
        <b/>
        <sz val="11"/>
        <color theme="1"/>
        <rFont val="Calibri Light"/>
        <family val="2"/>
        <scheme val="major"/>
      </rPr>
      <t>Adminsrativt:</t>
    </r>
    <r>
      <rPr>
        <sz val="11"/>
        <color theme="1"/>
        <rFont val="Calibri Light"/>
        <family val="2"/>
        <scheme val="major"/>
      </rPr>
      <t xml:space="preserve"> Diskusjon rundt 
forelesning, planer fremover</t>
    </r>
  </si>
  <si>
    <r>
      <rPr>
        <b/>
        <sz val="11"/>
        <color theme="1"/>
        <rFont val="Calibri Light"/>
        <family val="2"/>
        <scheme val="major"/>
      </rPr>
      <t>Logg/Oppgaver:</t>
    </r>
    <r>
      <rPr>
        <sz val="11"/>
        <color theme="1"/>
        <rFont val="Calibri Light"/>
        <family val="2"/>
        <scheme val="major"/>
      </rPr>
      <t xml:space="preserve"> Arbeid med oppgave om
prosjektstyring samt finpussing timeliste</t>
    </r>
  </si>
  <si>
    <r>
      <rPr>
        <b/>
        <sz val="11"/>
        <color theme="1"/>
        <rFont val="Calibri"/>
        <family val="2"/>
        <scheme val="minor"/>
      </rPr>
      <t>Logg/Oppgaver:</t>
    </r>
    <r>
      <rPr>
        <sz val="11"/>
        <color theme="1"/>
        <rFont val="Calibri"/>
        <family val="2"/>
        <scheme val="minor"/>
      </rPr>
      <t xml:space="preserve"> Finpussing av timeliste</t>
    </r>
  </si>
  <si>
    <t>Timeliste     Alexander Hansen    Uke</t>
  </si>
  <si>
    <t>Backlog item#</t>
  </si>
  <si>
    <r>
      <rPr>
        <b/>
        <sz val="12"/>
        <color theme="1"/>
        <rFont val="Calibri"/>
        <family val="2"/>
        <scheme val="minor"/>
      </rPr>
      <t>Teori:</t>
    </r>
    <r>
      <rPr>
        <sz val="12"/>
        <color theme="1"/>
        <rFont val="Calibri"/>
        <family val="2"/>
        <scheme val="minor"/>
      </rPr>
      <t xml:space="preserve"> Forelesning om prosjekt-
styring og rapportering del 2</t>
    </r>
  </si>
  <si>
    <r>
      <rPr>
        <b/>
        <sz val="12"/>
        <color theme="1"/>
        <rFont val="Calibri"/>
        <family val="2"/>
        <scheme val="minor"/>
      </rPr>
      <t>Administrativt:</t>
    </r>
    <r>
      <rPr>
        <sz val="12"/>
        <color theme="1"/>
        <rFont val="Calibri"/>
        <family val="2"/>
        <scheme val="minor"/>
      </rPr>
      <t xml:space="preserve"> Møte(backlog, sprint zero, oppgaven generelt)</t>
    </r>
  </si>
  <si>
    <r>
      <rPr>
        <b/>
        <sz val="12"/>
        <color theme="1"/>
        <rFont val="Calibri"/>
        <family val="2"/>
        <scheme val="minor"/>
      </rPr>
      <t>Logg/Oppgaver:</t>
    </r>
    <r>
      <rPr>
        <sz val="12"/>
        <color theme="1"/>
        <rFont val="Calibri"/>
        <family val="2"/>
        <scheme val="minor"/>
      </rPr>
      <t xml:space="preserve"> Jobbing med 
'mal' til forprosjekt</t>
    </r>
  </si>
  <si>
    <r>
      <rPr>
        <b/>
        <sz val="12"/>
        <color theme="1"/>
        <rFont val="Calibri"/>
        <family val="2"/>
        <scheme val="minor"/>
      </rPr>
      <t>Logg/Oppgaver:</t>
    </r>
    <r>
      <rPr>
        <sz val="12"/>
        <color theme="1"/>
        <rFont val="Calibri"/>
        <family val="2"/>
        <scheme val="minor"/>
      </rPr>
      <t xml:space="preserve"> Jobbing 
med forprosjekt</t>
    </r>
  </si>
  <si>
    <r>
      <t xml:space="preserve">Logg/Oppgaver: </t>
    </r>
    <r>
      <rPr>
        <sz val="12"/>
        <color theme="1"/>
        <rFont val="Calibri"/>
        <family val="2"/>
        <scheme val="minor"/>
      </rPr>
      <t>Jobbing med
timeliste</t>
    </r>
  </si>
  <si>
    <t>Denne uken har fokuset vært å komme i gang med selve prosjektet. Uken startet med gjennomgang av PDFene relatert til prosjektet (Prosjektpresentasjon Morild 2020, Prosjekt Systemutvikling 2020 v1.0 og mal for emnebeskrivelser). 
På onsdag under møtet diskuterte vi rundt nevnte PDFer, og det ble tatt avgjørelser i forhold til hvem som skulle gjøre hva. Jeg og Martin Mikalsen i gruppen tok på oss arbeidet med forprosjekt-"rapporten" og lagde første utkast med forside og generelt oppsett. 
På fredag satte jeg i gang med å skrive på selve rapporten (introduksjon og bakgrunn) og avslutningsvis har jeg gjort litt finpuss på timelisten.
Denne uken har forsåvidt også gått fint, det som derimot var utfordrende var å komme i gang med hvordan selve rapporten skulle se ut og hva den skulle inneholde, men etter å ha sett tilbake på tidligere prosjekt jeg har tatt del i, samt diskusjon med Martin ble vi enige om at rapporten skulle settes opp i APA-stil, og at vi hadde i allefall behov for en introduksjon.</t>
  </si>
  <si>
    <t>Timeliste Alexander Hansen Uke</t>
  </si>
  <si>
    <t>Totalt tid 
brukt denne uken:</t>
  </si>
  <si>
    <t>Totalt antall tid brukt:</t>
  </si>
  <si>
    <r>
      <rPr>
        <b/>
        <sz val="12"/>
        <color theme="1"/>
        <rFont val="Calibri"/>
        <family val="2"/>
        <scheme val="minor"/>
      </rPr>
      <t xml:space="preserve">Logg/Oppgaver: </t>
    </r>
    <r>
      <rPr>
        <sz val="12"/>
        <color theme="1"/>
        <rFont val="Calibri"/>
        <family val="2"/>
        <scheme val="minor"/>
      </rPr>
      <t>Arbeid 
med forprosjektet (Introduksjon, definisjoner)</t>
    </r>
  </si>
  <si>
    <r>
      <rPr>
        <b/>
        <sz val="12"/>
        <color theme="1"/>
        <rFont val="Calibri"/>
        <family val="2"/>
        <scheme val="minor"/>
      </rPr>
      <t>Administrativt:</t>
    </r>
    <r>
      <rPr>
        <sz val="12"/>
        <color theme="1"/>
        <rFont val="Calibri"/>
        <family val="2"/>
        <scheme val="minor"/>
      </rPr>
      <t xml:space="preserve"> Scrum-meeting, status, forprosjektet, delegering av oppgaver</t>
    </r>
  </si>
  <si>
    <r>
      <rPr>
        <b/>
        <sz val="12"/>
        <color theme="1"/>
        <rFont val="Calibri"/>
        <family val="2"/>
        <scheme val="minor"/>
      </rPr>
      <t>Logg/Oppgaver:</t>
    </r>
    <r>
      <rPr>
        <sz val="12"/>
        <color theme="1"/>
        <rFont val="Calibri"/>
        <family val="2"/>
        <scheme val="minor"/>
      </rPr>
      <t xml:space="preserve"> Jobbing 
med forprosjekt (Bakgrunn)</t>
    </r>
  </si>
  <si>
    <r>
      <rPr>
        <b/>
        <sz val="12"/>
        <color theme="1"/>
        <rFont val="Calibri"/>
        <family val="2"/>
        <scheme val="minor"/>
      </rPr>
      <t>Logg/Oppgaver:</t>
    </r>
    <r>
      <rPr>
        <sz val="12"/>
        <color theme="1"/>
        <rFont val="Calibri"/>
        <family val="2"/>
        <scheme val="minor"/>
      </rPr>
      <t xml:space="preserve"> Jobbing 
med forprosjekt (Betingelse)</t>
    </r>
  </si>
  <si>
    <r>
      <rPr>
        <b/>
        <sz val="12"/>
        <color theme="1"/>
        <rFont val="Calibri"/>
        <family val="2"/>
        <scheme val="minor"/>
      </rPr>
      <t>Administrativt:</t>
    </r>
    <r>
      <rPr>
        <sz val="12"/>
        <color theme="1"/>
        <rFont val="Calibri"/>
        <family val="2"/>
        <scheme val="minor"/>
      </rPr>
      <t xml:space="preserve"> Scrummeeting, status</t>
    </r>
  </si>
  <si>
    <r>
      <rPr>
        <b/>
        <sz val="12"/>
        <color theme="1"/>
        <rFont val="Calibri"/>
        <family val="2"/>
        <scheme val="minor"/>
      </rPr>
      <t>Logg/Oppgaver:</t>
    </r>
    <r>
      <rPr>
        <sz val="12"/>
        <color theme="1"/>
        <rFont val="Calibri"/>
        <family val="2"/>
        <scheme val="minor"/>
      </rPr>
      <t xml:space="preserve"> Jobbing med fremdriftsplan,
strukturering i prosjektet</t>
    </r>
  </si>
  <si>
    <r>
      <rPr>
        <b/>
        <sz val="12"/>
        <color theme="1"/>
        <rFont val="Calibri"/>
        <family val="2"/>
        <scheme val="minor"/>
      </rPr>
      <t>Logg/Oppgaver:</t>
    </r>
    <r>
      <rPr>
        <sz val="12"/>
        <color theme="1"/>
        <rFont val="Calibri"/>
        <family val="2"/>
        <scheme val="minor"/>
      </rPr>
      <t xml:space="preserve"> Føring av timer, oppsummering 
denne uken, forprosjekt</t>
    </r>
  </si>
  <si>
    <r>
      <rPr>
        <b/>
        <sz val="12"/>
        <color theme="1"/>
        <rFont val="Calibri"/>
        <family val="2"/>
        <scheme val="minor"/>
      </rPr>
      <t xml:space="preserve">Administrativt: </t>
    </r>
    <r>
      <rPr>
        <sz val="12"/>
        <color theme="1"/>
        <rFont val="Calibri"/>
        <family val="2"/>
        <scheme val="minor"/>
      </rPr>
      <t>Scrummeeting, backlog</t>
    </r>
  </si>
  <si>
    <r>
      <t xml:space="preserve">Logg/Oppgaver: </t>
    </r>
    <r>
      <rPr>
        <sz val="12"/>
        <color theme="1"/>
        <rFont val="Calibri"/>
        <family val="2"/>
        <scheme val="minor"/>
      </rPr>
      <t>Jobbing med product backlog</t>
    </r>
  </si>
  <si>
    <r>
      <t xml:space="preserve">Administrativt: </t>
    </r>
    <r>
      <rPr>
        <sz val="12"/>
        <color theme="1"/>
        <rFont val="Calibri"/>
        <family val="2"/>
        <scheme val="minor"/>
      </rPr>
      <t>Scrum- meeting, product backlog, planning poker</t>
    </r>
  </si>
  <si>
    <r>
      <t xml:space="preserve">Administrativt: </t>
    </r>
    <r>
      <rPr>
        <sz val="12"/>
        <color theme="1"/>
        <rFont val="Calibri"/>
        <family val="2"/>
        <scheme val="minor"/>
      </rPr>
      <t>Gjennomgang database</t>
    </r>
  </si>
  <si>
    <r>
      <t xml:space="preserve">Logg/Oppgaver: </t>
    </r>
    <r>
      <rPr>
        <sz val="12"/>
        <color theme="1"/>
        <rFont val="Calibri"/>
        <family val="2"/>
        <scheme val="minor"/>
      </rPr>
      <t>Forprosjekt (forord)</t>
    </r>
  </si>
  <si>
    <r>
      <t xml:space="preserve">Logg/Oppgaver: </t>
    </r>
    <r>
      <rPr>
        <sz val="12"/>
        <color theme="1"/>
        <rFont val="Calibri"/>
        <family val="2"/>
        <scheme val="minor"/>
      </rPr>
      <t>Se og bli litt kjent med StarUML og Wireframe</t>
    </r>
  </si>
  <si>
    <r>
      <t xml:space="preserve">Logg/Oppgaver: </t>
    </r>
    <r>
      <rPr>
        <sz val="12"/>
        <color theme="1"/>
        <rFont val="Calibri"/>
        <family val="2"/>
        <scheme val="minor"/>
      </rPr>
      <t>Forprosjekt (Sprint backlog, avhengighetstabellen)</t>
    </r>
  </si>
  <si>
    <r>
      <t xml:space="preserve">Administrativt: </t>
    </r>
    <r>
      <rPr>
        <sz val="12"/>
        <color theme="1"/>
        <rFont val="Calibri"/>
        <family val="2"/>
        <scheme val="minor"/>
      </rPr>
      <t>Møte, ferdigstilling forprosjekt</t>
    </r>
  </si>
  <si>
    <r>
      <t xml:space="preserve">Logg/Oppgaver: </t>
    </r>
    <r>
      <rPr>
        <sz val="12"/>
        <color theme="1"/>
        <rFont val="Calibri"/>
        <family val="2"/>
        <scheme val="minor"/>
      </rPr>
      <t>Arbeid med timeliste</t>
    </r>
  </si>
  <si>
    <t>På mandag fortsatte jeg arbeidet med å skrive på forprosjektet om temaene 'Introduksjon' og 'Definisjoner' etterfulgt av scrum-meeting hvor vi gikk gjennom nåværende status i forhold til forrige ukes arbeid og grove planer for uken med delegering av oppgaver. Rent over er jeg fornøyd med prograsjonen av dagens arbeid. Utfordringene har i all hovedsak vært formulering ifht. innhold i forprosjekt og planlegging slik at alle mer eller mindre fikk samme mengde arbeid
På tirsdag fortsatte jeg med en kort økt hvor jeg skrev på forprosjektet om temaet 'Betingelse', som jeg hadde en del utfordringer med å tolke i forhold til hva en slik 'post' burde inneholde, som forøvrig ble løst ved å slå opp i definisjoner for å få litt flere vinkler på definisjonen.
Onsdagen ble startet med et scrum-meeting hvor det ble diskutert hvordan (og når) vi skulle trå frem i forhold til planning poker og product backlog. Etter møtet gikk jeg, Eivind og Vegard i gang med å lage en mal for fremdriftsplan og satte smått i gang med å fylle ut denne. Ingen spesielle utfordringer annet enn det å finne ut hvilke kolonner som skulle være del av fremdriftsplanen.
Under møtet på torsdagen gikk vi i gang med å planlegge product backlog og kom i gang med å fylle ut denne. Etter møtet tok jeg og Martin Mikalsen over og ferdigstilte product backlog så godt det lot seg gjøre. 
Product backlog ble fremvist på møtet på fredag hvor vi gikk i gang med planning poker for å kunne fylle ut story points. Etter endt planning poker ble nåværende modell av databasen presentert for gruppen og det ble gjort små korrigeringer i forhold til mangler/navn på tabeller/attributter. Ettersom det er en stund siden sist jeg jobbet med databaser synes jeg det var supert å få et innblikk med forklaringer på hvorfor og hvordan tabellene var satt opp.
På lørdag var planen å levere prosjektet, og måtte derfor ta en siste gjennomgang av alle 'moduler' i prosjektet for å sørge for at nødvendige moduler var ferdig og tatt med i prosjektet. I hovedsak besto dette av å legge inn de siste malene i forprosjektet og lese gjennom forprosjektet. Etter dette leverte vi fra oss forprosjektet.
 Som en siste del av denne oppsummeringen vil jeg nevne at av timelisten kan man se at det har blitt en bratt økning i forhold til antall timer sammenlignet med tidligere uker. Jevnt over synes det har vært god progressjon gjennom hele uken, både for meg og gruppen i sin helhet og jeg ser frem til å fortsette arbeidet på prosjektet i kommende uke.</t>
  </si>
  <si>
    <t>teori:</t>
  </si>
  <si>
    <t>189 - 215 - 238</t>
  </si>
  <si>
    <t>Utvikling:</t>
  </si>
  <si>
    <t>255 - 230 - 153</t>
  </si>
  <si>
    <t>Administrativt:</t>
  </si>
  <si>
    <t>255 - 87 - 87</t>
  </si>
  <si>
    <r>
      <rPr>
        <b/>
        <sz val="12"/>
        <color theme="1"/>
        <rFont val="Calibri"/>
        <family val="2"/>
        <scheme val="minor"/>
      </rPr>
      <t>Utvikling:</t>
    </r>
    <r>
      <rPr>
        <sz val="12"/>
        <color theme="1"/>
        <rFont val="Calibri"/>
        <family val="2"/>
        <scheme val="minor"/>
      </rPr>
      <t xml:space="preserve"> Arbeid med Wireframe</t>
    </r>
  </si>
  <si>
    <t>Logg/oppgaver:</t>
  </si>
  <si>
    <r>
      <rPr>
        <b/>
        <sz val="12"/>
        <color theme="1"/>
        <rFont val="Calibri"/>
        <family val="2"/>
        <scheme val="minor"/>
      </rPr>
      <t xml:space="preserve">Administrativt: </t>
    </r>
    <r>
      <rPr>
        <sz val="12"/>
        <color theme="1"/>
        <rFont val="Calibri"/>
        <family val="2"/>
        <scheme val="minor"/>
      </rPr>
      <t>Scrum-meeting</t>
    </r>
  </si>
  <si>
    <t>198 - 224 - 180</t>
  </si>
  <si>
    <r>
      <rPr>
        <b/>
        <sz val="12"/>
        <color theme="1"/>
        <rFont val="Calibri"/>
        <family val="2"/>
        <scheme val="minor"/>
      </rPr>
      <t xml:space="preserve">Utvikling: </t>
    </r>
    <r>
      <rPr>
        <sz val="12"/>
        <color theme="1"/>
        <rFont val="Calibri"/>
        <family val="2"/>
        <scheme val="minor"/>
      </rPr>
      <t>Oppsett av Git</t>
    </r>
  </si>
  <si>
    <r>
      <rPr>
        <b/>
        <sz val="12"/>
        <color theme="1"/>
        <rFont val="Calibri"/>
        <family val="2"/>
        <scheme val="minor"/>
      </rPr>
      <t xml:space="preserve">Utvikling: </t>
    </r>
    <r>
      <rPr>
        <sz val="12"/>
        <color theme="1"/>
        <rFont val="Calibri"/>
        <family val="2"/>
        <scheme val="minor"/>
      </rPr>
      <t>Ferdigstilling av utkast i Wireframe</t>
    </r>
  </si>
  <si>
    <r>
      <rPr>
        <b/>
        <sz val="12"/>
        <color theme="1"/>
        <rFont val="Calibri"/>
        <family val="2"/>
        <scheme val="minor"/>
      </rPr>
      <t xml:space="preserve">Teori: </t>
    </r>
    <r>
      <rPr>
        <sz val="12"/>
        <color theme="1"/>
        <rFont val="Calibri"/>
        <family val="2"/>
        <scheme val="minor"/>
      </rPr>
      <t>Intro til JavaScript (W3Schools.com)</t>
    </r>
  </si>
  <si>
    <r>
      <rPr>
        <b/>
        <sz val="12"/>
        <color theme="1"/>
        <rFont val="Calibri"/>
        <family val="2"/>
        <scheme val="minor"/>
      </rPr>
      <t>Logg/Oppgaver:</t>
    </r>
    <r>
      <rPr>
        <sz val="12"/>
        <color theme="1"/>
        <rFont val="Calibri"/>
        <family val="2"/>
        <scheme val="minor"/>
      </rPr>
      <t xml:space="preserve"> Sett på burndown chart</t>
    </r>
  </si>
  <si>
    <r>
      <rPr>
        <b/>
        <sz val="12"/>
        <color theme="1"/>
        <rFont val="Calibri"/>
        <family val="2"/>
        <scheme val="minor"/>
      </rPr>
      <t>Utvikling:</t>
    </r>
    <r>
      <rPr>
        <sz val="12"/>
        <color theme="1"/>
        <rFont val="Calibri"/>
        <family val="2"/>
        <scheme val="minor"/>
      </rPr>
      <t xml:space="preserve"> Lagt til Twig</t>
    </r>
  </si>
  <si>
    <r>
      <rPr>
        <b/>
        <sz val="12"/>
        <color theme="1"/>
        <rFont val="Calibri"/>
        <family val="2"/>
        <scheme val="minor"/>
      </rPr>
      <t>Administrativt:</t>
    </r>
    <r>
      <rPr>
        <sz val="12"/>
        <color theme="1"/>
        <rFont val="Calibri"/>
        <family val="2"/>
        <scheme val="minor"/>
      </rPr>
      <t xml:space="preserve"> Scrum meeting</t>
    </r>
  </si>
  <si>
    <r>
      <rPr>
        <b/>
        <sz val="12"/>
        <color theme="1"/>
        <rFont val="Calibri"/>
        <family val="2"/>
        <scheme val="minor"/>
      </rPr>
      <t>Utvikling:</t>
    </r>
    <r>
      <rPr>
        <sz val="12"/>
        <color theme="1"/>
        <rFont val="Calibri"/>
        <family val="2"/>
        <scheme val="minor"/>
      </rPr>
      <t xml:space="preserve"> Feilsøkt i forhold til Twig, XAMPP og generelt oppsett</t>
    </r>
  </si>
  <si>
    <r>
      <rPr>
        <b/>
        <sz val="12"/>
        <color theme="1"/>
        <rFont val="Calibri"/>
        <family val="2"/>
        <scheme val="minor"/>
      </rPr>
      <t>Teori:</t>
    </r>
    <r>
      <rPr>
        <sz val="12"/>
        <color theme="1"/>
        <rFont val="Calibri"/>
        <family val="2"/>
        <scheme val="minor"/>
      </rPr>
      <t xml:space="preserve"> Lære seg/oppsett av bootstrap, JavaScript, CSS og HTML</t>
    </r>
  </si>
  <si>
    <r>
      <rPr>
        <b/>
        <sz val="12"/>
        <color theme="1"/>
        <rFont val="Calibri"/>
        <family val="2"/>
        <scheme val="minor"/>
      </rPr>
      <t>Utvikling:</t>
    </r>
    <r>
      <rPr>
        <sz val="12"/>
        <color theme="1"/>
        <rFont val="Calibri"/>
        <family val="2"/>
        <scheme val="minor"/>
      </rPr>
      <t xml:space="preserve"> Klargjøre bootstrap for opplasting til Git</t>
    </r>
  </si>
  <si>
    <r>
      <rPr>
        <b/>
        <sz val="12"/>
        <color theme="1"/>
        <rFont val="Calibri"/>
        <family val="2"/>
        <scheme val="minor"/>
      </rPr>
      <t xml:space="preserve">Utvikling: </t>
    </r>
    <r>
      <rPr>
        <sz val="12"/>
        <color theme="1"/>
        <rFont val="Calibri"/>
        <family val="2"/>
        <scheme val="minor"/>
      </rPr>
      <t>Lage standard mal i HTML/CSS/TWIG som enkelt kan bygges videre på.</t>
    </r>
  </si>
  <si>
    <r>
      <rPr>
        <b/>
        <sz val="12"/>
        <color theme="1"/>
        <rFont val="Calibri"/>
        <family val="2"/>
        <scheme val="minor"/>
      </rPr>
      <t xml:space="preserve">Utvikling: </t>
    </r>
    <r>
      <rPr>
        <sz val="12"/>
        <color theme="1"/>
        <rFont val="Calibri"/>
        <family val="2"/>
        <scheme val="minor"/>
      </rPr>
      <t>Jobbing med standard mal (footer)</t>
    </r>
  </si>
  <si>
    <r>
      <t xml:space="preserve">Utvikling: </t>
    </r>
    <r>
      <rPr>
        <sz val="12"/>
        <color theme="1"/>
        <rFont val="Calibri"/>
        <family val="2"/>
        <scheme val="minor"/>
      </rPr>
      <t>Standard mal</t>
    </r>
    <r>
      <rPr>
        <b/>
        <sz val="12"/>
        <color theme="1"/>
        <rFont val="Calibri"/>
        <family val="2"/>
        <scheme val="minor"/>
      </rPr>
      <t xml:space="preserve"> </t>
    </r>
    <r>
      <rPr>
        <sz val="12"/>
        <color theme="1"/>
        <rFont val="Calibri"/>
        <family val="2"/>
        <scheme val="minor"/>
      </rPr>
      <t>(footer, header)</t>
    </r>
  </si>
  <si>
    <r>
      <t>Utvikling:</t>
    </r>
    <r>
      <rPr>
        <sz val="12"/>
        <color theme="1"/>
        <rFont val="Calibri"/>
        <family val="2"/>
        <scheme val="minor"/>
      </rPr>
      <t xml:space="preserve"> Standard mal</t>
    </r>
    <r>
      <rPr>
        <b/>
        <sz val="12"/>
        <color theme="1"/>
        <rFont val="Calibri"/>
        <family val="2"/>
        <scheme val="minor"/>
      </rPr>
      <t xml:space="preserve"> </t>
    </r>
    <r>
      <rPr>
        <sz val="12"/>
        <color theme="1"/>
        <rFont val="Calibri"/>
        <family val="2"/>
        <scheme val="minor"/>
      </rPr>
      <t>(header, navbar)</t>
    </r>
  </si>
  <si>
    <r>
      <t xml:space="preserve">Utvikling: </t>
    </r>
    <r>
      <rPr>
        <sz val="12"/>
        <color theme="1"/>
        <rFont val="Calibri"/>
        <family val="2"/>
        <scheme val="minor"/>
      </rPr>
      <t>Standard mal</t>
    </r>
    <r>
      <rPr>
        <b/>
        <sz val="12"/>
        <color theme="1"/>
        <rFont val="Calibri"/>
        <family val="2"/>
        <scheme val="minor"/>
      </rPr>
      <t xml:space="preserve"> </t>
    </r>
    <r>
      <rPr>
        <sz val="12"/>
        <color theme="1"/>
        <rFont val="Calibri"/>
        <family val="2"/>
        <scheme val="minor"/>
      </rPr>
      <t>(header, navbar)</t>
    </r>
  </si>
  <si>
    <r>
      <t xml:space="preserve">Logg/oppgaver: </t>
    </r>
    <r>
      <rPr>
        <sz val="12"/>
        <color theme="1"/>
        <rFont val="Calibri"/>
        <family val="2"/>
        <scheme val="minor"/>
      </rPr>
      <t>Oppdatere timeliste for denne uken</t>
    </r>
  </si>
  <si>
    <r>
      <t xml:space="preserve">Logg/oppgaver: </t>
    </r>
    <r>
      <rPr>
        <sz val="12"/>
        <color theme="1"/>
        <rFont val="Calibri"/>
        <family val="2"/>
        <scheme val="minor"/>
      </rPr>
      <t>Siste finpuss og endringer før innlevering av timeliste</t>
    </r>
  </si>
  <si>
    <r>
      <rPr>
        <b/>
        <sz val="12"/>
        <color theme="1"/>
        <rFont val="Calibri"/>
        <family val="2"/>
        <scheme val="minor"/>
      </rPr>
      <t>Gjennomsnittlig arbeidstimer i prosjektet denne uken:</t>
    </r>
    <r>
      <rPr>
        <sz val="12"/>
        <color theme="1"/>
        <rFont val="Calibri"/>
        <family val="2"/>
        <scheme val="minor"/>
      </rPr>
      <t xml:space="preserve"> 09:17
</t>
    </r>
    <r>
      <rPr>
        <b/>
        <sz val="12"/>
        <color theme="1"/>
        <rFont val="Calibri"/>
        <family val="2"/>
        <scheme val="minor"/>
      </rPr>
      <t>Roller:</t>
    </r>
    <r>
      <rPr>
        <sz val="12"/>
        <color theme="1"/>
        <rFont val="Calibri"/>
        <family val="2"/>
        <scheme val="minor"/>
      </rPr>
      <t xml:space="preserve">
</t>
    </r>
    <r>
      <rPr>
        <b/>
        <sz val="12"/>
        <color theme="1"/>
        <rFont val="Calibri"/>
        <family val="2"/>
        <scheme val="minor"/>
      </rPr>
      <t>SCRUM-master i Sprint 1:</t>
    </r>
    <r>
      <rPr>
        <sz val="12"/>
        <color theme="1"/>
        <rFont val="Calibri"/>
        <family val="2"/>
        <scheme val="minor"/>
      </rPr>
      <t xml:space="preserve"> Alexander Hansen
</t>
    </r>
    <r>
      <rPr>
        <b/>
        <sz val="12"/>
        <color theme="1"/>
        <rFont val="Calibri"/>
        <family val="2"/>
        <scheme val="minor"/>
      </rPr>
      <t>Backend:</t>
    </r>
    <r>
      <rPr>
        <sz val="12"/>
        <color theme="1"/>
        <rFont val="Calibri"/>
        <family val="2"/>
        <scheme val="minor"/>
      </rPr>
      <t xml:space="preserve"> Martin Mikalsen, Anders Rubach Ese, Adrian-Alexandru Chirita, Vegard Simonsen 
</t>
    </r>
    <r>
      <rPr>
        <b/>
        <sz val="12"/>
        <color theme="1"/>
        <rFont val="Calibri"/>
        <family val="2"/>
        <scheme val="minor"/>
      </rPr>
      <t>Frontend:</t>
    </r>
    <r>
      <rPr>
        <sz val="12"/>
        <color theme="1"/>
        <rFont val="Calibri"/>
        <family val="2"/>
        <scheme val="minor"/>
      </rPr>
      <t xml:space="preserve"> Joachim Kristensen, Alexander Hansen, Eivind Blom Eriksen
</t>
    </r>
    <r>
      <rPr>
        <b/>
        <sz val="12"/>
        <color theme="1"/>
        <rFont val="Calibri"/>
        <family val="2"/>
        <scheme val="minor"/>
      </rPr>
      <t xml:space="preserve">Mandag: </t>
    </r>
    <r>
      <rPr>
        <sz val="12"/>
        <color theme="1"/>
        <rFont val="Calibri"/>
        <family val="2"/>
        <scheme val="minor"/>
      </rPr>
      <t xml:space="preserve">Har fortsatt med arbeid på Wireframe og design av utseende til tenkt nettside. Har laget maler for de ulike webområdene (Startside, emnebeskrivelse, redigering av emnebeskrivelse). Videre kjørte vi i gang med et scrum-meeting hvor hovedtemaet var status etterfulgt av oppsett av prosjekt i Git. Sistnevnte fikk vi en del trøbbel med på grunn av feil oppsett i .gitignore-filen som resulterte i at vi satte opp prosjektet på nytt.
</t>
    </r>
    <r>
      <rPr>
        <b/>
        <sz val="12"/>
        <color theme="1"/>
        <rFont val="Calibri"/>
        <family val="2"/>
        <scheme val="minor"/>
      </rPr>
      <t xml:space="preserve">Tirsdag: </t>
    </r>
    <r>
      <rPr>
        <sz val="12"/>
        <color theme="1"/>
        <rFont val="Calibri"/>
        <family val="2"/>
        <scheme val="minor"/>
      </rPr>
      <t xml:space="preserve">Brukte litt tid på å ferdigstille Wireframe på starten av dagen etterfulgt av gjennomgang av W3Schools sin intro til JavaScript, som i hovedsak la fokus på syntakser. Syntaksene viste seg å være noe likt Java, så tror ikke nødvendigvis det skal være noen problem å sette seg inn i. Samtidig vil vi benytte oss av Bootstrap som har en del forhåndsdefinerte skript som helt sikkert vil hjelpe oss ganske langt på vei.
</t>
    </r>
    <r>
      <rPr>
        <b/>
        <sz val="12"/>
        <color theme="1"/>
        <rFont val="Calibri"/>
        <family val="2"/>
        <scheme val="minor"/>
      </rPr>
      <t>Onsdag:</t>
    </r>
    <r>
      <rPr>
        <sz val="12"/>
        <color theme="1"/>
        <rFont val="Calibri"/>
        <family val="2"/>
        <scheme val="minor"/>
      </rPr>
      <t xml:space="preserve"> Tok en titt på generelt oppsett for burndown chart som skal brukes i sprintene, oppgaven ble ganske raskt overlevert til Adrian Chirita på grunn av fordeling av arbeid. Etter dette la vi (Martin Mikalsen og Anders Rubach Ese) inn Twig i prosjektet som viste seg å by på noen enkelte utfordringer, hvor det i hovedsak handlet om at det var lenge siden sist vi hadde jobbet med rammeverket og implementering av dette. Løste dette ved å se over instruksjoner publisert i emnet ITE1805 og snakking med nabo-gruppen.
</t>
    </r>
    <r>
      <rPr>
        <b/>
        <sz val="12"/>
        <color theme="1"/>
        <rFont val="Calibri"/>
        <family val="2"/>
        <scheme val="minor"/>
      </rPr>
      <t>Torsdag:</t>
    </r>
    <r>
      <rPr>
        <sz val="12"/>
        <color theme="1"/>
        <rFont val="Calibri"/>
        <family val="2"/>
        <scheme val="minor"/>
      </rPr>
      <t xml:space="preserve"> Startet dagen med scrum-meeting for å undersøke hvor den enkelte var i forhold til fremgang. Etter dette brukte jeg litt tid på å sjekke at XAMPP og Twig var korrekt satt opp. Begynte så smått med å se en video i forhold til Bootstrap hvor målet var å implementere dette i prosjektet, og samtidig få en liten oversikt over nyttige funksjoner. 
</t>
    </r>
    <r>
      <rPr>
        <b/>
        <sz val="12"/>
        <color theme="1"/>
        <rFont val="Calibri"/>
        <family val="2"/>
        <scheme val="minor"/>
      </rPr>
      <t xml:space="preserve">Fredag: </t>
    </r>
    <r>
      <rPr>
        <sz val="12"/>
        <color theme="1"/>
        <rFont val="Calibri"/>
        <family val="2"/>
        <scheme val="minor"/>
      </rPr>
      <t xml:space="preserve">I dag begynte jeg for fullt med starten på utviklingen av en standard mal for webområdene våre. Målet er å lage en mal som bygger en slags grunnmur som veldig enkelt kan bygges videre på. I malen vil blant annet header(e) og footer, som vil se lik ut på alle webområdene våre, være fokuset. Hadde mange utfordringer i forhold til dette, da det blant annet var lenge siden sist, men ikke minst mye nytt i forhold til Bootstrap.
</t>
    </r>
    <r>
      <rPr>
        <b/>
        <sz val="12"/>
        <color theme="1"/>
        <rFont val="Calibri"/>
        <family val="2"/>
        <scheme val="minor"/>
      </rPr>
      <t>Lørdag:</t>
    </r>
    <r>
      <rPr>
        <sz val="12"/>
        <color theme="1"/>
        <rFont val="Calibri"/>
        <family val="2"/>
        <scheme val="minor"/>
      </rPr>
      <t xml:space="preserve"> Har fortsatt arbeidet med standard mal og har slitt en del med plassering av flere elementer innenfor et og flere andre elementer, men har omsider klart å ferdigstilt en slags mal som jeg vil vise frem under eller etter scrum-møte førstkommende mandag. Dette vil mest sannsynlig være til hjelp da jeg får andres synspunkter på hvordan malen bør være før jeg kan si meg ferdig.
</t>
    </r>
    <r>
      <rPr>
        <b/>
        <sz val="12"/>
        <color theme="1"/>
        <rFont val="Calibri"/>
        <family val="2"/>
        <scheme val="minor"/>
      </rPr>
      <t>Generelt:</t>
    </r>
    <r>
      <rPr>
        <sz val="12"/>
        <color theme="1"/>
        <rFont val="Calibri"/>
        <family val="2"/>
        <scheme val="minor"/>
      </rPr>
      <t xml:space="preserve"> Jevnt over synes jeg det har vært akseptabel progressjon denne uken. En del av gruppemedlemmene har satt av tid for å prioritere en eksamen, noe som er greit. Regner med det blir satt av flere timer til prosjektet i den kommende uken. 
Det bør nevnes at utregningen av gjennomsnittlig arbeidstimer for denne uken ikke er helt presis. Et gruppemedlem benytter et wildcard denne uken og leverer ikke inn sin timeliste.Et annet gruppemedlem har jeg ikke klart å få noe timeliste av og har dermed ført opp null timer på han. Forventer uansett at gjennomsnittet økes fra og med neste uke.
Ellers føler jeg at jeg har taklet første uken som SCRUM-master fint. Kan  bli bedre på delegering/inndeling av oppgaver og har  vært noe sent ute med å informere om møter, men skal bli flinkere på dette  den kommende uken.</t>
    </r>
  </si>
  <si>
    <t>Total tid 
brukt denne uken:</t>
  </si>
  <si>
    <r>
      <t xml:space="preserve">Utvikling: </t>
    </r>
    <r>
      <rPr>
        <sz val="12"/>
        <color theme="1"/>
        <rFont val="Calibri"/>
        <family val="2"/>
        <scheme val="minor"/>
      </rPr>
      <t>Jobbing med standard mal</t>
    </r>
  </si>
  <si>
    <r>
      <t xml:space="preserve">Administrativt: </t>
    </r>
    <r>
      <rPr>
        <sz val="12"/>
        <color theme="1"/>
        <rFont val="Calibri"/>
        <family val="2"/>
        <scheme val="minor"/>
      </rPr>
      <t>Scrum-møte</t>
    </r>
  </si>
  <si>
    <r>
      <t xml:space="preserve">Utvikling: </t>
    </r>
    <r>
      <rPr>
        <sz val="12"/>
        <color theme="1"/>
        <rFont val="Calibri"/>
        <family val="2"/>
        <scheme val="minor"/>
      </rPr>
      <t>Gjennomgang av 'standard mal' for webområdene våre.</t>
    </r>
  </si>
  <si>
    <r>
      <rPr>
        <b/>
        <sz val="12"/>
        <color theme="1"/>
        <rFont val="Calibri"/>
        <family val="2"/>
        <scheme val="minor"/>
      </rPr>
      <t>Logg/Oppgaver:</t>
    </r>
    <r>
      <rPr>
        <sz val="12"/>
        <color theme="1"/>
        <rFont val="Calibri"/>
        <family val="2"/>
        <scheme val="minor"/>
      </rPr>
      <t xml:space="preserve"> Arbeid med product backlog, klargjøring av oppgaver til sprint 2 </t>
    </r>
  </si>
  <si>
    <r>
      <rPr>
        <b/>
        <sz val="12"/>
        <color theme="1"/>
        <rFont val="Calibri"/>
        <family val="2"/>
        <scheme val="minor"/>
      </rPr>
      <t>Logg/Oppgaver:</t>
    </r>
    <r>
      <rPr>
        <sz val="12"/>
        <color theme="1"/>
        <rFont val="Calibri"/>
        <family val="2"/>
        <scheme val="minor"/>
      </rPr>
      <t xml:space="preserve"> Arbeid med sprint/product backlog. Justering ifht oppdeling av oppgaver</t>
    </r>
  </si>
  <si>
    <r>
      <rPr>
        <b/>
        <sz val="12"/>
        <color theme="1"/>
        <rFont val="Calibri"/>
        <family val="2"/>
        <scheme val="minor"/>
      </rPr>
      <t xml:space="preserve">Logg/Oppgaver: </t>
    </r>
    <r>
      <rPr>
        <sz val="12"/>
        <color theme="1"/>
        <rFont val="Calibri"/>
        <family val="2"/>
        <scheme val="minor"/>
      </rPr>
      <t>Arbeid med timeliste, oppdatering av sammendrag</t>
    </r>
  </si>
  <si>
    <r>
      <rPr>
        <b/>
        <sz val="12"/>
        <color theme="1"/>
        <rFont val="Calibri"/>
        <family val="2"/>
        <scheme val="minor"/>
      </rPr>
      <t xml:space="preserve">Utvikling: </t>
    </r>
    <r>
      <rPr>
        <sz val="12"/>
        <color theme="1"/>
        <rFont val="Calibri"/>
        <family val="2"/>
        <scheme val="minor"/>
      </rPr>
      <t>Jobbing med footer i standard mal</t>
    </r>
  </si>
  <si>
    <r>
      <rPr>
        <b/>
        <sz val="12"/>
        <color theme="1"/>
        <rFont val="Calibri"/>
        <family val="2"/>
        <scheme val="minor"/>
      </rPr>
      <t>Logg/Oppgaver:</t>
    </r>
    <r>
      <rPr>
        <sz val="12"/>
        <color theme="1"/>
        <rFont val="Calibri"/>
        <family val="2"/>
        <scheme val="minor"/>
      </rPr>
      <t xml:space="preserve"> Arbeid med sprint backlog, legge sammen for hver aktivitet</t>
    </r>
  </si>
  <si>
    <r>
      <rPr>
        <b/>
        <sz val="12"/>
        <color theme="1"/>
        <rFont val="Calibri"/>
        <family val="2"/>
        <scheme val="minor"/>
      </rPr>
      <t xml:space="preserve">Administrativt: </t>
    </r>
    <r>
      <rPr>
        <sz val="12"/>
        <color theme="1"/>
        <rFont val="Calibri"/>
        <family val="2"/>
        <scheme val="minor"/>
      </rPr>
      <t>Scrum-møte</t>
    </r>
  </si>
  <si>
    <r>
      <rPr>
        <b/>
        <sz val="12"/>
        <color theme="1"/>
        <rFont val="Calibri"/>
        <family val="2"/>
        <scheme val="minor"/>
      </rPr>
      <t>Logg/Oppgaver:</t>
    </r>
    <r>
      <rPr>
        <sz val="12"/>
        <color theme="1"/>
        <rFont val="Calibri"/>
        <family val="2"/>
        <scheme val="minor"/>
      </rPr>
      <t xml:space="preserve"> Se over og gjøre endringer (der det trengs) på referatene fra møtene</t>
    </r>
  </si>
  <si>
    <r>
      <rPr>
        <b/>
        <sz val="12"/>
        <color theme="1"/>
        <rFont val="Calibri"/>
        <family val="2"/>
        <scheme val="minor"/>
      </rPr>
      <t>Logg/Oppgaver:</t>
    </r>
    <r>
      <rPr>
        <sz val="12"/>
        <color theme="1"/>
        <rFont val="Calibri"/>
        <family val="2"/>
        <scheme val="minor"/>
      </rPr>
      <t xml:space="preserve"> Oppdatere/se over fremdriftsplan</t>
    </r>
  </si>
  <si>
    <r>
      <rPr>
        <b/>
        <sz val="12"/>
        <color theme="1"/>
        <rFont val="Calibri"/>
        <family val="2"/>
        <scheme val="minor"/>
      </rPr>
      <t>Logg/Oppgaver:</t>
    </r>
    <r>
      <rPr>
        <sz val="12"/>
        <color theme="1"/>
        <rFont val="Calibri"/>
        <family val="2"/>
        <scheme val="minor"/>
      </rPr>
      <t xml:space="preserve"> Ferdigstilling av fremdrifts-plan så langt det har latt seg gjøre.</t>
    </r>
  </si>
  <si>
    <r>
      <rPr>
        <b/>
        <sz val="12"/>
        <color theme="1"/>
        <rFont val="Calibri"/>
        <family val="2"/>
        <scheme val="minor"/>
      </rPr>
      <t xml:space="preserve">Administrativt: </t>
    </r>
    <r>
      <rPr>
        <sz val="12"/>
        <color theme="1"/>
        <rFont val="Calibri"/>
        <family val="2"/>
        <scheme val="minor"/>
      </rPr>
      <t>Sprint review meeting</t>
    </r>
  </si>
  <si>
    <r>
      <t xml:space="preserve">Logg/Oppgaver: </t>
    </r>
    <r>
      <rPr>
        <sz val="12"/>
        <color theme="1"/>
        <rFont val="Calibri"/>
        <family val="2"/>
        <scheme val="minor"/>
      </rPr>
      <t>Klargjøring av dokumenter ifht. ferdigstilling av sprint 1</t>
    </r>
  </si>
  <si>
    <r>
      <t xml:space="preserve">Utvikling: </t>
    </r>
    <r>
      <rPr>
        <sz val="12"/>
        <color theme="1"/>
        <rFont val="Calibri"/>
        <family val="2"/>
        <scheme val="minor"/>
      </rPr>
      <t>Bidratt med feilsøking ifht. sammenkobling av front- og back end</t>
    </r>
  </si>
  <si>
    <r>
      <t xml:space="preserve">Logg/Oppgaver: </t>
    </r>
    <r>
      <rPr>
        <sz val="12"/>
        <color theme="1"/>
        <rFont val="Calibri"/>
        <family val="2"/>
        <scheme val="minor"/>
      </rPr>
      <t>Oppdatere timelisten.</t>
    </r>
  </si>
  <si>
    <r>
      <t>Logg/Oppgaver:</t>
    </r>
    <r>
      <rPr>
        <sz val="12"/>
        <color theme="1"/>
        <rFont val="Calibri"/>
        <family val="2"/>
        <scheme val="minor"/>
      </rPr>
      <t xml:space="preserve"> Lage ferdig utkast for Sprint Backlog 2</t>
    </r>
  </si>
  <si>
    <r>
      <t xml:space="preserve">Administrativt: </t>
    </r>
    <r>
      <rPr>
        <sz val="12"/>
        <color theme="1"/>
        <rFont val="Calibri"/>
        <family val="2"/>
        <scheme val="minor"/>
      </rPr>
      <t>Scrum meeting</t>
    </r>
  </si>
  <si>
    <r>
      <t xml:space="preserve">Logg/Oppgaver: </t>
    </r>
    <r>
      <rPr>
        <sz val="12"/>
        <color theme="1"/>
        <rFont val="Calibri"/>
        <family val="2"/>
        <scheme val="minor"/>
      </rPr>
      <t>Planning poker</t>
    </r>
  </si>
  <si>
    <r>
      <t>Logg/Oppgaver:</t>
    </r>
    <r>
      <rPr>
        <sz val="12"/>
        <color theme="1"/>
        <rFont val="Calibri"/>
        <family val="2"/>
        <scheme val="minor"/>
      </rPr>
      <t xml:space="preserve"> Skaffe oversikt over hva som gjenstår for Sprint 1.</t>
    </r>
  </si>
  <si>
    <r>
      <t>Logg/Oppgaver:</t>
    </r>
    <r>
      <rPr>
        <sz val="12"/>
        <color theme="1"/>
        <rFont val="Calibri"/>
        <family val="2"/>
        <scheme val="minor"/>
      </rPr>
      <t xml:space="preserve"> Sprint Retrospective</t>
    </r>
  </si>
  <si>
    <r>
      <t>Administrativt:</t>
    </r>
    <r>
      <rPr>
        <sz val="12"/>
        <color theme="1"/>
        <rFont val="Calibri"/>
        <family val="2"/>
        <scheme val="minor"/>
      </rPr>
      <t xml:space="preserve"> Siste møte i Sprint 1</t>
    </r>
  </si>
  <si>
    <r>
      <t>Logg/Oppgaver:</t>
    </r>
    <r>
      <rPr>
        <sz val="12"/>
        <color theme="1"/>
        <rFont val="Calibri"/>
        <family val="2"/>
        <scheme val="minor"/>
      </rPr>
      <t xml:space="preserve"> Ferdigstilling av timeliste</t>
    </r>
  </si>
  <si>
    <r>
      <rPr>
        <b/>
        <sz val="12"/>
        <color theme="1"/>
        <rFont val="Calibri"/>
        <family val="2"/>
        <scheme val="minor"/>
      </rPr>
      <t>Gjennomsnittlig arbeidstimer i prosjektet denne uken:</t>
    </r>
    <r>
      <rPr>
        <sz val="12"/>
        <color theme="1"/>
        <rFont val="Calibri"/>
        <family val="2"/>
        <scheme val="minor"/>
      </rPr>
      <t xml:space="preserve"> 15:08
</t>
    </r>
    <r>
      <rPr>
        <b/>
        <sz val="12"/>
        <color theme="1"/>
        <rFont val="Calibri"/>
        <family val="2"/>
        <scheme val="minor"/>
      </rPr>
      <t>Nye roller:</t>
    </r>
    <r>
      <rPr>
        <sz val="12"/>
        <color theme="1"/>
        <rFont val="Calibri"/>
        <family val="2"/>
        <scheme val="minor"/>
      </rPr>
      <t xml:space="preserve">
</t>
    </r>
    <r>
      <rPr>
        <b/>
        <sz val="12"/>
        <color theme="1"/>
        <rFont val="Calibri"/>
        <family val="2"/>
        <scheme val="minor"/>
      </rPr>
      <t>SCRUM-master i Sprint 2:</t>
    </r>
    <r>
      <rPr>
        <sz val="12"/>
        <color theme="1"/>
        <rFont val="Calibri"/>
        <family val="2"/>
        <scheme val="minor"/>
      </rPr>
      <t xml:space="preserve"> Eivind Blom Eriksen
</t>
    </r>
    <r>
      <rPr>
        <b/>
        <sz val="12"/>
        <color theme="1"/>
        <rFont val="Calibri"/>
        <family val="2"/>
        <scheme val="minor"/>
      </rPr>
      <t xml:space="preserve">Mandag: </t>
    </r>
    <r>
      <rPr>
        <sz val="12"/>
        <color theme="1"/>
        <rFont val="Calibri"/>
        <family val="2"/>
        <scheme val="minor"/>
      </rPr>
      <t xml:space="preserve">Har hatt møte hvor status ble kontrollert. Under møtet viste jeg frem hva jeg hadde jobbet med over helgen forrige uke. Det virket som om flere av medlemmene var overrasket over hva jeg hadde fått til, litt stolt av det. 
Etter endt møte gikk jeg sammen med frontend, hvor jeg gikk jeg mer i dybden, forklarte fremgangsmetode og hvordan det hele fungerer sammen. Oppgaver innad front end ble delegert, Joachim fortsetter der jeg slapp i forhold til standard mal. Eivind vil teste og undersøke kompabilitet med andre nettlesere og enheter. Jeg går over til å jobbe med product backlog og klargjøring/planlegging til/av sprint 2.
</t>
    </r>
    <r>
      <rPr>
        <b/>
        <sz val="12"/>
        <color theme="1"/>
        <rFont val="Calibri"/>
        <family val="2"/>
        <scheme val="minor"/>
      </rPr>
      <t>Tirsdag:</t>
    </r>
    <r>
      <rPr>
        <sz val="12"/>
        <color theme="1"/>
        <rFont val="Calibri"/>
        <family val="2"/>
        <scheme val="minor"/>
      </rPr>
      <t xml:space="preserve"> Fortsatte der jeg slapp i forhold til klargjøring til Sprint 2. Har lagt klart det som kan klargjøres før møte i morgen føler jeg. Utfordringene underveis med dette har primært vært å finne ut hvilke aktiviteter vi skal ta for oss under sprint 2. For meg virker de aktivitetene jeg har lagt inn nå mest naturlig i forhold til overgangen, men dette blir tatt opp og diskutert under et møte for å undersøke om alle er enige.
</t>
    </r>
    <r>
      <rPr>
        <b/>
        <sz val="12"/>
        <color theme="1"/>
        <rFont val="Calibri"/>
        <family val="2"/>
        <scheme val="minor"/>
      </rPr>
      <t>Onsdag:</t>
    </r>
    <r>
      <rPr>
        <sz val="12"/>
        <color theme="1"/>
        <rFont val="Calibri"/>
        <family val="2"/>
        <scheme val="minor"/>
      </rPr>
      <t xml:space="preserve"> Har hatt møte hvor vi gikk litt mer i dybden på hva den enkelte har gjort og hva de skal fortsette med frem mot innlevering av Sprint 1. Ettersom at de fleste oppgaver innafor Sprint 1 er ferdige eller begynner å nærme seg ferdig vil en del av gruppen begynne å jobbe med oppgaver fra Sprint 2. Under møte ble det også valgt ny SCRUM-master for Sprint 2, som vil være Eivind Blom Eriksen. Etter endt møte fortsatte jeg med det 'administrative' som trengs ved innlevering av Sprint 1. Dagen ble i stor grad benyttet til å oppdatere fremdriftsplan, logger, sprint og product backlog.
</t>
    </r>
    <r>
      <rPr>
        <b/>
        <sz val="12"/>
        <color theme="1"/>
        <rFont val="Calibri"/>
        <family val="2"/>
        <scheme val="minor"/>
      </rPr>
      <t>Torsdag:</t>
    </r>
    <r>
      <rPr>
        <sz val="12"/>
        <color theme="1"/>
        <rFont val="Calibri"/>
        <family val="2"/>
        <scheme val="minor"/>
      </rPr>
      <t xml:space="preserve"> Har hatt sprint review møte med PO hvor vi fikk muligheten til å presentere og snakke litt rundt om hvordan prosjektet har gått frem til nå. Dokumentasjon for dette møtet kommer frem av PO's loggføring. Ellers har jeg fortsatt med klargjøring av dokumenter som trengs til Sprint 1 ferdigstilling, da i hovedsak ved hjelp av oppgaveteksten for Sprint 1-3 på Canvas. Nå gjenstår i stor grad kun det å skrive 'logg' fra 'Sprint Retrospective' og kjøre en runde planning poker.
</t>
    </r>
    <r>
      <rPr>
        <b/>
        <sz val="12"/>
        <color theme="1"/>
        <rFont val="Calibri"/>
        <family val="2"/>
        <scheme val="minor"/>
      </rPr>
      <t>Fredag:</t>
    </r>
    <r>
      <rPr>
        <sz val="12"/>
        <color theme="1"/>
        <rFont val="Calibri"/>
        <family val="2"/>
        <scheme val="minor"/>
      </rPr>
      <t xml:space="preserve"> På fredag hadde vi som plan om å gjøre ferdig product / sprint backlog slik at vi kunne kjøre planning poker, men på grunn av forstyrrelser i form av montering av nye bord på klasserommet ble konsentrasjonen dårlig og vi valgte å avslutte møtet. Møtet og planning poker blir i steden flyttet til lørdag.
</t>
    </r>
    <r>
      <rPr>
        <b/>
        <sz val="12"/>
        <color theme="1"/>
        <rFont val="Calibri"/>
        <family val="2"/>
        <scheme val="minor"/>
      </rPr>
      <t>Lørdag:</t>
    </r>
    <r>
      <rPr>
        <sz val="12"/>
        <color theme="1"/>
        <rFont val="Calibri"/>
        <family val="2"/>
        <scheme val="minor"/>
      </rPr>
      <t xml:space="preserve"> I dag hadde vi som mål å ferdigstille Sprint 1 slik at vi kunne levere inn oppgaven på slutten av dagen. Blant annet har dagen bestått av sprint backlog, planning poker og sprint retrospective som alle var utfordrende. Planning poker var utfordrene i forhold til det å sette av estimerte verdier. For noen av aktivitetene var det splittende meninger om estimert tid, men tror grunnen til dette er at det ikke alltid er like lett å fastslå hva oppgavene innebærer. Da vil det være naturlig å nevne at vi gjorde endringer på oppsettet på sprint backlog, hvor målet var å splitte opp en user story i så mange mindre oppgaver vi klarte, der noen av disse var vanskeligere å splitte enn andre, som forhåpentligvis kommer frem av sprint backlog. Til slutt vil jeg nevne sprint retrospective som forøvrig var noe helt nytt for oss, som resulterte i at vi var usikre på hva dokumentet skulle inneholde, men ble avklart ganske kjapt etter litt research. 
</t>
    </r>
  </si>
  <si>
    <r>
      <rPr>
        <b/>
        <sz val="12"/>
        <color theme="1"/>
        <rFont val="Calibri"/>
        <family val="2"/>
        <scheme val="minor"/>
      </rPr>
      <t>Administrativt:</t>
    </r>
    <r>
      <rPr>
        <sz val="12"/>
        <color theme="1"/>
        <rFont val="Calibri"/>
        <family val="2"/>
        <scheme val="minor"/>
      </rPr>
      <t xml:space="preserve"> Scrum-meeting</t>
    </r>
  </si>
  <si>
    <r>
      <rPr>
        <b/>
        <sz val="12"/>
        <color theme="1"/>
        <rFont val="Calibri"/>
        <family val="2"/>
        <scheme val="minor"/>
      </rPr>
      <t xml:space="preserve">Administrativt: </t>
    </r>
    <r>
      <rPr>
        <sz val="12"/>
        <color theme="1"/>
        <rFont val="Calibri"/>
        <family val="2"/>
        <scheme val="minor"/>
      </rPr>
      <t>Restrukturering av mappestruktur.</t>
    </r>
  </si>
  <si>
    <r>
      <t xml:space="preserve">Utvikling: </t>
    </r>
    <r>
      <rPr>
        <sz val="12"/>
        <color theme="1"/>
        <rFont val="Calibri"/>
        <family val="2"/>
        <scheme val="minor"/>
      </rPr>
      <t>Arbeid med design ifht. oppretting av et emne</t>
    </r>
  </si>
  <si>
    <t>8.5</t>
  </si>
  <si>
    <r>
      <t xml:space="preserve">Utvikling: </t>
    </r>
    <r>
      <rPr>
        <sz val="12"/>
        <color theme="1"/>
        <rFont val="Calibri"/>
        <family val="2"/>
        <scheme val="minor"/>
      </rPr>
      <t>Arbeid med design ifht. forhåndsvisning av et ferdig emne</t>
    </r>
  </si>
  <si>
    <r>
      <rPr>
        <b/>
        <sz val="12"/>
        <color theme="1"/>
        <rFont val="Calibri"/>
        <family val="2"/>
        <scheme val="minor"/>
      </rPr>
      <t>Utvikling:</t>
    </r>
    <r>
      <rPr>
        <sz val="12"/>
        <color theme="1"/>
        <rFont val="Calibri"/>
        <family val="2"/>
        <scheme val="minor"/>
      </rPr>
      <t xml:space="preserve"> Arbeid med design ifht. oppretting og forhåndsvisning av et emne</t>
    </r>
  </si>
  <si>
    <r>
      <t xml:space="preserve">Logg/Oppgaver: </t>
    </r>
    <r>
      <rPr>
        <sz val="12"/>
        <color theme="1"/>
        <rFont val="Calibri"/>
        <family val="2"/>
        <scheme val="minor"/>
      </rPr>
      <t>Ferdigstilling av Sprint Zero</t>
    </r>
  </si>
  <si>
    <r>
      <t xml:space="preserve">Logg/Oppgaver: </t>
    </r>
    <r>
      <rPr>
        <sz val="12"/>
        <color theme="1"/>
        <rFont val="Calibri"/>
        <family val="2"/>
        <scheme val="minor"/>
      </rPr>
      <t>Ferdigstilling av timeliste</t>
    </r>
  </si>
  <si>
    <r>
      <t xml:space="preserve">Logg/Oppgaver: </t>
    </r>
    <r>
      <rPr>
        <sz val="12"/>
        <color theme="1"/>
        <rFont val="Calibri"/>
        <family val="2"/>
        <scheme val="minor"/>
      </rPr>
      <t>Oppgave om kategorier</t>
    </r>
  </si>
  <si>
    <r>
      <rPr>
        <b/>
        <sz val="12"/>
        <color theme="1"/>
        <rFont val="Calibri"/>
        <family val="2"/>
        <scheme val="minor"/>
      </rPr>
      <t xml:space="preserve">Roller:
SCRUM-master i Sprint 2: </t>
    </r>
    <r>
      <rPr>
        <sz val="12"/>
        <color theme="1"/>
        <rFont val="Calibri"/>
        <family val="2"/>
        <scheme val="minor"/>
      </rPr>
      <t>Eivind Blom Eriksen</t>
    </r>
    <r>
      <rPr>
        <b/>
        <sz val="12"/>
        <color theme="1"/>
        <rFont val="Calibri"/>
        <family val="2"/>
        <scheme val="minor"/>
      </rPr>
      <t xml:space="preserve">
Backend: </t>
    </r>
    <r>
      <rPr>
        <sz val="12"/>
        <color theme="1"/>
        <rFont val="Calibri"/>
        <family val="2"/>
        <scheme val="minor"/>
      </rPr>
      <t>Martin Mikalsen, Anders Rubach Ese, Adrian-Alexandru Chirita, Vegard Simonsen</t>
    </r>
    <r>
      <rPr>
        <b/>
        <sz val="12"/>
        <color theme="1"/>
        <rFont val="Calibri"/>
        <family val="2"/>
        <scheme val="minor"/>
      </rPr>
      <t xml:space="preserve"> 
Frontend: </t>
    </r>
    <r>
      <rPr>
        <sz val="12"/>
        <color theme="1"/>
        <rFont val="Calibri"/>
        <family val="2"/>
        <scheme val="minor"/>
      </rPr>
      <t>Joachim Kristensen, Alexander Hansen, Eivind Blom Eriksen</t>
    </r>
    <r>
      <rPr>
        <b/>
        <sz val="12"/>
        <color theme="1"/>
        <rFont val="Calibri"/>
        <family val="2"/>
        <scheme val="minor"/>
      </rPr>
      <t xml:space="preserve">
Mandag:</t>
    </r>
    <r>
      <rPr>
        <sz val="12"/>
        <color theme="1"/>
        <rFont val="Calibri"/>
        <family val="2"/>
        <scheme val="minor"/>
      </rPr>
      <t xml:space="preserve"> Hatt SCRUM-møte hvor status var tema og oppgaver fordelt i henhold til Sprint Backlog for Sprint 2.
</t>
    </r>
    <r>
      <rPr>
        <b/>
        <sz val="12"/>
        <color theme="1"/>
        <rFont val="Calibri"/>
        <family val="2"/>
        <scheme val="minor"/>
      </rPr>
      <t xml:space="preserve">
Onsdag: </t>
    </r>
    <r>
      <rPr>
        <sz val="12"/>
        <color theme="1"/>
        <rFont val="Calibri"/>
        <family val="2"/>
        <scheme val="minor"/>
      </rPr>
      <t xml:space="preserve">Hatt SCRUM-møte hvor status var tema etterfulgt av en nødvendig rydding i strukturen i prosjektet på OneDrive. Er fornøyd, og strukturen er mye ryddigere og enklere å manøvrere seg i. Oppryddingen vil mest sannsynlig være med på å spare oss tid.
</t>
    </r>
    <r>
      <rPr>
        <b/>
        <sz val="12"/>
        <color theme="1"/>
        <rFont val="Calibri"/>
        <family val="2"/>
        <scheme val="minor"/>
      </rPr>
      <t xml:space="preserve">
Torsdag:</t>
    </r>
    <r>
      <rPr>
        <sz val="12"/>
        <color theme="1"/>
        <rFont val="Calibri"/>
        <family val="2"/>
        <scheme val="minor"/>
      </rPr>
      <t xml:space="preserve"> Har satt i gang med arbeidet for hvordan oppretting av et emne skal se ut. Slet litt med å finne ut hvordan jeg skulle gå frem i forhold til utseende samt det å få skjemaet til å fungere responsivt slik at f.eks. tekstboksene kan justeres til ønsket størrelse uten at annet design 'forvrenges'.
</t>
    </r>
    <r>
      <rPr>
        <b/>
        <sz val="12"/>
        <color theme="1"/>
        <rFont val="Calibri"/>
        <family val="2"/>
        <scheme val="minor"/>
      </rPr>
      <t xml:space="preserve">
Fredag: </t>
    </r>
    <r>
      <rPr>
        <sz val="12"/>
        <color theme="1"/>
        <rFont val="Calibri"/>
        <family val="2"/>
        <scheme val="minor"/>
      </rPr>
      <t>Har benyttet tiden min i dag på å lage et slags skjema for forhåndsvisning av hvordan et emne vil se ut når det er ferdig. Mye av tiden gikk til research, men jeg klarte omsider å finne frem til riktig informasjon som hjalp meg med det å kunne vise et ferdig emne.</t>
    </r>
    <r>
      <rPr>
        <b/>
        <sz val="12"/>
        <color theme="1"/>
        <rFont val="Calibri"/>
        <family val="2"/>
        <scheme val="minor"/>
      </rPr>
      <t xml:space="preserve">
Lørdag: </t>
    </r>
    <r>
      <rPr>
        <sz val="12"/>
        <color theme="1"/>
        <rFont val="Calibri"/>
        <family val="2"/>
        <scheme val="minor"/>
      </rPr>
      <t>Har finpusset og lagt til flere felter i forhåndsvisningen av et ferdig emne, i tillegg til noen små endringer på navigasjonsbaren.</t>
    </r>
    <r>
      <rPr>
        <b/>
        <sz val="12"/>
        <color theme="1"/>
        <rFont val="Calibri"/>
        <family val="2"/>
        <scheme val="minor"/>
      </rPr>
      <t xml:space="preserve">
Søndag: </t>
    </r>
    <r>
      <rPr>
        <sz val="12"/>
        <color theme="1"/>
        <rFont val="Calibri"/>
        <family val="2"/>
        <scheme val="minor"/>
      </rPr>
      <t xml:space="preserve">Hatt et lite 'møte' i dag hvor vi ferdigstilte på samarbeidsavtale og andre småfeil vi hadde i forbindelse med Sprint Zero etter tilbakemelding fra faglærer.
</t>
    </r>
    <r>
      <rPr>
        <b/>
        <sz val="12"/>
        <color theme="1"/>
        <rFont val="Calibri"/>
        <family val="2"/>
        <scheme val="minor"/>
      </rPr>
      <t xml:space="preserve">
Generelt: </t>
    </r>
    <r>
      <rPr>
        <sz val="12"/>
        <color theme="1"/>
        <rFont val="Calibri"/>
        <family val="2"/>
        <scheme val="minor"/>
      </rPr>
      <t xml:space="preserve">Som en kan se av timelisten nådde jeg ikke helt opp til 12 timer denne uken, men så bør det nevnes at jeg har jobbet over 20 timer pr. uke de 3 siste ukene. Videre kan det nevnes at jeg føler jeg har fått gjort mye på kort tid i forhold til hva jeg har hatt av oppgaver denne uken.
</t>
    </r>
    <r>
      <rPr>
        <b/>
        <sz val="12"/>
        <color theme="1"/>
        <rFont val="Calibri"/>
        <family val="2"/>
        <scheme val="minor"/>
      </rPr>
      <t>Oppgave:</t>
    </r>
    <r>
      <rPr>
        <sz val="12"/>
        <color theme="1"/>
        <rFont val="Calibri"/>
        <family val="2"/>
        <scheme val="minor"/>
      </rPr>
      <t xml:space="preserve"> 
Da jeg laget timelisten valgte jeg de fire kategoriene </t>
    </r>
    <r>
      <rPr>
        <b/>
        <sz val="12"/>
        <color theme="1"/>
        <rFont val="Calibri"/>
        <family val="2"/>
        <scheme val="minor"/>
      </rPr>
      <t xml:space="preserve">teori, utvikling, administrativt </t>
    </r>
    <r>
      <rPr>
        <sz val="12"/>
        <color theme="1"/>
        <rFont val="Calibri"/>
        <family val="2"/>
        <scheme val="minor"/>
      </rPr>
      <t>og</t>
    </r>
    <r>
      <rPr>
        <b/>
        <sz val="12"/>
        <color theme="1"/>
        <rFont val="Calibri"/>
        <family val="2"/>
        <scheme val="minor"/>
      </rPr>
      <t xml:space="preserve"> logg/oppgaver</t>
    </r>
    <r>
      <rPr>
        <sz val="12"/>
        <color theme="1"/>
        <rFont val="Calibri"/>
        <family val="2"/>
        <scheme val="minor"/>
      </rPr>
      <t xml:space="preserve"> basert (i hovedsak) på timelisten vist frem under forelesning. Til å starte med, før prosjektet ble utlevert, passet nok verken kategorien utvikling eller administrativt spesielt godt inn. Men jeg lot bare kategoriene stå siden vi før eller siden ville ha behov for dem. Etter at prosjektet ble utlevert og Sprint Zero, 1 og 2 ble satt i gang har man fått mer bruk for alle kategoriene, noen mer enn andre, men jeg føler allikevel ikke noe behov for å legge til, endre eller fjerne noen, da de utfyller arbeidsoppgavene innad denne typen prosjekt ganske godt.</t>
    </r>
  </si>
  <si>
    <r>
      <t xml:space="preserve">Administrativt: </t>
    </r>
    <r>
      <rPr>
        <sz val="12"/>
        <color theme="1"/>
        <rFont val="Calibri"/>
        <family val="2"/>
        <scheme val="minor"/>
      </rPr>
      <t>Scrum-meeting</t>
    </r>
  </si>
  <si>
    <r>
      <t xml:space="preserve">Utvikling: </t>
    </r>
    <r>
      <rPr>
        <sz val="12"/>
        <color theme="1"/>
        <rFont val="Calibri"/>
        <family val="2"/>
        <scheme val="minor"/>
      </rPr>
      <t>Omstrukturering på skjema</t>
    </r>
    <r>
      <rPr>
        <b/>
        <sz val="12"/>
        <color theme="1"/>
        <rFont val="Calibri"/>
        <family val="2"/>
        <scheme val="minor"/>
      </rPr>
      <t xml:space="preserve"> </t>
    </r>
    <r>
      <rPr>
        <sz val="12"/>
        <color theme="1"/>
        <rFont val="Calibri"/>
        <family val="2"/>
        <scheme val="minor"/>
      </rPr>
      <t>for emnebeskrivelser</t>
    </r>
  </si>
  <si>
    <r>
      <t xml:space="preserve">Utvikling: </t>
    </r>
    <r>
      <rPr>
        <sz val="12"/>
        <color theme="1"/>
        <rFont val="Calibri"/>
        <family val="2"/>
        <scheme val="minor"/>
      </rPr>
      <t>Omstrukturering på skjema for emnebeskrivelser</t>
    </r>
  </si>
  <si>
    <r>
      <t xml:space="preserve">Logg/Oppgaver: </t>
    </r>
    <r>
      <rPr>
        <sz val="12"/>
        <color theme="1"/>
        <rFont val="Calibri"/>
        <family val="2"/>
        <scheme val="minor"/>
      </rPr>
      <t>Oppdatering av oppsummering</t>
    </r>
  </si>
  <si>
    <r>
      <rPr>
        <b/>
        <sz val="12"/>
        <color theme="1"/>
        <rFont val="Calibri"/>
        <family val="2"/>
        <scheme val="minor"/>
      </rPr>
      <t xml:space="preserve">Utvikling: </t>
    </r>
    <r>
      <rPr>
        <sz val="12"/>
        <color theme="1"/>
        <rFont val="Calibri"/>
        <family val="2"/>
        <scheme val="minor"/>
      </rPr>
      <t>Begynnelse på å lage knapper for 'opprett emne' og 'vis alle emner'.</t>
    </r>
  </si>
  <si>
    <t>8.1</t>
  </si>
  <si>
    <r>
      <rPr>
        <b/>
        <sz val="12"/>
        <color theme="1"/>
        <rFont val="Calibri"/>
        <family val="2"/>
        <scheme val="minor"/>
      </rPr>
      <t xml:space="preserve">Utvikling: </t>
    </r>
    <r>
      <rPr>
        <sz val="12"/>
        <color theme="1"/>
        <rFont val="Calibri"/>
        <family val="2"/>
        <scheme val="minor"/>
      </rPr>
      <t>Fortsettelse på design/funksjonalitet av knappene til 'opprett emne' og 'vis alle emner'.</t>
    </r>
  </si>
  <si>
    <r>
      <rPr>
        <b/>
        <sz val="12"/>
        <color theme="1"/>
        <rFont val="Calibri"/>
        <family val="2"/>
        <scheme val="minor"/>
      </rPr>
      <t>Utvikling:</t>
    </r>
    <r>
      <rPr>
        <sz val="12"/>
        <color theme="1"/>
        <rFont val="Calibri"/>
        <family val="2"/>
        <scheme val="minor"/>
      </rPr>
      <t xml:space="preserve"> Tilrettelegging for implementering av front-end i back-end</t>
    </r>
  </si>
  <si>
    <r>
      <rPr>
        <b/>
        <sz val="12"/>
        <color theme="1"/>
        <rFont val="Calibri"/>
        <family val="2"/>
        <scheme val="minor"/>
      </rPr>
      <t>Utvikling:</t>
    </r>
    <r>
      <rPr>
        <sz val="12"/>
        <color theme="1"/>
        <rFont val="Calibri"/>
        <family val="2"/>
        <scheme val="minor"/>
      </rPr>
      <t xml:space="preserve"> Små endringer og opprydding i litt 'kode' på front-end.</t>
    </r>
  </si>
  <si>
    <r>
      <rPr>
        <b/>
        <sz val="12"/>
        <color theme="1"/>
        <rFont val="Calibri"/>
        <family val="2"/>
        <scheme val="minor"/>
      </rPr>
      <t>Teori:</t>
    </r>
    <r>
      <rPr>
        <sz val="12"/>
        <color theme="1"/>
        <rFont val="Calibri"/>
        <family val="2"/>
        <scheme val="minor"/>
      </rPr>
      <t xml:space="preserve"> Sett videoer / lest meg opp på informasjon om JavaScript. </t>
    </r>
  </si>
  <si>
    <r>
      <t xml:space="preserve">Utvikling: </t>
    </r>
    <r>
      <rPr>
        <sz val="12"/>
        <color theme="1"/>
        <rFont val="Calibri"/>
        <family val="2"/>
        <scheme val="minor"/>
      </rPr>
      <t>Finpussing på hvordan innhold ved avhuking av 'Nettbasert' presenteres.</t>
    </r>
  </si>
  <si>
    <t>8.3</t>
  </si>
  <si>
    <r>
      <t xml:space="preserve">Utvikling: </t>
    </r>
    <r>
      <rPr>
        <sz val="12"/>
        <color theme="1"/>
        <rFont val="Calibri"/>
        <family val="2"/>
        <scheme val="minor"/>
      </rPr>
      <t>Laget JavaScript-metode for å vise/skjule innhold basert på input i checkbox samt unchecking av underliggende checkboxer.</t>
    </r>
  </si>
  <si>
    <r>
      <rPr>
        <b/>
        <sz val="12"/>
        <color theme="1"/>
        <rFont val="Calibri"/>
        <family val="2"/>
        <scheme val="minor"/>
      </rPr>
      <t>Logg/Oppgaver:</t>
    </r>
    <r>
      <rPr>
        <sz val="12"/>
        <color theme="1"/>
        <rFont val="Calibri"/>
        <family val="2"/>
        <scheme val="minor"/>
      </rPr>
      <t xml:space="preserve"> Oppdatering av oppsummering</t>
    </r>
  </si>
  <si>
    <r>
      <t>Logg/Oppgaver:</t>
    </r>
    <r>
      <rPr>
        <sz val="12"/>
        <color theme="1"/>
        <rFont val="Calibri"/>
        <family val="2"/>
        <scheme val="minor"/>
      </rPr>
      <t xml:space="preserve"> Gjennomgang og oppdatering av Sprint 2 backlog.</t>
    </r>
  </si>
  <si>
    <r>
      <t xml:space="preserve">Logg/Oppgaver: </t>
    </r>
    <r>
      <rPr>
        <sz val="12"/>
        <color theme="1"/>
        <rFont val="Calibri"/>
        <family val="2"/>
        <scheme val="minor"/>
      </rPr>
      <t>Lage møteinnkalling</t>
    </r>
    <r>
      <rPr>
        <b/>
        <sz val="12"/>
        <color theme="1"/>
        <rFont val="Calibri"/>
        <family val="2"/>
        <scheme val="minor"/>
      </rPr>
      <t xml:space="preserve"> </t>
    </r>
    <r>
      <rPr>
        <sz val="12"/>
        <color theme="1"/>
        <rFont val="Calibri"/>
        <family val="2"/>
        <scheme val="minor"/>
      </rPr>
      <t>i plenum</t>
    </r>
  </si>
  <si>
    <r>
      <t>Uvikling:</t>
    </r>
    <r>
      <rPr>
        <sz val="12"/>
        <color theme="1"/>
        <rFont val="Calibri"/>
        <family val="2"/>
        <scheme val="minor"/>
      </rPr>
      <t xml:space="preserve"> Gjort endringer i forhold til navn og rekkefølge på attributter på elementer i oppretteEmne.twig. </t>
    </r>
  </si>
  <si>
    <r>
      <t xml:space="preserve">Utvikling: </t>
    </r>
    <r>
      <rPr>
        <sz val="12"/>
        <color theme="1"/>
        <rFont val="Calibri"/>
        <family val="2"/>
        <scheme val="minor"/>
      </rPr>
      <t>Pushet og slått sammen front-end og back-end.</t>
    </r>
  </si>
  <si>
    <r>
      <t xml:space="preserve">Utvikling: </t>
    </r>
    <r>
      <rPr>
        <sz val="12"/>
        <color theme="1"/>
        <rFont val="Calibri"/>
        <family val="2"/>
        <scheme val="minor"/>
      </rPr>
      <t>Har skrevet JS-kode for å sjekke at minst en checkbox er markert innenfor de ulike elementene.</t>
    </r>
  </si>
  <si>
    <r>
      <t xml:space="preserve">Utvikling: </t>
    </r>
    <r>
      <rPr>
        <sz val="12"/>
        <color theme="1"/>
        <rFont val="Calibri"/>
        <family val="2"/>
        <scheme val="minor"/>
      </rPr>
      <t>Sett over Vegard sin kode i plenum for å prøve å lokalisere en feil</t>
    </r>
    <r>
      <rPr>
        <b/>
        <sz val="12"/>
        <color theme="1"/>
        <rFont val="Calibri"/>
        <family val="2"/>
        <scheme val="minor"/>
      </rPr>
      <t xml:space="preserve">. </t>
    </r>
    <r>
      <rPr>
        <sz val="12"/>
        <color theme="1"/>
        <rFont val="Calibri"/>
        <family val="2"/>
        <scheme val="minor"/>
      </rPr>
      <t>Feilen viste seg å være forårsaket av en skriveleif.</t>
    </r>
  </si>
  <si>
    <r>
      <t xml:space="preserve">Logg/Oppgaver: </t>
    </r>
    <r>
      <rPr>
        <sz val="12"/>
        <color theme="1"/>
        <rFont val="Calibri"/>
        <family val="2"/>
        <scheme val="minor"/>
      </rPr>
      <t>Begynnelse på ferdigstilling av fremdriftsplan og sprint backlog 3.</t>
    </r>
  </si>
  <si>
    <r>
      <t xml:space="preserve">Logg/Oppgaver: </t>
    </r>
    <r>
      <rPr>
        <sz val="12"/>
        <color theme="1"/>
        <rFont val="Calibri"/>
        <family val="2"/>
        <scheme val="minor"/>
      </rPr>
      <t>Fullføring Sprint 3 Backlog.</t>
    </r>
  </si>
  <si>
    <r>
      <t xml:space="preserve">Logg/Oppgaver: </t>
    </r>
    <r>
      <rPr>
        <sz val="12"/>
        <color theme="1"/>
        <rFont val="Calibri"/>
        <family val="2"/>
        <scheme val="minor"/>
      </rPr>
      <t>Ferdigstilling resterende Sprint 2 dokumenter.</t>
    </r>
  </si>
  <si>
    <r>
      <t xml:space="preserve">Nye roller:
SCRUM-master for neste sprint: </t>
    </r>
    <r>
      <rPr>
        <sz val="12"/>
        <color theme="1"/>
        <rFont val="Calibri"/>
        <family val="2"/>
        <scheme val="minor"/>
      </rPr>
      <t>Anders Rubach Ese</t>
    </r>
    <r>
      <rPr>
        <b/>
        <sz val="12"/>
        <color theme="1"/>
        <rFont val="Calibri"/>
        <family val="2"/>
        <scheme val="minor"/>
      </rPr>
      <t xml:space="preserve">
Roller:
SCRUM-master i Sprint 2: </t>
    </r>
    <r>
      <rPr>
        <sz val="12"/>
        <color theme="1"/>
        <rFont val="Calibri"/>
        <family val="2"/>
        <scheme val="minor"/>
      </rPr>
      <t>Eivind Blom Eriksen</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Frontend: </t>
    </r>
    <r>
      <rPr>
        <sz val="12"/>
        <color theme="1"/>
        <rFont val="Calibri"/>
        <family val="2"/>
        <scheme val="minor"/>
      </rPr>
      <t xml:space="preserve">Joachim Kristensen, Alexander Hansen, Eivind Blom Eriksen
</t>
    </r>
    <r>
      <rPr>
        <b/>
        <sz val="12"/>
        <color theme="1"/>
        <rFont val="Calibri"/>
        <family val="2"/>
        <scheme val="minor"/>
      </rPr>
      <t xml:space="preserve">
Mandag: </t>
    </r>
    <r>
      <rPr>
        <sz val="12"/>
        <color theme="1"/>
        <rFont val="Calibri"/>
        <family val="2"/>
        <scheme val="minor"/>
      </rPr>
      <t>Har i plenum gått gjennom tilbakemelding på Sprint 1, og vi synes det var greie tilbakemeldinger som vi vil ta til etterretning og ordne i forbindelse ved ferdigstilling/innlevering av Sprint 2. Videre kjørte vi på med en statussjekk for å avklare hvor den enkelte var ifht. sine oppgaver. Foreløpig</t>
    </r>
    <r>
      <rPr>
        <b/>
        <sz val="12"/>
        <color theme="1"/>
        <rFont val="Calibri"/>
        <family val="2"/>
        <scheme val="minor"/>
      </rPr>
      <t xml:space="preserve"> </t>
    </r>
    <r>
      <rPr>
        <sz val="12"/>
        <color theme="1"/>
        <rFont val="Calibri"/>
        <family val="2"/>
        <scheme val="minor"/>
      </rPr>
      <t>virker</t>
    </r>
    <r>
      <rPr>
        <b/>
        <sz val="12"/>
        <color theme="1"/>
        <rFont val="Calibri"/>
        <family val="2"/>
        <scheme val="minor"/>
      </rPr>
      <t xml:space="preserve"> </t>
    </r>
    <r>
      <rPr>
        <sz val="12"/>
        <color theme="1"/>
        <rFont val="Calibri"/>
        <family val="2"/>
        <scheme val="minor"/>
      </rPr>
      <t xml:space="preserve">det som om vi ligger litt bak ifht skjemaet, noe som ikke er spesielt bra, men jeg tror og håper det vil 'flate' seg ut mot slutten av uken.
Etter endt møte tok jeg tak i skjemaet som skal brukes ved opprettelse av et emne/emnebeskrivelse å begynte med endringer på oppsettet etter diskusjon innad gruppen. Planen er å konvertere en del av feltene til checkboxes, radio-knapper, og 'dropdown-menyer' hvor det føles hensiktsmessig. Underveis har jeg hatt en del problemer med plassering av elementer, slik at jeg ble nødt til å titte nærmere på grid-systemet som er innebygd i Bootstrap-stilarket.
</t>
    </r>
    <r>
      <rPr>
        <b/>
        <sz val="12"/>
        <color theme="1"/>
        <rFont val="Calibri"/>
        <family val="2"/>
        <scheme val="minor"/>
      </rPr>
      <t>Tirsdag:</t>
    </r>
    <r>
      <rPr>
        <sz val="12"/>
        <color theme="1"/>
        <rFont val="Calibri"/>
        <family val="2"/>
        <scheme val="minor"/>
      </rPr>
      <t xml:space="preserve"> Har fortsatt restruktureringen av skjemaet for opprettelse av emnebeskrivelse og begynner å nærme meg et mer ferdig resultat. Basert på respons fra gruppen ser det greit ut, men personlig er jeg ikke helt fornøyd med alt. Eksempelvis kan det nevnes at jeg ikke er fornøyd med hvordan plasseringen av elementet forvrenges når det krysses av for at emnet er nettbasert. Videre må nok noen av elementene flyttes litt om på, da noen passer bedre sammen enn andre, som vil resultere i at hele skjemaet oppleves ryddigere.</t>
    </r>
    <r>
      <rPr>
        <b/>
        <sz val="12"/>
        <color theme="1"/>
        <rFont val="Calibri"/>
        <family val="2"/>
        <scheme val="minor"/>
      </rPr>
      <t xml:space="preserve">
Onsdag:</t>
    </r>
    <r>
      <rPr>
        <sz val="12"/>
        <color theme="1"/>
        <rFont val="Calibri"/>
        <family val="2"/>
        <scheme val="minor"/>
      </rPr>
      <t xml:space="preserve"> Har hatt scrum-meeting med diskusjon og fremvisning om/av det hver av oss har gjort. Etter møtet fortsatte jeg på design og funksjonalitet for knappene til 'opprett et emne' og 'vis alle emner'. Jeg har latt meg inspirere litt av knappene brukt på Canvas og design vil være deretter. Fornøyd med det jeg har fått til sålangt, men litt arbeid gjenstår enda før jeg sier meg 'ferdig'. Etterfulgt av dette ble jeg og back-end-teamet enig om å slå sammen det jeg har gjort i front-end, med back-end. Tanken er at vi skal begynne å teste oppretting av emner så snart back-end er klare for dette. Jeg regner med jeg må gjøre enda flere tilpasninger slik at data mottas korrekt på back-end sin side.
</t>
    </r>
    <r>
      <rPr>
        <b/>
        <sz val="12"/>
        <color theme="1"/>
        <rFont val="Calibri"/>
        <family val="2"/>
        <scheme val="minor"/>
      </rPr>
      <t>Torsdag:</t>
    </r>
    <r>
      <rPr>
        <sz val="12"/>
        <color theme="1"/>
        <rFont val="Calibri"/>
        <family val="2"/>
        <scheme val="minor"/>
      </rPr>
      <t xml:space="preserve"> I dag startet jeg dagen med å rydde litt opp i 'koden' jeg har jobbet med. Blant annet har jeg gjort endringer på navn og ID'er der det føltes hensiktsmessig, noen klasser er fjernet fra enkelte elementer hvor det rett og slett ikke var behov for disse.</t>
    </r>
    <r>
      <rPr>
        <b/>
        <sz val="12"/>
        <color theme="1"/>
        <rFont val="Calibri"/>
        <family val="2"/>
        <scheme val="minor"/>
      </rPr>
      <t xml:space="preserve"> </t>
    </r>
    <r>
      <rPr>
        <sz val="12"/>
        <color theme="1"/>
        <rFont val="Calibri"/>
        <family val="2"/>
        <scheme val="minor"/>
      </rPr>
      <t>For å ferdigstille 'opprett et emne' - siden har jeg lagt til en metode som tar seg av å vise/skjule et element basert på om en boks er avhuket eller ikke. Her hadde jeg også behov for å legge til noe funksjonalitet som rett og slett fjernet avkrysningene på boksene innad elementet, som jeg etter litt research føler jeg har klart å løse.</t>
    </r>
    <r>
      <rPr>
        <b/>
        <sz val="12"/>
        <color theme="1"/>
        <rFont val="Calibri"/>
        <family val="2"/>
        <scheme val="minor"/>
      </rPr>
      <t xml:space="preserve"> </t>
    </r>
    <r>
      <rPr>
        <sz val="12"/>
        <color theme="1"/>
        <rFont val="Calibri"/>
        <family val="2"/>
        <scheme val="minor"/>
      </rPr>
      <t>Her kan det nevnes at jeg kanskje ikke har løst dette på den mest elegante måten, men i og med at JavaScript er nytt for meg har jeg behov for å ta det i litt mindre steg og eventuelt gjøre endringer på koden ved et senere tidspunkt.</t>
    </r>
    <r>
      <rPr>
        <b/>
        <sz val="12"/>
        <color theme="1"/>
        <rFont val="Calibri"/>
        <family val="2"/>
        <scheme val="minor"/>
      </rPr>
      <t xml:space="preserve">
Fredag: </t>
    </r>
    <r>
      <rPr>
        <sz val="12"/>
        <color theme="1"/>
        <rFont val="Calibri"/>
        <family val="2"/>
        <scheme val="minor"/>
      </rPr>
      <t xml:space="preserve">Har hatt scrum-meeting hvor vi som vanlig viste hva vi hadde jobbet med siden forrige møte. Etter endt møte så vi over Sprint 2 backlog hvor vi oppdaterte status på aktiviteter hvor det var nødvendig. Her ble vi nødt til å dele opp et allerede eksisterende item (10.1) da vi følte beskrivelsen for oppgaven var litt for vag.
</t>
    </r>
    <r>
      <rPr>
        <b/>
        <sz val="12"/>
        <color theme="1"/>
        <rFont val="Calibri"/>
        <family val="2"/>
        <scheme val="minor"/>
      </rPr>
      <t>Lørdag:</t>
    </r>
    <r>
      <rPr>
        <sz val="12"/>
        <color theme="1"/>
        <rFont val="Calibri"/>
        <family val="2"/>
        <scheme val="minor"/>
      </rPr>
      <t xml:space="preserve"> Har i dag implementert en metode, samt justeringer i andre metoder (hvor det føltes nødvendig) for å få på plass funksjonalitet som sjekker om at minst en checkbox er huket av innenfor hvert element med checkboxer. I stor grad var dette veldig enkelt å implementere, men hadde utfordringer i forhold til det å implementere funksjonalitet som sjekket om 'nettbasert' var huket av for å så gjøre en ny sjekk på om et nettstudent-tilbud var huket av. Forøvrig så høres det ganske enkelt ut når jeg skriver det ned, men realiteten er at jeg forsøkte å løse dette på en mer elegant måte enn nåværende løsning, som resulterte i at jeg sikkert brukte mer tid enn nødvendig. I og med at jeg ikke er helt fornøyd, vil jeg antakeligvis komme tilbake til koden ved en senere anledning.
</t>
    </r>
    <r>
      <rPr>
        <b/>
        <sz val="12"/>
        <color theme="1"/>
        <rFont val="Calibri"/>
        <family val="2"/>
        <scheme val="minor"/>
      </rPr>
      <t xml:space="preserve">Søndag: </t>
    </r>
    <r>
      <rPr>
        <sz val="12"/>
        <color theme="1"/>
        <rFont val="Calibri"/>
        <family val="2"/>
        <scheme val="minor"/>
      </rPr>
      <t xml:space="preserve">Til å starte dagen begynte vi med scrum-møte bare for en kjapp oppdatering på fremgang. Det viste seg at vi mest sannsynlig ikke ville klare å bli ferdig med alle aktiviteter før innlevering, og har dermed lagt fokuset over på ferdigstilling av diverse dokumenter i dag. Etter møtet hadde Vegard behov for litt assistanse for å lokalisere en feil i kode som forhindret progressjon, etter litt om og men klarte vi å finne feilen som viste seg å være en skriveleif. Etterpå gikk jeg og Eivind sammen for å begynne ferdigstilling på noen av dokumentene mens andre fortsatte smått med utvikling. Planen var å bli tidlig ferdig med sprint 3 backlog slik at vi kunne kjøre planning poker tidligst mulig. Slik ble det dessverre ikke da det å ferdigstille Sprint 3 Backlog både var tidskrevende og utfordrene i forhold til oppdeling. Når vi nærmet oss slutten på dagen merket jeg at flere på teamet virket slitne og at progressjon muligens kunne vært bedre enn den var, men alle hengte i for å kunne nå fristen for å levere sprinten.
</t>
    </r>
  </si>
  <si>
    <r>
      <t xml:space="preserve">Administratitvt: </t>
    </r>
    <r>
      <rPr>
        <sz val="12"/>
        <color theme="1"/>
        <rFont val="Calibri"/>
        <family val="2"/>
        <scheme val="minor"/>
      </rPr>
      <t>Scrum-møte</t>
    </r>
  </si>
  <si>
    <r>
      <t xml:space="preserve">Utvikling: </t>
    </r>
    <r>
      <rPr>
        <sz val="12"/>
        <color theme="1"/>
        <rFont val="Calibri"/>
        <family val="2"/>
        <scheme val="minor"/>
      </rPr>
      <t>Laget templates og skripts for administrering og emner til godkjenning</t>
    </r>
  </si>
  <si>
    <r>
      <t xml:space="preserve">Utvikling: </t>
    </r>
    <r>
      <rPr>
        <sz val="12"/>
        <color theme="1"/>
        <rFont val="Calibri"/>
        <family val="2"/>
        <scheme val="minor"/>
      </rPr>
      <t>Laget et kjapt utkast til emner til godkjenning</t>
    </r>
  </si>
  <si>
    <t>17.1</t>
  </si>
  <si>
    <r>
      <t xml:space="preserve">Utvikling: </t>
    </r>
    <r>
      <rPr>
        <sz val="12"/>
        <color theme="1"/>
        <rFont val="Calibri"/>
        <family val="2"/>
        <scheme val="minor"/>
      </rPr>
      <t>Gjennomgang/utfylling av nødvendig informasjon for å få tilgang til Feide's data.</t>
    </r>
  </si>
  <si>
    <r>
      <t xml:space="preserve">Utvikling: </t>
    </r>
    <r>
      <rPr>
        <sz val="12"/>
        <color theme="1"/>
        <rFont val="Calibri"/>
        <family val="2"/>
        <scheme val="minor"/>
      </rPr>
      <t>Lagt til midlertidig kode for å iterere gjennom emner for å sjekke godkjennings-status.</t>
    </r>
  </si>
  <si>
    <r>
      <rPr>
        <b/>
        <sz val="12"/>
        <color theme="1"/>
        <rFont val="Calibri"/>
        <family val="2"/>
        <scheme val="minor"/>
      </rPr>
      <t>Utvikling:</t>
    </r>
    <r>
      <rPr>
        <sz val="12"/>
        <color theme="1"/>
        <rFont val="Calibri"/>
        <family val="2"/>
        <scheme val="minor"/>
      </rPr>
      <t xml:space="preserve"> Lagt til 'semester år' og 'læringsformer og aktiviteter' felter i skjemaet for opprettelse av emne.</t>
    </r>
  </si>
  <si>
    <r>
      <rPr>
        <b/>
        <sz val="12"/>
        <color theme="1"/>
        <rFont val="Calibri"/>
        <family val="2"/>
        <scheme val="minor"/>
      </rPr>
      <t xml:space="preserve">Teori: </t>
    </r>
    <r>
      <rPr>
        <sz val="12"/>
        <color theme="1"/>
        <rFont val="Calibri"/>
        <family val="2"/>
        <scheme val="minor"/>
      </rPr>
      <t>Gjort research ifht. implementering av en sjekk som spytter inn klasser i HTML basert på godkjenningsstatus. Trenger nok mer research.</t>
    </r>
  </si>
  <si>
    <r>
      <rPr>
        <b/>
        <sz val="12"/>
        <color theme="1"/>
        <rFont val="Calibri"/>
        <family val="2"/>
        <scheme val="minor"/>
      </rPr>
      <t>Utvikling:</t>
    </r>
    <r>
      <rPr>
        <sz val="12"/>
        <color theme="1"/>
        <rFont val="Calibri"/>
        <family val="2"/>
        <scheme val="minor"/>
      </rPr>
      <t xml:space="preserve"> Fått litt hjelp av Joachim til forklaring av syntaks i PHP og innhenting av nødvendig data for emneStatus.twig.</t>
    </r>
  </si>
  <si>
    <r>
      <rPr>
        <b/>
        <sz val="12"/>
        <color theme="1"/>
        <rFont val="Calibri"/>
        <family val="2"/>
        <scheme val="minor"/>
      </rPr>
      <t>Utvikling:</t>
    </r>
    <r>
      <rPr>
        <sz val="12"/>
        <color theme="1"/>
        <rFont val="Calibri"/>
        <family val="2"/>
        <scheme val="minor"/>
      </rPr>
      <t xml:space="preserve"> Lagt til unike name-variabler i oppretteEmne.twig for å tilrettelegge for back-end.</t>
    </r>
  </si>
  <si>
    <r>
      <rPr>
        <b/>
        <sz val="12"/>
        <color theme="1"/>
        <rFont val="Calibri"/>
        <family val="2"/>
        <scheme val="minor"/>
      </rPr>
      <t>Logg/Oppgaver:</t>
    </r>
    <r>
      <rPr>
        <sz val="12"/>
        <color theme="1"/>
        <rFont val="Calibri"/>
        <family val="2"/>
        <scheme val="minor"/>
      </rPr>
      <t xml:space="preserve"> Oppdatering av timeliste</t>
    </r>
  </si>
  <si>
    <r>
      <rPr>
        <b/>
        <sz val="12"/>
        <color theme="1"/>
        <rFont val="Calibri"/>
        <family val="2"/>
        <scheme val="minor"/>
      </rPr>
      <t>Utvikling</t>
    </r>
    <r>
      <rPr>
        <sz val="12"/>
        <color theme="1"/>
        <rFont val="Calibri"/>
        <family val="2"/>
        <scheme val="minor"/>
      </rPr>
      <t>: Feilsøk ifht. hvorfor emner ikke spyttes ut ved iterering gjennom de.</t>
    </r>
  </si>
  <si>
    <r>
      <t xml:space="preserve">Utvikling: </t>
    </r>
    <r>
      <rPr>
        <sz val="12"/>
        <color theme="1"/>
        <rFont val="Calibri"/>
        <family val="2"/>
        <scheme val="minor"/>
      </rPr>
      <t>Har samarbeidet med Joachim og utforming av et spørsmål (på StackOverflow) ifht. et problem vi har møtt på.</t>
    </r>
  </si>
  <si>
    <r>
      <t xml:space="preserve">Utvikling: </t>
    </r>
    <r>
      <rPr>
        <sz val="12"/>
        <color theme="1"/>
        <rFont val="Calibri"/>
        <family val="2"/>
        <scheme val="minor"/>
      </rPr>
      <t>Feilsøking sammen med Joachim ifht. hvordan en skal iterere gjennom emnene i databasen.</t>
    </r>
  </si>
  <si>
    <r>
      <t xml:space="preserve">Roller:
SCRUM-master i Sprint 3: </t>
    </r>
    <r>
      <rPr>
        <sz val="12"/>
        <color theme="1"/>
        <rFont val="Calibri"/>
        <family val="2"/>
        <scheme val="minor"/>
      </rPr>
      <t>Anders Rubach Ese</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Frontend: </t>
    </r>
    <r>
      <rPr>
        <sz val="12"/>
        <color theme="1"/>
        <rFont val="Calibri"/>
        <family val="2"/>
        <scheme val="minor"/>
      </rPr>
      <t xml:space="preserve">Joachim Kristensen, Alexander Hansen, Eivind Blom Eriksen
</t>
    </r>
    <r>
      <rPr>
        <b/>
        <sz val="12"/>
        <color theme="1"/>
        <rFont val="Calibri"/>
        <family val="2"/>
        <scheme val="minor"/>
      </rPr>
      <t xml:space="preserve">
Onsdag: </t>
    </r>
    <r>
      <rPr>
        <sz val="12"/>
        <color theme="1"/>
        <rFont val="Calibri"/>
        <family val="2"/>
        <scheme val="minor"/>
      </rPr>
      <t>Har hatt scrum-møte med oppdatering på status. Foreløpig er det flere personer i teamet som må ha prioritert andre fag, inkludert meg. Vi ble enige om å avvente neste møtet til helgen, da det mest sannsynlig ville være mulig å oppnå noe progressjon på fredag.</t>
    </r>
    <r>
      <rPr>
        <b/>
        <sz val="12"/>
        <color theme="1"/>
        <rFont val="Calibri"/>
        <family val="2"/>
        <scheme val="minor"/>
      </rPr>
      <t xml:space="preserve">
Fredag: </t>
    </r>
    <r>
      <rPr>
        <sz val="12"/>
        <color theme="1"/>
        <rFont val="Calibri"/>
        <family val="2"/>
        <scheme val="minor"/>
      </rPr>
      <t>Har laget et lite utkast for hvordan tenkt webområde med oversikt over emner til godkjenning skal presenteres.</t>
    </r>
    <r>
      <rPr>
        <b/>
        <sz val="12"/>
        <color theme="1"/>
        <rFont val="Calibri"/>
        <family val="2"/>
        <scheme val="minor"/>
      </rPr>
      <t xml:space="preserve"> </t>
    </r>
    <r>
      <rPr>
        <sz val="12"/>
        <color theme="1"/>
        <rFont val="Calibri"/>
        <family val="2"/>
        <scheme val="minor"/>
      </rPr>
      <t>Ingen spesielle utfordringer i forhold til dette. Planen min er å presentere denne oversikten i form av en tabell, samt en indikasjon på om emnebeskrivelsen er godkjent eller ei ved hjelp av farger.</t>
    </r>
    <r>
      <rPr>
        <b/>
        <sz val="12"/>
        <color theme="1"/>
        <rFont val="Calibri"/>
        <family val="2"/>
        <scheme val="minor"/>
      </rPr>
      <t xml:space="preserve">
Lørdag: </t>
    </r>
    <r>
      <rPr>
        <sz val="12"/>
        <color theme="1"/>
        <rFont val="Calibri"/>
        <family val="2"/>
        <scheme val="minor"/>
      </rPr>
      <t>Startet dagen med scrum-møte hvor jeg fikk presentert det lille jeg hadde laget av et utkast i går. Tilbakemeldingene virket positive, slik at jeg fortsetter med det jeg har. Idèen videre er å implementere funksjonalitet som spytter ut emnebeskrivelser som er godkjent, til godkjenning eller ikke godkjent.</t>
    </r>
    <r>
      <rPr>
        <b/>
        <sz val="12"/>
        <color theme="1"/>
        <rFont val="Calibri"/>
        <family val="2"/>
        <scheme val="minor"/>
      </rPr>
      <t xml:space="preserve"> </t>
    </r>
    <r>
      <rPr>
        <sz val="12"/>
        <color theme="1"/>
        <rFont val="Calibri"/>
        <family val="2"/>
        <scheme val="minor"/>
      </rPr>
      <t xml:space="preserve">Etter dette er tanken å kun hente ut emner som faktisk er sendt inn til godkjenning, og ikke allerede eksisterer. Videre var det behov for endringer ifht. oppretting av emne, back-end hadde behov for at navn på checkboxer, radio-knapper og select-felter var unike, noe som for meg virket lite logisk da HTML sine unike identifikatorer identifiseres ved hjelp av 'id', mens 'name' er en attributt som kan ha samme verdi på flere av elementene. På grunn av dette vil det også være behov for å gjøre endringer på JavaScript-koden, som jeg foreløpig er usikker på hvordan jeg skal håndtere nå som alt av checkboxer og radio-knapper er 'unike'.
</t>
    </r>
    <r>
      <rPr>
        <b/>
        <sz val="12"/>
        <color theme="1"/>
        <rFont val="Calibri"/>
        <family val="2"/>
        <scheme val="minor"/>
      </rPr>
      <t>Søndag:</t>
    </r>
    <r>
      <rPr>
        <sz val="12"/>
        <color theme="1"/>
        <rFont val="Calibri"/>
        <family val="2"/>
        <scheme val="minor"/>
      </rPr>
      <t xml:space="preserve"> Dagen i dag har i hovedsak bestått av feilsøking</t>
    </r>
    <r>
      <rPr>
        <b/>
        <sz val="12"/>
        <color theme="1"/>
        <rFont val="Calibri"/>
        <family val="2"/>
        <scheme val="minor"/>
      </rPr>
      <t xml:space="preserve">. </t>
    </r>
    <r>
      <rPr>
        <sz val="12"/>
        <color theme="1"/>
        <rFont val="Calibri"/>
        <family val="2"/>
        <scheme val="minor"/>
      </rPr>
      <t>Problemet var at jeg ikke fikk til å liste ut all informasjon som var relevant ifht. et emne som er 'sendt inn' til godkjenning. Jeg ble nødt til å be Joachim om hjelp til å løse dette. Til å begynne med så vi på den allerede eksisterende koden og prøvde litt ulike ting for å forsøke å fremprovosere feil/informasjon som en slags feilsøkingsstrategi. Dette løste dessverre ikke problemet. Vi endte opp med å opprette et spørsmål på StackOverflow og fikk forsåvidt respons som ledet oss i riktig retning. For å ikke gå i dype detaljer så kan jeg avsløre at vi løste det til slutt, og feilen var at vi ikke fikk dataen vi forventet.</t>
    </r>
    <r>
      <rPr>
        <b/>
        <sz val="12"/>
        <color theme="1"/>
        <rFont val="Calibri"/>
        <family val="2"/>
        <scheme val="minor"/>
      </rPr>
      <t xml:space="preserve"> </t>
    </r>
    <r>
      <rPr>
        <sz val="12"/>
        <color theme="1"/>
        <rFont val="Calibri"/>
        <family val="2"/>
        <scheme val="minor"/>
      </rPr>
      <t>Til slutt kan jeg ta med at når man først møter på slike problemer så ser man jo hvor fort tiden går</t>
    </r>
    <r>
      <rPr>
        <b/>
        <sz val="12"/>
        <color theme="1"/>
        <rFont val="Calibri"/>
        <family val="2"/>
        <scheme val="minor"/>
      </rPr>
      <t xml:space="preserve"> </t>
    </r>
    <r>
      <rPr>
        <sz val="12"/>
        <color theme="1"/>
        <rFont val="Calibri"/>
        <family val="2"/>
        <scheme val="minor"/>
      </rPr>
      <t>uten at vi får den fremgangen vi ønsker i forhold til tid brukt. Men jeg håper og tror at vi har tatt dette med i forhold til beregningen på backlog item'et.</t>
    </r>
  </si>
  <si>
    <r>
      <t xml:space="preserve">Utvikling: </t>
    </r>
    <r>
      <rPr>
        <sz val="12"/>
        <color theme="1"/>
        <rFont val="Calibri"/>
        <family val="2"/>
        <scheme val="minor"/>
      </rPr>
      <t>Har gjort endringer på navigasjonsbaren.</t>
    </r>
  </si>
  <si>
    <r>
      <t xml:space="preserve">Utvikling: </t>
    </r>
    <r>
      <rPr>
        <sz val="12"/>
        <color theme="1"/>
        <rFont val="Calibri"/>
        <family val="2"/>
        <scheme val="minor"/>
      </rPr>
      <t>Feilsøkt og forsøkt på å gjøre endringer slik at navbar følger siden ved scrolling.</t>
    </r>
  </si>
  <si>
    <r>
      <t xml:space="preserve">Utvikling: </t>
    </r>
    <r>
      <rPr>
        <sz val="12"/>
        <color theme="1"/>
        <rFont val="Calibri"/>
        <family val="2"/>
        <scheme val="minor"/>
      </rPr>
      <t>Begynt med å lage design for varsler.</t>
    </r>
  </si>
  <si>
    <t>17.3</t>
  </si>
  <si>
    <r>
      <t xml:space="preserve">Administrativt: </t>
    </r>
    <r>
      <rPr>
        <sz val="12"/>
        <color theme="1"/>
        <rFont val="Calibri"/>
        <family val="2"/>
        <scheme val="minor"/>
      </rPr>
      <t>Lite internt møte med front-end teamet</t>
    </r>
  </si>
  <si>
    <r>
      <t xml:space="preserve">Utvikling: </t>
    </r>
    <r>
      <rPr>
        <sz val="12"/>
        <color theme="1"/>
        <rFont val="Calibri"/>
        <family val="2"/>
        <scheme val="minor"/>
      </rPr>
      <t>Fortsettelse på implementering av design for varsler.</t>
    </r>
  </si>
  <si>
    <r>
      <rPr>
        <b/>
        <sz val="12"/>
        <color theme="1"/>
        <rFont val="Calibri"/>
        <family val="2"/>
        <scheme val="minor"/>
      </rPr>
      <t xml:space="preserve">Utvikling: </t>
    </r>
    <r>
      <rPr>
        <sz val="12"/>
        <color theme="1"/>
        <rFont val="Calibri"/>
        <family val="2"/>
        <scheme val="minor"/>
      </rPr>
      <t>Research og testing for håndtering av radio-buttons i oppretteEmne.twig</t>
    </r>
  </si>
  <si>
    <r>
      <t xml:space="preserve">Utvikling: </t>
    </r>
    <r>
      <rPr>
        <sz val="12"/>
        <color theme="1"/>
        <rFont val="Calibri"/>
        <family val="2"/>
        <scheme val="minor"/>
      </rPr>
      <t>Research og testing for håndtering av radio-buttons i oppretteEmne.twig</t>
    </r>
  </si>
  <si>
    <r>
      <t xml:space="preserve">Utvikling: </t>
    </r>
    <r>
      <rPr>
        <sz val="12"/>
        <color theme="1"/>
        <rFont val="Calibri"/>
        <family val="2"/>
        <scheme val="minor"/>
      </rPr>
      <t>Fortsettelse på research og testing for håndtering av radio-buttons.</t>
    </r>
  </si>
  <si>
    <r>
      <rPr>
        <b/>
        <sz val="12"/>
        <color theme="1"/>
        <rFont val="Calibri"/>
        <family val="2"/>
        <scheme val="minor"/>
      </rPr>
      <t xml:space="preserve">Utvikling: </t>
    </r>
    <r>
      <rPr>
        <sz val="12"/>
        <color theme="1"/>
        <rFont val="Calibri"/>
        <family val="2"/>
        <scheme val="minor"/>
      </rPr>
      <t>Har gått tilbake til tidligere løsning ifht. radio-buttons.</t>
    </r>
  </si>
  <si>
    <r>
      <rPr>
        <b/>
        <sz val="12"/>
        <color theme="1"/>
        <rFont val="Calibri"/>
        <family val="2"/>
        <scheme val="minor"/>
      </rPr>
      <t xml:space="preserve">Utvikling: </t>
    </r>
    <r>
      <rPr>
        <sz val="12"/>
        <color theme="1"/>
        <rFont val="Calibri"/>
        <family val="2"/>
        <scheme val="minor"/>
      </rPr>
      <t>Har lagt til value på alle elementer i oppretteEmne.twig.</t>
    </r>
  </si>
  <si>
    <r>
      <t>Utvikling:</t>
    </r>
    <r>
      <rPr>
        <sz val="12"/>
        <color theme="1"/>
        <rFont val="Calibri"/>
        <family val="2"/>
        <scheme val="minor"/>
      </rPr>
      <t xml:space="preserve"> Gjort helomvending på 'koden' for navigasjonsbaren da jeg ikke var fornøyd. Ser nå bedre ut, samt mindre 'kode'.</t>
    </r>
  </si>
  <si>
    <r>
      <t>Logg/Oppgaver:</t>
    </r>
    <r>
      <rPr>
        <sz val="12"/>
        <color theme="1"/>
        <rFont val="Calibri"/>
        <family val="2"/>
        <scheme val="minor"/>
      </rPr>
      <t xml:space="preserve"> Oppdatert sammendrag i timeliste.</t>
    </r>
  </si>
  <si>
    <r>
      <rPr>
        <b/>
        <sz val="12"/>
        <color theme="1"/>
        <rFont val="Calibri"/>
        <family val="2"/>
        <scheme val="minor"/>
      </rPr>
      <t>Logg/Oppgaver:</t>
    </r>
    <r>
      <rPr>
        <sz val="12"/>
        <color theme="1"/>
        <rFont val="Calibri"/>
        <family val="2"/>
        <scheme val="minor"/>
      </rPr>
      <t xml:space="preserve"> Planning poker</t>
    </r>
  </si>
  <si>
    <r>
      <rPr>
        <b/>
        <sz val="12"/>
        <color theme="1"/>
        <rFont val="Calibri"/>
        <family val="2"/>
        <scheme val="minor"/>
      </rPr>
      <t>Utvikling:</t>
    </r>
    <r>
      <rPr>
        <sz val="12"/>
        <color theme="1"/>
        <rFont val="Calibri"/>
        <family val="2"/>
        <scheme val="minor"/>
      </rPr>
      <t xml:space="preserve"> Begynt med forhåndsvisning av et ferdig emne.</t>
    </r>
  </si>
  <si>
    <t>28.1</t>
  </si>
  <si>
    <r>
      <rPr>
        <b/>
        <sz val="12"/>
        <color theme="1"/>
        <rFont val="Calibri"/>
        <family val="2"/>
        <scheme val="minor"/>
      </rPr>
      <t>Utvikling:</t>
    </r>
    <r>
      <rPr>
        <sz val="12"/>
        <color theme="1"/>
        <rFont val="Calibri"/>
        <family val="2"/>
        <scheme val="minor"/>
      </rPr>
      <t xml:space="preserve"> Fortsettelse på forhåndsvisning av et ferdig emne.</t>
    </r>
  </si>
  <si>
    <r>
      <t xml:space="preserve">Utvikling: </t>
    </r>
    <r>
      <rPr>
        <sz val="12"/>
        <color theme="1"/>
        <rFont val="Calibri"/>
        <family val="2"/>
        <scheme val="minor"/>
      </rPr>
      <t>Fortsettelse på forhåndsvisning av et ferdig emne.</t>
    </r>
  </si>
  <si>
    <r>
      <t xml:space="preserve">Logg/Oppgaver: </t>
    </r>
    <r>
      <rPr>
        <sz val="12"/>
        <color theme="1"/>
        <rFont val="Calibri"/>
        <family val="2"/>
        <scheme val="minor"/>
      </rPr>
      <t>Oppdatert sammendrag i timeliste.</t>
    </r>
  </si>
  <si>
    <r>
      <t xml:space="preserve">Nye roller:
Scrum-master i neste sprint: </t>
    </r>
    <r>
      <rPr>
        <sz val="12"/>
        <color theme="1"/>
        <rFont val="Calibri"/>
        <family val="2"/>
        <scheme val="minor"/>
      </rPr>
      <t>Martin Mikalsen</t>
    </r>
    <r>
      <rPr>
        <b/>
        <sz val="12"/>
        <color theme="1"/>
        <rFont val="Calibri"/>
        <family val="2"/>
        <scheme val="minor"/>
      </rPr>
      <t xml:space="preserve">
Roller:
SCRUM-master i Sprint 3: </t>
    </r>
    <r>
      <rPr>
        <sz val="12"/>
        <color theme="1"/>
        <rFont val="Calibri"/>
        <family val="2"/>
        <scheme val="minor"/>
      </rPr>
      <t>Anders Rubach Ese</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Frontend: </t>
    </r>
    <r>
      <rPr>
        <sz val="12"/>
        <color theme="1"/>
        <rFont val="Calibri"/>
        <family val="2"/>
        <scheme val="minor"/>
      </rPr>
      <t xml:space="preserve">Joachim Kristensen, Alexander Hansen, Eivind Blom Eriksen
</t>
    </r>
    <r>
      <rPr>
        <b/>
        <sz val="12"/>
        <color theme="1"/>
        <rFont val="Calibri"/>
        <family val="2"/>
        <scheme val="minor"/>
      </rPr>
      <t xml:space="preserve">Mandag: </t>
    </r>
    <r>
      <rPr>
        <sz val="12"/>
        <color theme="1"/>
        <rFont val="Calibri"/>
        <family val="2"/>
        <scheme val="minor"/>
      </rPr>
      <t xml:space="preserve">Har hatt scrum-møte for gjennomgang av produsert arbeid gjennom helgen i tillegg til generell oppdatering på hvor den enkelte er og har som plan å gjøre gjennom uken. Etterfulgt av møtet begynte jeg med å gjøre endringer på navigasjonsbaren da det blant annet er tenkt at denne skal følge webområdet ved scrolling. Til å begynne med brukte jeg bootstrap's egne klasser for å gjøre dette, men hadde problemer med at elementet ble gjennomsiktig, og ikke hvit som tenkt. Jeg endte, foreløpig, opp med å lage en egen klasse for dette, men da fikk jeg et nytt problem, enkelte andre elementer havnet 'over' navigasjonsbaren.
</t>
    </r>
    <r>
      <rPr>
        <b/>
        <sz val="12"/>
        <color theme="1"/>
        <rFont val="Calibri"/>
        <family val="2"/>
        <scheme val="minor"/>
      </rPr>
      <t xml:space="preserve">
Torsdag: </t>
    </r>
    <r>
      <rPr>
        <sz val="12"/>
        <color theme="1"/>
        <rFont val="Calibri"/>
        <family val="2"/>
        <scheme val="minor"/>
      </rPr>
      <t xml:space="preserve">Har begynt med å implementere en ny knapp på navigasjonsbaren hvor det er tiltenkt at en skal kunne få opp varsler når et emne f.eks. er godkjent. Selve knappen var ikke det vanskeligste, men det var heller det at 'koden' som er skrevet for navigasjonsbaren var vanskelig å ha med å gjøre. Etterfulgt hadde vi i front-end-teamet et lite møte da vi følte et behov for å se på det vi hadde, og for å høre litt mer om hva den enkelte holder på med, og planene ut uken. Under møtet ble det klart at jeg fortsetter med navigasjonsbaren, varslingssystemet, oversikt over emner til godkjenning og 'kode' for oppretting av emne krever noen endringer. Ifht. sistnevnte kan det nevnes at back-end-teamet hadde utfordringer med å hente ut verdier dersom radio-knappene hadde samme name-attributt. I HTML er det slik name og radio-knapper er tiltenkt å fungere for å kunne håndteres som en og samme gruppe. Jeg begynte med å se på hvordan jeg kunne løse dette uten å være avhengig av name-attributten ved hjelp av JavaScript, men uansett hva jeg forsøkte å gjøre så virket det ikke som om noe responderte med koden. Jeg endte til slutt opp med å gi opp for dagen. Når jeg ser tilbake på det så virker det som om problemet kanskje var relatert til cookies, slik at endringer jeg gjorde ikke reagerte som ønsket.
</t>
    </r>
    <r>
      <rPr>
        <b/>
        <sz val="12"/>
        <color theme="1"/>
        <rFont val="Calibri"/>
        <family val="2"/>
        <scheme val="minor"/>
      </rPr>
      <t xml:space="preserve">
Fredag: </t>
    </r>
    <r>
      <rPr>
        <sz val="12"/>
        <color theme="1"/>
        <rFont val="Calibri"/>
        <family val="2"/>
        <scheme val="minor"/>
      </rPr>
      <t>Begynte dagen med et scrum-møte, hvor vi så smått begynte å snakke om å gjøre klart til innlevering. Planen per nå er å kjøre planning poker på lørdag.</t>
    </r>
    <r>
      <rPr>
        <b/>
        <sz val="12"/>
        <color theme="1"/>
        <rFont val="Calibri"/>
        <family val="2"/>
        <scheme val="minor"/>
      </rPr>
      <t xml:space="preserve"> </t>
    </r>
    <r>
      <rPr>
        <sz val="12"/>
        <color theme="1"/>
        <rFont val="Calibri"/>
        <family val="2"/>
        <scheme val="minor"/>
      </rPr>
      <t xml:space="preserve">Etter endt møte fortsatte jeg med koden ifht. radio-knappene. I dag var det ingen problemer ifht. koden. Nå fikk jeg f.eks. varsel dersom ingen radio-knapp er valgt, og jeg begynte på kode som skulle håndtere å fjerne et radio-valg dersom et annet valg ble valgt. Midt oppi dette fant Vegard og Adrian en måte å håndtere dette på via PHP slik det forsåvidt var tiltenkt. Jeg har nok kastet bort noe tid på dette, men jeg er glad for at løsningen ble som tiltenkt for da slipper jeg å håndtere radio-knapper på en måte som ikke er tiltenkt i HTML. Etterfulgt av dette gjorde jeg noen endringer slik at vi kunne gå tilbake til den opprinnelige koden. Videre tok jeg tak i navigasjonsbaren igjen da jeg fremdeles ikke var helt fornøyd med denne. Jeg benyttet dokumentasjonen til Bootstrap og det har resultert i at jeg nå kan si meg fornøyd med både 'kode' og design. Det bør nå være enklere å legge til funksjonalitet i denne dersom det er behov.
</t>
    </r>
    <r>
      <rPr>
        <b/>
        <sz val="12"/>
        <color theme="1"/>
        <rFont val="Calibri"/>
        <family val="2"/>
        <scheme val="minor"/>
      </rPr>
      <t xml:space="preserve">Lørdag: </t>
    </r>
    <r>
      <rPr>
        <sz val="12"/>
        <color theme="1"/>
        <rFont val="Calibri"/>
        <family val="2"/>
        <scheme val="minor"/>
      </rPr>
      <t xml:space="preserve">Startet dagen med en runde planning poker for sprint 4. Virket som om det var en del usikkerhet rundt noen av item'ene, så dette vil vi nok ha behov for å se over og eventuelt gjøre endringer på før innlevering. Kan være greit å nevne at dette forøvrig ikke er noe nytt. Med det mener jeg at vi til tider har hatt problemer med å formulere oppgavene på en kort og god måte slik at en enkelt forstår hva oppgaven dreier seg om. Videre har også det å dele dem opp vært utfordrende, noe som kanskje vil kunne gjenspeiles gjennom både dokumentasjon og sluttproduktet. Når det er sagt er denne utviklingsmetodikken ny for oss alle og personlig tar jeg det hele som en læringsprosess, og jeg forventer ikke å være noe form for ekspert når det hele er over. Ellers synes jeg vi var effektive med å gjennomføre selve poker'n. Etter at planning poker var gjennomført gikk tok jeg tak i forhåndsvisning av ferdig emne, igjen. For denne oppgaven har det ikke blitt ført opp noe itemnummer, og har derfor foreslått å enten implementere oppgaven som et item i sprint 3 eller 4, alt etter hva vi blir enige om. Store deler av forhåndsvisningen baseres på visEmne.twig, en klasse som Joachim har produsert. Den første store utfordringen i forbindelse med forhåndsvisningen var å hente ut verdier for checkboxer som var valgt. Jeg og Joachim endte opp med å samarbeide om dette for å finne en løsning. Det ble en del 'teori' i form av googling for å lære seg syntaksen i JavaScript og biblioteket jQuery.
</t>
    </r>
    <r>
      <rPr>
        <b/>
        <sz val="12"/>
        <color theme="1"/>
        <rFont val="Calibri"/>
        <family val="2"/>
        <scheme val="minor"/>
      </rPr>
      <t xml:space="preserve">
Svar på oppgave:
Månedsinntekt for årslønn ansatt = (550000kr * 7 ansatte) / 12 mnd = 321000kr
Månedsinntekt bedrift = 321000 + 29000 (grovt estimat av admn. tillegg) = 350000kr
Ukesinntekt bedrift = 350000kr / 4 uker = 87500kr
Dagsinntekt bedrift = 87500kr / 7 dager = 12500kr
Timesinntekt bedrift = 12500kr / 24 timer = 521kr
Gjennomsnitt storypoints per uke: ((55 / 2) + (91 / 2) + (71 / 2)) / 3 = 36,16 timer
Timesbetaling = Ukesinntekt / Gjennomsnitt storypoints = 87500kr / 36,16 timer = 2420kr / time</t>
    </r>
    <r>
      <rPr>
        <sz val="12"/>
        <color theme="1"/>
        <rFont val="Calibri"/>
        <family val="2"/>
        <scheme val="minor"/>
      </rPr>
      <t xml:space="preserve">
</t>
    </r>
  </si>
  <si>
    <r>
      <t xml:space="preserve">Administrativt: </t>
    </r>
    <r>
      <rPr>
        <sz val="12"/>
        <color theme="1"/>
        <rFont val="Calibri"/>
        <family val="2"/>
        <scheme val="minor"/>
      </rPr>
      <t>Sprint review</t>
    </r>
  </si>
  <si>
    <r>
      <t xml:space="preserve">Utvikling: </t>
    </r>
    <r>
      <rPr>
        <sz val="12"/>
        <color theme="1"/>
        <rFont val="Calibri"/>
        <family val="2"/>
        <scheme val="minor"/>
      </rPr>
      <t>Fortsettelse på forhåndsvisning av emne. Hadde en feil i metoden som gjorde at jeg ble sittende fast en stund.</t>
    </r>
  </si>
  <si>
    <r>
      <t xml:space="preserve">Utvikling: </t>
    </r>
    <r>
      <rPr>
        <sz val="12"/>
        <color theme="1"/>
        <rFont val="Calibri"/>
        <family val="2"/>
        <scheme val="minor"/>
      </rPr>
      <t>Fortsettelse på forhåndsvisning av emne.</t>
    </r>
  </si>
  <si>
    <r>
      <t xml:space="preserve">Administrering: </t>
    </r>
    <r>
      <rPr>
        <sz val="12"/>
        <color theme="1"/>
        <rFont val="Calibri"/>
        <family val="2"/>
        <scheme val="minor"/>
      </rPr>
      <t>Scrum-møte</t>
    </r>
  </si>
  <si>
    <r>
      <rPr>
        <b/>
        <sz val="12"/>
        <color theme="1"/>
        <rFont val="Calibri"/>
        <family val="2"/>
        <scheme val="minor"/>
      </rPr>
      <t>Utvikling:</t>
    </r>
    <r>
      <rPr>
        <sz val="12"/>
        <color theme="1"/>
        <rFont val="Calibri"/>
        <family val="2"/>
        <scheme val="minor"/>
      </rPr>
      <t xml:space="preserve"> Fortsettelse på forhåandsvisning av emne.</t>
    </r>
  </si>
  <si>
    <r>
      <t>Utvikling:</t>
    </r>
    <r>
      <rPr>
        <sz val="12"/>
        <color theme="1"/>
        <rFont val="Calibri"/>
        <family val="2"/>
        <scheme val="minor"/>
      </rPr>
      <t xml:space="preserve"> Fortsettelse på forhåandsvisning av emne.</t>
    </r>
  </si>
  <si>
    <r>
      <t xml:space="preserve">Logg/Oppgaver: </t>
    </r>
    <r>
      <rPr>
        <sz val="12"/>
        <color theme="1"/>
        <rFont val="Calibri"/>
        <family val="2"/>
        <scheme val="minor"/>
      </rPr>
      <t>Ferdigstilling av dokumenter for Sprint 3.</t>
    </r>
  </si>
  <si>
    <t>Utvikling: Fortsettelse på forhåndsvisning av emne.</t>
  </si>
  <si>
    <r>
      <rPr>
        <b/>
        <sz val="12"/>
        <color theme="1"/>
        <rFont val="Calibri"/>
        <family val="2"/>
        <scheme val="minor"/>
      </rPr>
      <t>Teori:</t>
    </r>
    <r>
      <rPr>
        <sz val="12"/>
        <color theme="1"/>
        <rFont val="Calibri"/>
        <family val="2"/>
        <scheme val="minor"/>
      </rPr>
      <t xml:space="preserve"> Et forsøk på å gjøre research ifht hvordan jeg kan effektivisere og gjøre koden for forhåndsvisning mindre upraktisk.</t>
    </r>
  </si>
  <si>
    <r>
      <rPr>
        <b/>
        <sz val="12"/>
        <color theme="1"/>
        <rFont val="Calibri"/>
        <family val="2"/>
        <scheme val="minor"/>
      </rPr>
      <t>Teori:</t>
    </r>
    <r>
      <rPr>
        <sz val="12"/>
        <color theme="1"/>
        <rFont val="Calibri"/>
        <family val="2"/>
        <scheme val="minor"/>
      </rPr>
      <t xml:space="preserve"> Har utformet et spørsmål vedrørende forrige oppføring og postet dette på StackOverflow.</t>
    </r>
  </si>
  <si>
    <r>
      <rPr>
        <b/>
        <sz val="12"/>
        <color theme="1"/>
        <rFont val="Calibri"/>
        <family val="2"/>
        <scheme val="minor"/>
      </rPr>
      <t>Utvikling:</t>
    </r>
    <r>
      <rPr>
        <sz val="12"/>
        <color theme="1"/>
        <rFont val="Calibri"/>
        <family val="2"/>
        <scheme val="minor"/>
      </rPr>
      <t xml:space="preserve"> Møte ifht. implementering av Feide i vårt system.</t>
    </r>
  </si>
  <si>
    <t>14.4</t>
  </si>
  <si>
    <r>
      <rPr>
        <b/>
        <sz val="12"/>
        <color theme="1"/>
        <rFont val="Calibri"/>
        <family val="2"/>
        <scheme val="minor"/>
      </rPr>
      <t xml:space="preserve">Utvikling: </t>
    </r>
    <r>
      <rPr>
        <sz val="12"/>
        <color theme="1"/>
        <rFont val="Calibri"/>
        <family val="2"/>
        <scheme val="minor"/>
      </rPr>
      <t>Finpussing og ferdigstilling av forhåndsvisning av et emne.</t>
    </r>
  </si>
  <si>
    <r>
      <t xml:space="preserve">Logg/Oppgaver: </t>
    </r>
    <r>
      <rPr>
        <sz val="12"/>
        <color theme="1"/>
        <rFont val="Calibri"/>
        <family val="2"/>
        <scheme val="minor"/>
      </rPr>
      <t>Oppsummering og ferdigstilling av timeliste for uken.</t>
    </r>
  </si>
  <si>
    <r>
      <t xml:space="preserve">Roller:
SCRUM-master i Sprint 4: </t>
    </r>
    <r>
      <rPr>
        <sz val="12"/>
        <color theme="1"/>
        <rFont val="Calibri"/>
        <family val="2"/>
        <scheme val="minor"/>
      </rPr>
      <t>Martin Mikalsen</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
Frontend:</t>
    </r>
    <r>
      <rPr>
        <sz val="12"/>
        <color theme="1"/>
        <rFont val="Calibri"/>
        <family val="2"/>
        <scheme val="minor"/>
      </rPr>
      <t xml:space="preserve"> Joachim Kristensen, Alexander Hansen, Eivind Blom Eriksen
</t>
    </r>
    <r>
      <rPr>
        <b/>
        <sz val="12"/>
        <color theme="1"/>
        <rFont val="Calibri"/>
        <family val="2"/>
        <scheme val="minor"/>
      </rPr>
      <t xml:space="preserve">Mandag: </t>
    </r>
    <r>
      <rPr>
        <sz val="12"/>
        <color theme="1"/>
        <rFont val="Calibri"/>
        <family val="2"/>
        <scheme val="minor"/>
      </rPr>
      <t xml:space="preserve">Startet dagen med scrum-møte og litt planlegging for Sprint review. Synes sistnevnte gikk veldig bra med tanke på regi av møtet sammenlignet med forrige sprint review. Senere på dagen tok jeg tak i forhåndsvisningen av et ferdig emne. I forbindelse med det hadde jeg en feil i koden som jeg ikke klarte å lokalisere, men med hjelp fra et par fra teamet klarte vi å lokalisere en skriveleif i JavaScript'en. Derfra fortsatte jeg med å hente ut alle input-felt, da i hovedsak felt hvor man kunne skrive fri tekst. Underveis forsøkte jeg hele tiden å optimalisere og forkorte koden, men kun i den grad at det fremdeles er enkelt å tolke den.
</t>
    </r>
    <r>
      <rPr>
        <b/>
        <sz val="12"/>
        <color theme="1"/>
        <rFont val="Calibri"/>
        <family val="2"/>
        <scheme val="minor"/>
      </rPr>
      <t xml:space="preserve">Tirsdag: </t>
    </r>
    <r>
      <rPr>
        <sz val="12"/>
        <color theme="1"/>
        <rFont val="Calibri"/>
        <family val="2"/>
        <scheme val="minor"/>
      </rPr>
      <t xml:space="preserve">Vi startet også dagen i dag med et scrum-møte. Dette var i hovedsak for å få kontroll på hva som måtte gjøres og finpusses på før innlevering av oppsummering fra Sprint Review, retrospect, og sprint planning for Sprint 4. Vi ble forsåvidt enig om at de(n) som hadde jobbet med det enkelte dokumentet tok ansvar, men ved behov kunne flere medlemmer i teamet inkluderes. Etter endt møte fortsatte jeg med forhåndsvisningen der jeg blant annet slet med å hente ut input-felter av typen checkbox og radiobuttons. I allefall var det vanskelig å behandle informasjonen slik at utskriften ble pen. Etter å ha prøvd utallige måter på å løse dette selv ba jeg først Joachim om hjelp i fall han kanskje hadde en idè. Vi prøvde litt til med ulike metoder, uten hell. Vi ble så enige om å ta det til StackOverflow hvor jeg ganske kjapt fikk respons på spørsmålet mitt, og som løste problemet etter litt snikk-snakk.
</t>
    </r>
    <r>
      <rPr>
        <b/>
        <sz val="12"/>
        <color theme="1"/>
        <rFont val="Calibri"/>
        <family val="2"/>
        <scheme val="minor"/>
      </rPr>
      <t>Onsdag:</t>
    </r>
    <r>
      <rPr>
        <sz val="12"/>
        <color theme="1"/>
        <rFont val="Calibri"/>
        <family val="2"/>
        <scheme val="minor"/>
      </rPr>
      <t xml:space="preserve"> Som en slags fortsettelse på der jeg slapp i går begynte jeg å legge merke til at jeg hadde laget veldig mange variabler for forhåndsvisningen. Jeg benyttet derfor en god del tid på å prøve å gjøre endringer og tilpasninger slik at metoden/funksjonen skulle bli mindre upraktisk, manuell, og mer dynamisk. Dette viste seg å være en stor utfordring, og jeg diskuterte forøvrig dette med Joachim, uten at vi kom frem til noen god løsning. Det skal også nevnes at vi begge er ny i både JavaScript og det tilhørende biblioteket jQuery. Av diskusjonen diskuterte vi blant annet implementering av enten en map hvor jeg mente på at tittelen på elementet skulle være key og informasjonen innenfor det elementet ville være verdien i mappet. Men utfordringen var at vi hadde litt forskjellig typer input som skulle inn, og vi ville behandle f.eks. fritekst annerledes enn checkboxes. Vi ble derfor enig om å utforme et spørsmål og se hva StackOverflow eventuelt kunne hjelpe oss med. 
</t>
    </r>
    <r>
      <rPr>
        <b/>
        <sz val="12"/>
        <color theme="1"/>
        <rFont val="Calibri"/>
        <family val="2"/>
        <scheme val="minor"/>
      </rPr>
      <t xml:space="preserve">Torsdag: </t>
    </r>
    <r>
      <rPr>
        <sz val="12"/>
        <color theme="1"/>
        <rFont val="Calibri"/>
        <family val="2"/>
        <scheme val="minor"/>
      </rPr>
      <t xml:space="preserve">Startet dagen med et scrum-møte hvor jeg blant annet fikk vist frem det jeg hadde og forklart problemstillingen i forhold til antallet variabler. For en del av variablene mentes det at det var mulig å slippe unna ved å bare unngå å lage en variabel av det, å heller legge det inn i selve koden. Som et slags motsvar på dette mentes det også at det ville se bedre ut med de variablene da det gjorde koden delvis mer oversiktlig. Samtidig viste jeg frem hva jeg hadde fått til svar på StackOverflow som følge av spørsmålet. Brukeren som svarte mente på at det ikke var noen enkel eller pen måte å behandle slik informasjon med mindre man laget elementene i JavaScript. Han nevnte også at dersom jeg ønsket å forbedre organiseringen kunne jeg flytte hver innhenting av informasjon i egne mindre metoder, men det var det. Senere på dagen kalte Martin meg inn til møte hvor Feide var tema, han hadde klart å få tak i noe informasjon slik at han kunne vise frem en demo for innlogging via Feide. Selve innloggingen så ut til å fungere, sesjon i Feide ble opprettet, men det var det. Utfordringen der vil være å kunne hente ut informasjonen man trenger, og tilpasse den informasjon til eget system.
</t>
    </r>
    <r>
      <rPr>
        <b/>
        <sz val="12"/>
        <color theme="1"/>
        <rFont val="Calibri"/>
        <family val="2"/>
        <scheme val="minor"/>
      </rPr>
      <t xml:space="preserve">Fredag: </t>
    </r>
    <r>
      <rPr>
        <sz val="12"/>
        <color theme="1"/>
        <rFont val="Calibri"/>
        <family val="2"/>
        <scheme val="minor"/>
      </rPr>
      <t>Har ferdigstilt forhåndsvisningen av et emne til tross for at jeg ikke er helt fornøyd med hvordan jeg har løst det. Men det fungerer og det er trolig det viktigste per nå. Dersom jeg får tid ved en senere anledning vil jeg ta en titt på det og forsøke å optimalisere og korte ned på antallet variabler.</t>
    </r>
    <r>
      <rPr>
        <b/>
        <sz val="12"/>
        <color theme="1"/>
        <rFont val="Calibri"/>
        <family val="2"/>
        <scheme val="minor"/>
      </rPr>
      <t xml:space="preserve">
Lørdag: </t>
    </r>
    <r>
      <rPr>
        <sz val="12"/>
        <color theme="1"/>
        <rFont val="Calibri"/>
        <family val="2"/>
        <scheme val="minor"/>
      </rPr>
      <t xml:space="preserve">Hatt scrum-møte hvor temaet var oppdatering på status i forhold til påbegynte eller ferdige backlog items. </t>
    </r>
  </si>
  <si>
    <r>
      <t xml:space="preserve">Logg/Oppgaver: </t>
    </r>
    <r>
      <rPr>
        <sz val="12"/>
        <color theme="1"/>
        <rFont val="Calibri"/>
        <family val="2"/>
        <scheme val="minor"/>
      </rPr>
      <t>Oppdatering/klargjøring av timeliste for innlevering.</t>
    </r>
  </si>
  <si>
    <r>
      <t xml:space="preserve">Roller:
SCRUM-master i Sprint 4: </t>
    </r>
    <r>
      <rPr>
        <sz val="12"/>
        <color theme="1"/>
        <rFont val="Calibri"/>
        <family val="2"/>
        <scheme val="minor"/>
      </rPr>
      <t>Martin Mikalsen</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
Frontend:</t>
    </r>
    <r>
      <rPr>
        <sz val="12"/>
        <color theme="1"/>
        <rFont val="Calibri"/>
        <family val="2"/>
        <scheme val="minor"/>
      </rPr>
      <t xml:space="preserve"> Joachim Kristensen, Alexander Hansen, Eivind Blom Eriksen</t>
    </r>
    <r>
      <rPr>
        <b/>
        <sz val="12"/>
        <color theme="1"/>
        <rFont val="Calibri"/>
        <family val="2"/>
        <scheme val="minor"/>
      </rPr>
      <t xml:space="preserve">
Mandag og onsdag: </t>
    </r>
    <r>
      <rPr>
        <sz val="12"/>
        <color theme="1"/>
        <rFont val="Calibri"/>
        <family val="2"/>
        <scheme val="minor"/>
      </rPr>
      <t>Oppdatering på fremdrift. Basert på tilbakemeldinger ser det ut til å bli en rolig uke for de fleste av medlemmene i gruppen.</t>
    </r>
    <r>
      <rPr>
        <b/>
        <sz val="12"/>
        <color theme="1"/>
        <rFont val="Calibri"/>
        <family val="2"/>
        <scheme val="minor"/>
      </rPr>
      <t xml:space="preserve">
Generelt: </t>
    </r>
    <r>
      <rPr>
        <sz val="12"/>
        <color theme="1"/>
        <rFont val="Calibri"/>
        <family val="2"/>
        <scheme val="minor"/>
      </rPr>
      <t xml:space="preserve">Ikke stort å si denne uken. Har hatt en liten pause fra arbeidet. Forsøker å være tilbake i normal drift neste uke. </t>
    </r>
  </si>
  <si>
    <r>
      <t xml:space="preserve">Teori: </t>
    </r>
    <r>
      <rPr>
        <sz val="12"/>
        <color theme="1"/>
        <rFont val="Calibri"/>
        <family val="2"/>
        <scheme val="minor"/>
      </rPr>
      <t>Gjort research ifht. implementering av søkefunksjon som henter data fra databasen.</t>
    </r>
  </si>
  <si>
    <r>
      <t xml:space="preserve">Utvikling: </t>
    </r>
    <r>
      <rPr>
        <sz val="12"/>
        <color theme="1"/>
        <rFont val="Calibri"/>
        <family val="2"/>
        <scheme val="minor"/>
      </rPr>
      <t>Begynnelse på å implementering av søkefunksjon.</t>
    </r>
    <r>
      <rPr>
        <b/>
        <sz val="12"/>
        <color theme="1"/>
        <rFont val="Calibri"/>
        <family val="2"/>
        <scheme val="minor"/>
      </rPr>
      <t xml:space="preserve"> </t>
    </r>
    <r>
      <rPr>
        <sz val="12"/>
        <color theme="1"/>
        <rFont val="Calibri"/>
        <family val="2"/>
        <scheme val="minor"/>
      </rPr>
      <t>Kun testdata pr nå.</t>
    </r>
  </si>
  <si>
    <r>
      <t xml:space="preserve">Utvikling: </t>
    </r>
    <r>
      <rPr>
        <sz val="12"/>
        <color theme="1"/>
        <rFont val="Calibri"/>
        <family val="2"/>
        <scheme val="minor"/>
      </rPr>
      <t>Jobbing med implementering av søkefunksjon i oppretteEmne.twig.</t>
    </r>
  </si>
  <si>
    <r>
      <t>Utvikling:</t>
    </r>
    <r>
      <rPr>
        <sz val="12"/>
        <color theme="1"/>
        <rFont val="Calibri"/>
        <family val="2"/>
        <scheme val="minor"/>
      </rPr>
      <t xml:space="preserve"> Sett mer på søkefunksjon sammen med Joachim, Adrian og Anders. Begynner å nærme oss ferdigstilling.</t>
    </r>
  </si>
  <si>
    <r>
      <rPr>
        <b/>
        <sz val="12"/>
        <color theme="1"/>
        <rFont val="Calibri"/>
        <family val="2"/>
        <scheme val="minor"/>
      </rPr>
      <t xml:space="preserve">Utvikling: </t>
    </r>
    <r>
      <rPr>
        <sz val="12"/>
        <color theme="1"/>
        <rFont val="Calibri"/>
        <family val="2"/>
        <scheme val="minor"/>
      </rPr>
      <t>Laget knapp for eksportering av emne til PDF i visEmne.twig.</t>
    </r>
  </si>
  <si>
    <t>27.1</t>
  </si>
  <si>
    <r>
      <t>Logg/Oppgaver:</t>
    </r>
    <r>
      <rPr>
        <sz val="12"/>
        <color theme="1"/>
        <rFont val="Calibri"/>
        <family val="2"/>
        <scheme val="minor"/>
      </rPr>
      <t xml:space="preserve"> Jobbet med dokumenter som skal inn på søndag.</t>
    </r>
  </si>
  <si>
    <r>
      <t xml:space="preserve">Logg/Oppgaver: </t>
    </r>
    <r>
      <rPr>
        <sz val="12"/>
        <color theme="1"/>
        <rFont val="Calibri"/>
        <family val="2"/>
        <scheme val="minor"/>
      </rPr>
      <t>Ferdigstilling av timeliste.</t>
    </r>
  </si>
  <si>
    <r>
      <t xml:space="preserve">Nye roller: </t>
    </r>
    <r>
      <rPr>
        <sz val="12"/>
        <color theme="1"/>
        <rFont val="Calibri"/>
        <family val="2"/>
        <scheme val="minor"/>
      </rPr>
      <t>Glemte å legge til ved forrige timeliste, men Adrian Chirita ble valgt til å være scrum-master denne siste uken av sprint 4 og første uken av sprint 5 for at alle skal kunne prøve å være scrum-master gjennom prosjektet.</t>
    </r>
    <r>
      <rPr>
        <b/>
        <sz val="12"/>
        <color theme="1"/>
        <rFont val="Calibri"/>
        <family val="2"/>
        <scheme val="minor"/>
      </rPr>
      <t xml:space="preserve">
Roller:
SCRUM-master i Sprint 4: </t>
    </r>
    <r>
      <rPr>
        <sz val="12"/>
        <color theme="1"/>
        <rFont val="Calibri"/>
        <family val="2"/>
        <scheme val="minor"/>
      </rPr>
      <t>Martin Mikalsen / Adrian Chirita</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
Frontend:</t>
    </r>
    <r>
      <rPr>
        <sz val="12"/>
        <color theme="1"/>
        <rFont val="Calibri"/>
        <family val="2"/>
        <scheme val="minor"/>
      </rPr>
      <t xml:space="preserve"> Joachim Kristensen, Alexander Hansen, Eivind Blom Eriksen
</t>
    </r>
    <r>
      <rPr>
        <b/>
        <sz val="12"/>
        <color theme="1"/>
        <rFont val="Calibri"/>
        <family val="2"/>
        <scheme val="minor"/>
      </rPr>
      <t xml:space="preserve">Onsdag: </t>
    </r>
    <r>
      <rPr>
        <sz val="12"/>
        <color theme="1"/>
        <rFont val="Calibri"/>
        <family val="2"/>
        <scheme val="minor"/>
      </rPr>
      <t>Har i dag begynt med å se på en søkefunksjon slik at en skal kunne søke etter emner som eksisterer i databasen. Planen er å legge denne funksjonaliten til under oppretting, endring og visning av emner. Hadde en del utfordringer da dette innebærte å se på/lære seg en ny programmerings metodikk innad JavaScript, kalt Ajax (Asynkron JavaScript og XML). Etter å ha funnet noe lesestoff og eksempler på utføring satte jeg i gang med å prøve å få til noe.</t>
    </r>
    <r>
      <rPr>
        <b/>
        <sz val="12"/>
        <color theme="1"/>
        <rFont val="Calibri"/>
        <family val="2"/>
        <scheme val="minor"/>
      </rPr>
      <t xml:space="preserve">
Torsdag: </t>
    </r>
    <r>
      <rPr>
        <sz val="12"/>
        <color theme="1"/>
        <rFont val="Calibri"/>
        <family val="2"/>
        <scheme val="minor"/>
      </rPr>
      <t>Har hatt møte i dag hvor vi som vanlig bare gikk kjapt over hva den enkelte har gjort. Flertallet i gruppen hadde ikke noe spesielt å vise frem da jeg og vi ikke hadde gjort så veldig mye nytt siden forrige møte. Litt senere på dagen tok jeg tak der jeg slapp i går ifht. implementering av søkefunksjon, men det ble riktignok en kort økt da motivasjonen ikke var helt på topp. Videre tok jeg kontakt med Joachim for å høre om han kunne hjelpe meg litt i gang.</t>
    </r>
    <r>
      <rPr>
        <b/>
        <sz val="12"/>
        <color theme="1"/>
        <rFont val="Calibri"/>
        <family val="2"/>
        <scheme val="minor"/>
      </rPr>
      <t xml:space="preserve">
Lørdag: </t>
    </r>
    <r>
      <rPr>
        <sz val="12"/>
        <color theme="1"/>
        <rFont val="Calibri"/>
        <family val="2"/>
        <scheme val="minor"/>
      </rPr>
      <t xml:space="preserve">Nytt møte med gruppen hvor blant annet fremgang og klargjøring av innlevering sprint 4 sto på menyen. Etter endt møte samarbeidet jeg og Joachim (etterhvert Adrian og Anders også) om å se på søkefunksjon og implementering av dette. Jeg vil si vi nå er nærme ferdigstilling av denne funksjonen, det krever bare litt mer feilsøking for å få ut den informasjonen vi trenger. Når dette er på plass vil jeg legge til funksjonalitet for å vise dette på en bra måte. Avslutningsvis har jeg vært med på å ferdigstille dokumenter til innlevering.
</t>
    </r>
    <r>
      <rPr>
        <b/>
        <sz val="12"/>
        <color theme="1"/>
        <rFont val="Calibri"/>
        <family val="2"/>
        <scheme val="minor"/>
      </rPr>
      <t xml:space="preserve">Generelt: </t>
    </r>
    <r>
      <rPr>
        <sz val="12"/>
        <color theme="1"/>
        <rFont val="Calibri"/>
        <family val="2"/>
        <scheme val="minor"/>
      </rPr>
      <t>Merker at motivasjonen for å jobbe med systemutvikling og andre fag generelt er spesielt lav i disse dager. Om det er pga. ferie eller disse corona-tider som påvirker motivasjonen skal være usagt. Men som resultat ser man at arbeidstimer er lav ifht. hva som er optimalt.</t>
    </r>
  </si>
  <si>
    <r>
      <t xml:space="preserve">Logg/oppgaver: </t>
    </r>
    <r>
      <rPr>
        <sz val="12"/>
        <color theme="1"/>
        <rFont val="Calibri"/>
        <family val="2"/>
        <scheme val="minor"/>
      </rPr>
      <t>Ferdigstilling av sprint retrospective</t>
    </r>
  </si>
  <si>
    <r>
      <t xml:space="preserve">Utvikling: </t>
    </r>
    <r>
      <rPr>
        <sz val="12"/>
        <color theme="1"/>
        <rFont val="Calibri"/>
        <family val="2"/>
        <scheme val="minor"/>
      </rPr>
      <t>Feilsøking</t>
    </r>
    <r>
      <rPr>
        <b/>
        <sz val="12"/>
        <color theme="1"/>
        <rFont val="Calibri"/>
        <family val="2"/>
        <scheme val="minor"/>
      </rPr>
      <t xml:space="preserve"> </t>
    </r>
    <r>
      <rPr>
        <sz val="12"/>
        <color theme="1"/>
        <rFont val="Calibri"/>
        <family val="2"/>
        <scheme val="minor"/>
      </rPr>
      <t>ifht live search</t>
    </r>
  </si>
  <si>
    <r>
      <t xml:space="preserve">Utvikling: </t>
    </r>
    <r>
      <rPr>
        <sz val="12"/>
        <color theme="1"/>
        <rFont val="Calibri"/>
        <family val="2"/>
        <scheme val="minor"/>
      </rPr>
      <t>Feilsøking og 'ferdigstilling' av live search funksjonaliteten. Får nå hentet ut data fra databasen.</t>
    </r>
    <r>
      <rPr>
        <b/>
        <sz val="12"/>
        <color theme="1"/>
        <rFont val="Calibri"/>
        <family val="2"/>
        <scheme val="minor"/>
      </rPr>
      <t xml:space="preserve"> </t>
    </r>
    <r>
      <rPr>
        <sz val="12"/>
        <color theme="1"/>
        <rFont val="Calibri"/>
        <family val="2"/>
        <scheme val="minor"/>
      </rPr>
      <t>Mangler funksjonalitet til å velge/legge til et resultat i en liste e.l..</t>
    </r>
  </si>
  <si>
    <r>
      <rPr>
        <b/>
        <sz val="12"/>
        <color theme="1"/>
        <rFont val="Calibri"/>
        <family val="2"/>
        <scheme val="minor"/>
      </rPr>
      <t xml:space="preserve">Utvikling: </t>
    </r>
    <r>
      <rPr>
        <sz val="12"/>
        <color theme="1"/>
        <rFont val="Calibri"/>
        <family val="2"/>
        <scheme val="minor"/>
      </rPr>
      <t>Jobbing med design ifht utlisting av resultat(er) i live search</t>
    </r>
  </si>
  <si>
    <r>
      <t>Utvikling:</t>
    </r>
    <r>
      <rPr>
        <sz val="12"/>
        <color theme="1"/>
        <rFont val="Calibri"/>
        <family val="2"/>
        <scheme val="minor"/>
      </rPr>
      <t xml:space="preserve"> Rettet en feil sammen med Adrian i forbindelse med live search. Ved innlasting av flere emner ble søkeresultatet duplisert.</t>
    </r>
  </si>
  <si>
    <r>
      <t xml:space="preserve">Utvikling: </t>
    </r>
    <r>
      <rPr>
        <sz val="12"/>
        <color theme="1"/>
        <rFont val="Calibri"/>
        <family val="2"/>
        <scheme val="minor"/>
      </rPr>
      <t>Research ifht implementering av funksjonalitet som legger et klikket resultat i livesearch til i en tabell.</t>
    </r>
  </si>
  <si>
    <r>
      <t xml:space="preserve">Utvikling: </t>
    </r>
    <r>
      <rPr>
        <sz val="12"/>
        <color theme="1"/>
        <rFont val="Calibri"/>
        <family val="2"/>
        <scheme val="minor"/>
      </rPr>
      <t>Funksjonalitet for klikking på et emne i resultatlisten lagt til.</t>
    </r>
  </si>
  <si>
    <r>
      <t xml:space="preserve">Utvikling: </t>
    </r>
    <r>
      <rPr>
        <sz val="12"/>
        <color theme="1"/>
        <rFont val="Calibri"/>
        <family val="2"/>
        <scheme val="minor"/>
      </rPr>
      <t>Påbegynt research ifht. videresending av klikkede emner i form av et array til oppretteEmne.php</t>
    </r>
    <r>
      <rPr>
        <b/>
        <sz val="12"/>
        <color theme="1"/>
        <rFont val="Calibri"/>
        <family val="2"/>
        <scheme val="minor"/>
      </rPr>
      <t>.</t>
    </r>
  </si>
  <si>
    <r>
      <t>Utvikling:</t>
    </r>
    <r>
      <rPr>
        <sz val="12"/>
        <color theme="1"/>
        <rFont val="Calibri"/>
        <family val="2"/>
        <scheme val="minor"/>
      </rPr>
      <t xml:space="preserve"> Fortsatt research ifht. forrige oppføring.</t>
    </r>
  </si>
  <si>
    <r>
      <t xml:space="preserve">Utvikling: </t>
    </r>
    <r>
      <rPr>
        <sz val="12"/>
        <color theme="1"/>
        <rFont val="Calibri"/>
        <family val="2"/>
        <scheme val="minor"/>
      </rPr>
      <t>Hjulpet Joachim med implementering av livesearch i visAlleEmner.twig.</t>
    </r>
  </si>
  <si>
    <r>
      <t xml:space="preserve">Utvikling: </t>
    </r>
    <r>
      <rPr>
        <sz val="12"/>
        <color theme="1"/>
        <rFont val="Calibri"/>
        <family val="2"/>
        <scheme val="minor"/>
      </rPr>
      <t>Sett videre på videresending av klikkede emner</t>
    </r>
    <r>
      <rPr>
        <b/>
        <sz val="12"/>
        <color theme="1"/>
        <rFont val="Calibri"/>
        <family val="2"/>
        <scheme val="minor"/>
      </rPr>
      <t xml:space="preserve"> </t>
    </r>
    <r>
      <rPr>
        <sz val="12"/>
        <color theme="1"/>
        <rFont val="Calibri"/>
        <family val="2"/>
        <scheme val="minor"/>
      </rPr>
      <t>sammen med Adrian.</t>
    </r>
  </si>
  <si>
    <r>
      <t xml:space="preserve">Logg/oppgaver: </t>
    </r>
    <r>
      <rPr>
        <sz val="12"/>
        <color theme="1"/>
        <rFont val="Calibri"/>
        <family val="2"/>
        <scheme val="minor"/>
      </rPr>
      <t>Opddatering av timeliste</t>
    </r>
  </si>
  <si>
    <r>
      <t xml:space="preserve">Nye roller: </t>
    </r>
    <r>
      <rPr>
        <sz val="12"/>
        <color theme="1"/>
        <rFont val="Calibri"/>
        <family val="2"/>
        <scheme val="minor"/>
      </rPr>
      <t>Scrum-master de to siste ukene i Sprint 5 er Vegard Simonsen.</t>
    </r>
    <r>
      <rPr>
        <b/>
        <sz val="12"/>
        <color theme="1"/>
        <rFont val="Calibri"/>
        <family val="2"/>
        <scheme val="minor"/>
      </rPr>
      <t xml:space="preserve">
Roller:
SCRUM-master i Sprint 5: </t>
    </r>
    <r>
      <rPr>
        <sz val="12"/>
        <color theme="1"/>
        <rFont val="Calibri"/>
        <family val="2"/>
        <scheme val="minor"/>
      </rPr>
      <t>Adrian Chirita / Vegard Simonsen</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
Frontend:</t>
    </r>
    <r>
      <rPr>
        <sz val="12"/>
        <color theme="1"/>
        <rFont val="Calibri"/>
        <family val="2"/>
        <scheme val="minor"/>
      </rPr>
      <t xml:space="preserve"> Joachim Kristensen, Alexander Hansen, Eivind Blom Eriksen
</t>
    </r>
    <r>
      <rPr>
        <b/>
        <sz val="12"/>
        <color theme="1"/>
        <rFont val="Calibri"/>
        <family val="2"/>
        <scheme val="minor"/>
      </rPr>
      <t xml:space="preserve">Mandag: </t>
    </r>
    <r>
      <rPr>
        <sz val="12"/>
        <color theme="1"/>
        <rFont val="Calibri"/>
        <family val="2"/>
        <scheme val="minor"/>
      </rPr>
      <t>Hatt scrum-møte hvor vi både hadde den vanlige sjekken på fremgang og små forberedelser til sprint-review. Synes utførelse av sistnevnte gikk veldig bra, og vi fikk en del tilbakemeldinger i forhold til selve prosjektet som vil tas til etterretning.</t>
    </r>
    <r>
      <rPr>
        <b/>
        <sz val="12"/>
        <color theme="1"/>
        <rFont val="Calibri"/>
        <family val="2"/>
        <scheme val="minor"/>
      </rPr>
      <t xml:space="preserve">
Tirsdag: </t>
    </r>
    <r>
      <rPr>
        <sz val="12"/>
        <color theme="1"/>
        <rFont val="Calibri"/>
        <family val="2"/>
        <scheme val="minor"/>
      </rPr>
      <t>Har i samarbeid med blant annet Adrian og Anders sett over og hjulpet litt til med innlevering av dokumenter til innleveringen i kveld. Jeg tok del i det å skrive sprint retrospective som forøvrig var ganske vanskelig da vi følte at mye egentlig gikk litt igjen fra forrige innlevering.</t>
    </r>
    <r>
      <rPr>
        <b/>
        <sz val="12"/>
        <color theme="1"/>
        <rFont val="Calibri"/>
        <family val="2"/>
        <scheme val="minor"/>
      </rPr>
      <t xml:space="preserve">
Torsdag: </t>
    </r>
    <r>
      <rPr>
        <sz val="12"/>
        <color theme="1"/>
        <rFont val="Calibri"/>
        <family val="2"/>
        <scheme val="minor"/>
      </rPr>
      <t>Sammen med Joachim og Adrian har vi jobbet videre på det å kunne søke etter eksisterende emner rett fra databasen. Ved hjelp av denne funksjonen vil det under opprettelse av et emne kunne søkes etter emner i forbindelse med forkunnskapskrav, søkeresultatene vises etterhvert som en taster inn bokstaver. Etter å ha fått til å hente ut data fra databasen begynte jeg på design ifht. dette. Jeg valgte å gjøre dette ved hjelp av en dropdown-meny da det både virket mest hensiktsmessig og fordi at jeg allerede har implementert flere dropdown-menyer tidligere, slik at det ville være enkelt å implementere nok en gang.</t>
    </r>
    <r>
      <rPr>
        <b/>
        <sz val="12"/>
        <color theme="1"/>
        <rFont val="Calibri"/>
        <family val="2"/>
        <scheme val="minor"/>
      </rPr>
      <t xml:space="preserve">
Fredag: </t>
    </r>
    <r>
      <rPr>
        <sz val="12"/>
        <color theme="1"/>
        <rFont val="Calibri"/>
        <family val="2"/>
        <scheme val="minor"/>
      </rPr>
      <t>I dag begynte jeg dagen med å teste litt mer funksjonalitet i livesearch og fant en liten feil. Jeg tok kontakt med Adrian etter litt feilsøking på egen hånd. Adrian ble kontaktet fordi han var ganske kjent med hvordan livesearch fungerte. Feilen krevde en liten endring i spørringen på backend siden. Etter feilen var rettet gikk jeg i gang med å implementere funksjonalitet for å legge et klikket søkeresultat til i en liste slik at brukeren har kontroll over hvilke emner h*n har lagt til som et krav til et emne. Dette ble gjort ved hjelp av en tabell i HTML hvor et klikket element blir sendt fra søkeresultatet til listen. Søkeresultatet blir fjernet fra listen når det er trykket på, i allefall midlertidig. En funksjon for å fjerne et emne fra tabellen vil bli lagt til når vi er sikker på at søkefunksjonen fungerer som tiltenkt på alle steder hvor vi tenker å implementere denne. Avslutningsvis begynte jeg å se på videresending av klikkede emner til backend slik at de ble med ved oppretting av et emne.</t>
    </r>
    <r>
      <rPr>
        <b/>
        <sz val="12"/>
        <color theme="1"/>
        <rFont val="Calibri"/>
        <family val="2"/>
        <scheme val="minor"/>
      </rPr>
      <t xml:space="preserve">
Lørdag: </t>
    </r>
    <r>
      <rPr>
        <sz val="12"/>
        <color theme="1"/>
        <rFont val="Calibri"/>
        <family val="2"/>
        <scheme val="minor"/>
      </rPr>
      <t>Har sammen med blant annet Anders sett videre på det jeg avsluttet med i går. Vi har ved hjelp av det store internett testet mange ulike funksjoner for å prøve å få dette til, dessverre uten hell. Videre har vi hatt scrum-møte hvor jeg viste frem det vi hadde fått til ifht. livesearch funksjonaliteten. Etter endt møte hjalp jeg Joachim med å implementere dette i visAlleEmner.twig hvor det er tiltenkt at en skal kunne søke etter en emnekode og havne på emnet når det klikkes på i søkeresultatet. Det var heldigvis ikke store endringer vi måtte gjøre for at dette skulle fungere.</t>
    </r>
    <r>
      <rPr>
        <b/>
        <sz val="12"/>
        <color theme="1"/>
        <rFont val="Calibri"/>
        <family val="2"/>
        <scheme val="minor"/>
      </rPr>
      <t xml:space="preserve">
Søndag: </t>
    </r>
    <r>
      <rPr>
        <sz val="12"/>
        <color theme="1"/>
        <rFont val="Calibri"/>
        <family val="2"/>
        <scheme val="minor"/>
      </rPr>
      <t xml:space="preserve">Har kontaktet Adrian og Anders for å prøve å ferdigstille det å kunne videresende klikkede emner til oppretteEmne.php. Det ble en del testing og forklaring av kode til å begynne med, men Adrian løste det til slutt mens jeg var fraværende. </t>
    </r>
  </si>
  <si>
    <r>
      <t xml:space="preserve">Teori: </t>
    </r>
    <r>
      <rPr>
        <sz val="12"/>
        <color theme="1"/>
        <rFont val="Calibri"/>
        <family val="2"/>
        <scheme val="minor"/>
      </rPr>
      <t>Begynt å se på det å ta i bruk feltet for anbefalte forkunnskaper.</t>
    </r>
    <r>
      <rPr>
        <b/>
        <sz val="12"/>
        <color theme="1"/>
        <rFont val="Calibri"/>
        <family val="2"/>
        <scheme val="minor"/>
      </rPr>
      <t xml:space="preserve"> </t>
    </r>
    <r>
      <rPr>
        <sz val="12"/>
        <color theme="1"/>
        <rFont val="Calibri"/>
        <family val="2"/>
        <scheme val="minor"/>
      </rPr>
      <t>Litt usikker hvordan dette feltet skal fungere, men har en idè.</t>
    </r>
  </si>
  <si>
    <r>
      <t xml:space="preserve">Teori: </t>
    </r>
    <r>
      <rPr>
        <sz val="12"/>
        <color theme="1"/>
        <rFont val="Calibri"/>
        <family val="2"/>
        <scheme val="minor"/>
      </rPr>
      <t>Fortsettelse på forrige oppføring. Prøver å finne ut hvordan en kan legge til en knapp inni et input-felt.</t>
    </r>
  </si>
  <si>
    <r>
      <t xml:space="preserve">Utvikling: </t>
    </r>
    <r>
      <rPr>
        <sz val="12"/>
        <color theme="1"/>
        <rFont val="Calibri"/>
        <family val="2"/>
        <scheme val="minor"/>
      </rPr>
      <t>Implementering av knapp som håndterer legger til tekst fra anbefalt arbeidskrav i en tabell.</t>
    </r>
  </si>
  <si>
    <r>
      <t xml:space="preserve">Utvikling: </t>
    </r>
    <r>
      <rPr>
        <sz val="12"/>
        <color theme="1"/>
        <rFont val="Calibri"/>
        <family val="2"/>
        <scheme val="minor"/>
      </rPr>
      <t>Litt omstrukturering ifht forrige oppføring da vi så nytte i å implementere søkefelt for å legge til emnekoder med emnenavn (anbefalte forkunnskaper).</t>
    </r>
  </si>
  <si>
    <r>
      <t xml:space="preserve">Utvikling: </t>
    </r>
    <r>
      <rPr>
        <sz val="12"/>
        <color theme="1"/>
        <rFont val="Calibri"/>
        <family val="2"/>
        <scheme val="minor"/>
      </rPr>
      <t>Fortsatt med omstrukturering og et forsøk på å implementere søkefunksjon i anbefalte forkunnskaper.</t>
    </r>
  </si>
  <si>
    <r>
      <t xml:space="preserve">Utvikling: </t>
    </r>
    <r>
      <rPr>
        <sz val="12"/>
        <color theme="1"/>
        <rFont val="Calibri"/>
        <family val="2"/>
        <scheme val="minor"/>
      </rPr>
      <t>Har laget noe som, til dels, fungerer. Funksjonen henter ut emnekode fra anbefalte forkunnskap-feltet og legges til i egen tabell ved klikk.</t>
    </r>
  </si>
  <si>
    <r>
      <t>Utvikling:</t>
    </r>
    <r>
      <rPr>
        <sz val="12"/>
        <color theme="1"/>
        <rFont val="Calibri"/>
        <family val="2"/>
        <scheme val="minor"/>
      </rPr>
      <t xml:space="preserve"> Lagt til mulighet for å klikke på et emne i emneStatus.twig</t>
    </r>
  </si>
  <si>
    <r>
      <t xml:space="preserve">Utvikling: </t>
    </r>
    <r>
      <rPr>
        <sz val="12"/>
        <color theme="1"/>
        <rFont val="Calibri"/>
        <family val="2"/>
        <scheme val="minor"/>
      </rPr>
      <t>Liten finjustering ifht forrige oppføring da det var problemer med å klikke på en link innad raden hvor emnet befinner seg.</t>
    </r>
  </si>
  <si>
    <r>
      <t xml:space="preserve">Utvikling: </t>
    </r>
    <r>
      <rPr>
        <sz val="12"/>
        <color theme="1"/>
        <rFont val="Calibri"/>
        <family val="2"/>
        <scheme val="minor"/>
      </rPr>
      <t>Litt diverse opprydding og tilpasninger.</t>
    </r>
  </si>
  <si>
    <t>32.1</t>
  </si>
  <si>
    <r>
      <t xml:space="preserve">Utvikling: </t>
    </r>
    <r>
      <rPr>
        <sz val="12"/>
        <color theme="1"/>
        <rFont val="Calibri"/>
        <family val="2"/>
        <scheme val="minor"/>
      </rPr>
      <t>Gjort litt research og implementert litt mer design i visEmne.twig.</t>
    </r>
  </si>
  <si>
    <r>
      <t xml:space="preserve">Utvikling: </t>
    </r>
    <r>
      <rPr>
        <sz val="12"/>
        <color theme="1"/>
        <rFont val="Calibri"/>
        <family val="2"/>
        <scheme val="minor"/>
      </rPr>
      <t>Implementering av checkbox med tilhørende funksjonalitet i visAlleEmner.twig/js.</t>
    </r>
  </si>
  <si>
    <r>
      <t xml:space="preserve">Utvikling: </t>
    </r>
    <r>
      <rPr>
        <sz val="12"/>
        <color theme="1"/>
        <rFont val="Calibri"/>
        <family val="2"/>
        <scheme val="minor"/>
      </rPr>
      <t>Jeg og Adrian har ferdigstilt livesearch.</t>
    </r>
    <r>
      <rPr>
        <b/>
        <sz val="12"/>
        <color theme="1"/>
        <rFont val="Calibri"/>
        <family val="2"/>
        <scheme val="minor"/>
      </rPr>
      <t xml:space="preserve"> </t>
    </r>
    <r>
      <rPr>
        <sz val="12"/>
        <color theme="1"/>
        <rFont val="Calibri"/>
        <family val="2"/>
        <scheme val="minor"/>
      </rPr>
      <t>En del endringer som måtte til for å få forventet resultat.</t>
    </r>
  </si>
  <si>
    <r>
      <t xml:space="preserve">Utvikling: </t>
    </r>
    <r>
      <rPr>
        <sz val="12"/>
        <color theme="1"/>
        <rFont val="Calibri"/>
        <family val="2"/>
        <scheme val="minor"/>
      </rPr>
      <t>Laget en ny branch av tidligere push da det ved en feil hadde blitt overskrevet en del kode.</t>
    </r>
  </si>
  <si>
    <r>
      <t xml:space="preserve">Utvikling: </t>
    </r>
    <r>
      <rPr>
        <sz val="12"/>
        <color theme="1"/>
        <rFont val="Calibri"/>
        <family val="2"/>
        <scheme val="minor"/>
      </rPr>
      <t>Begynt å lage en side hvor en skal kunne tilbakestille diverse informasjon på en bruker.</t>
    </r>
  </si>
  <si>
    <r>
      <t xml:space="preserve">Utvikling: </t>
    </r>
    <r>
      <rPr>
        <sz val="12"/>
        <color theme="1"/>
        <rFont val="Calibri"/>
        <family val="2"/>
        <scheme val="minor"/>
      </rPr>
      <t>Ferdigstilt forrige oppføring. Brukte en del tid på å teste og feilsøke for å kunne sentrere et element på siden.</t>
    </r>
  </si>
  <si>
    <r>
      <t xml:space="preserve">Utvikling: </t>
    </r>
    <r>
      <rPr>
        <sz val="12"/>
        <color theme="1"/>
        <rFont val="Calibri"/>
        <family val="2"/>
        <scheme val="minor"/>
      </rPr>
      <t>Feilsøkt ifht feil med implementering av script i minProfil.twig</t>
    </r>
  </si>
  <si>
    <r>
      <rPr>
        <b/>
        <sz val="12"/>
        <color theme="1"/>
        <rFont val="Calibri"/>
        <family val="2"/>
        <scheme val="minor"/>
      </rPr>
      <t xml:space="preserve">Utvikling: </t>
    </r>
    <r>
      <rPr>
        <sz val="12"/>
        <color theme="1"/>
        <rFont val="Calibri"/>
        <family val="2"/>
        <scheme val="minor"/>
      </rPr>
      <t>Har sammen med Joachim feilsøkt videre og funnet feilen.</t>
    </r>
  </si>
  <si>
    <r>
      <t xml:space="preserve">Utvikling: </t>
    </r>
    <r>
      <rPr>
        <sz val="12"/>
        <color theme="1"/>
        <rFont val="Calibri"/>
        <family val="2"/>
        <scheme val="minor"/>
      </rPr>
      <t>Har begynt med å implementere et skript som håndterer sjekk av navn, e-post etc. i minProfil.twig.</t>
    </r>
  </si>
  <si>
    <r>
      <t xml:space="preserve">Utvikling: </t>
    </r>
    <r>
      <rPr>
        <sz val="12"/>
        <color theme="1"/>
        <rFont val="Calibri"/>
        <family val="2"/>
        <scheme val="minor"/>
      </rPr>
      <t>Har fortsatt på forrige oppføring.</t>
    </r>
  </si>
  <si>
    <r>
      <t xml:space="preserve">Utvikling: </t>
    </r>
    <r>
      <rPr>
        <sz val="12"/>
        <color theme="1"/>
        <rFont val="Calibri"/>
        <family val="2"/>
        <scheme val="minor"/>
      </rPr>
      <t>Har ferdigstilt minProfil.twig og minProfil.js. Har forsøkt litt ulike løsninger, og har dermed endt opp med å bruke mer tid enn tenkt.</t>
    </r>
  </si>
  <si>
    <r>
      <t xml:space="preserve">Utvikling: </t>
    </r>
    <r>
      <rPr>
        <sz val="12"/>
        <color theme="1"/>
        <rFont val="Calibri"/>
        <family val="2"/>
        <scheme val="minor"/>
      </rPr>
      <t>Begynt å se på det å implementere funksjonalitet for å både se og godkjenne et emne direkte i emneStatus.twig</t>
    </r>
    <r>
      <rPr>
        <b/>
        <sz val="12"/>
        <color theme="1"/>
        <rFont val="Calibri"/>
        <family val="2"/>
        <scheme val="minor"/>
      </rPr>
      <t>.</t>
    </r>
  </si>
  <si>
    <r>
      <t xml:space="preserve">Utvikling: </t>
    </r>
    <r>
      <rPr>
        <sz val="12"/>
        <color theme="1"/>
        <rFont val="Calibri"/>
        <family val="2"/>
        <scheme val="minor"/>
      </rPr>
      <t>I slutten av forrige oppføring kontaktet jeg Adrian for å bistå med siste finpuss designmessig.</t>
    </r>
  </si>
  <si>
    <r>
      <t xml:space="preserve">Utvikling: </t>
    </r>
    <r>
      <rPr>
        <sz val="12"/>
        <color theme="1"/>
        <rFont val="Calibri"/>
        <family val="2"/>
        <scheme val="minor"/>
      </rPr>
      <t>Implementasjon av funksjonalitet for å kunne godkjenne/ikke godkjenne et emne i emneStatus.twig.</t>
    </r>
  </si>
  <si>
    <t>Years</t>
  </si>
  <si>
    <t>Months</t>
  </si>
  <si>
    <t>Days</t>
  </si>
  <si>
    <t>Weekend</t>
  </si>
  <si>
    <t>Check Box</t>
  </si>
  <si>
    <t>No Weekend</t>
  </si>
  <si>
    <t>February</t>
  </si>
  <si>
    <t>Sat &amp; Sun</t>
  </si>
  <si>
    <t>March</t>
  </si>
  <si>
    <t>Sun &amp; Mon</t>
  </si>
  <si>
    <t>April</t>
  </si>
  <si>
    <t>Mon &amp; Tue</t>
  </si>
  <si>
    <t>May</t>
  </si>
  <si>
    <t>Tue &amp; Wed</t>
  </si>
  <si>
    <t>June</t>
  </si>
  <si>
    <t>Wed &amp; Thu</t>
  </si>
  <si>
    <t>July</t>
  </si>
  <si>
    <t>Thu &amp; Fri</t>
  </si>
  <si>
    <t>August</t>
  </si>
  <si>
    <t>Fri &amp; Sat</t>
  </si>
  <si>
    <t>September</t>
  </si>
  <si>
    <t>Mon Only</t>
  </si>
  <si>
    <t>October</t>
  </si>
  <si>
    <t>Tue Only</t>
  </si>
  <si>
    <t>November</t>
  </si>
  <si>
    <t>Wed Only</t>
  </si>
  <si>
    <t>December</t>
  </si>
  <si>
    <t>Thu Only</t>
  </si>
  <si>
    <t>Fri Only</t>
  </si>
  <si>
    <t>Sat Only</t>
  </si>
  <si>
    <t>Sun Only</t>
  </si>
  <si>
    <r>
      <t xml:space="preserve">Utvikling: </t>
    </r>
    <r>
      <rPr>
        <sz val="12"/>
        <color theme="1"/>
        <rFont val="Calibri"/>
        <family val="2"/>
        <scheme val="minor"/>
      </rPr>
      <t>Har sett gjennom 'arkivet' på coderefinery for å hente ut en tidligere versjon av livesearch funksjonaliteten for å kunne tilpasses og implementeres i visAlleEmner.twig.</t>
    </r>
  </si>
  <si>
    <r>
      <t>Administrativt:</t>
    </r>
    <r>
      <rPr>
        <sz val="12"/>
        <color theme="1"/>
        <rFont val="Calibri"/>
        <family val="2"/>
        <scheme val="minor"/>
      </rPr>
      <t xml:space="preserve"> Scrum-møte</t>
    </r>
  </si>
  <si>
    <r>
      <t xml:space="preserve">Utvikling: </t>
    </r>
    <r>
      <rPr>
        <sz val="12"/>
        <color theme="1"/>
        <rFont val="Calibri"/>
        <family val="2"/>
        <scheme val="minor"/>
      </rPr>
      <t>Har sammen med medlemmer i gruppen merget mitt arbeid med deres, samtidig som vi har diskutert litt ifht. hva som må prioriteres og på plass snarest.</t>
    </r>
  </si>
  <si>
    <r>
      <t xml:space="preserve">Utvikling: </t>
    </r>
    <r>
      <rPr>
        <sz val="12"/>
        <color theme="1"/>
        <rFont val="Calibri"/>
        <family val="2"/>
        <scheme val="minor"/>
      </rPr>
      <t>Begynt å se på det å implementere en knapp i forkunnskapskrav tabellen som skal kunne fjerne en rad når klikket på.</t>
    </r>
  </si>
  <si>
    <r>
      <t xml:space="preserve">Utvikling: </t>
    </r>
    <r>
      <rPr>
        <sz val="12"/>
        <color theme="1"/>
        <rFont val="Calibri"/>
        <family val="2"/>
        <scheme val="minor"/>
      </rPr>
      <t>Har sammen med Adrian ferdigstilt forrige oppføring.</t>
    </r>
  </si>
  <si>
    <r>
      <t xml:space="preserve">Utvikling: </t>
    </r>
    <r>
      <rPr>
        <sz val="12"/>
        <color theme="1"/>
        <rFont val="Calibri"/>
        <family val="2"/>
        <scheme val="minor"/>
      </rPr>
      <t>Har sammen med Adrian forsøkt å implementere funksjonalitet for å kunne sende de valgte emnene når det klikkes 'send til godkjenning' i oppretteEmne.twig.</t>
    </r>
  </si>
  <si>
    <r>
      <t xml:space="preserve">Administrativt: </t>
    </r>
    <r>
      <rPr>
        <sz val="12"/>
        <color theme="1"/>
        <rFont val="Calibri"/>
        <family val="2"/>
        <scheme val="minor"/>
      </rPr>
      <t>Har sammen med gruppen sett over product/sprint backlog og gjort nødvendige endringer.</t>
    </r>
  </si>
  <si>
    <t>37.1</t>
  </si>
  <si>
    <t>37.2</t>
  </si>
  <si>
    <t>37.3</t>
  </si>
  <si>
    <t>40.1</t>
  </si>
  <si>
    <t>38.1</t>
  </si>
  <si>
    <t>13.2</t>
  </si>
  <si>
    <t>41.1</t>
  </si>
  <si>
    <r>
      <t xml:space="preserve">Utvikling: </t>
    </r>
    <r>
      <rPr>
        <sz val="12"/>
        <color theme="1"/>
        <rFont val="Calibri"/>
        <family val="2"/>
        <scheme val="minor"/>
      </rPr>
      <t>Gjør små endringer på design ifht. knappen som legger til arbeidskrav.</t>
    </r>
  </si>
  <si>
    <r>
      <t xml:space="preserve">Utvikling: </t>
    </r>
    <r>
      <rPr>
        <sz val="12"/>
        <color theme="1"/>
        <rFont val="Calibri"/>
        <family val="2"/>
        <scheme val="minor"/>
      </rPr>
      <t>Tilpasninger og endringer i design på opprettEmne.twig</t>
    </r>
  </si>
  <si>
    <r>
      <t xml:space="preserve">Utvikling: </t>
    </r>
    <r>
      <rPr>
        <sz val="12"/>
        <color theme="1"/>
        <rFont val="Calibri"/>
        <family val="2"/>
        <scheme val="minor"/>
      </rPr>
      <t>Påbegynt implementering av tilsvarende knapp for å fjerne et arbeidskrav.</t>
    </r>
  </si>
  <si>
    <r>
      <t xml:space="preserve">Logg/Oppgaver: </t>
    </r>
    <r>
      <rPr>
        <sz val="12"/>
        <color theme="1"/>
        <rFont val="Calibri"/>
        <family val="2"/>
        <scheme val="minor"/>
      </rPr>
      <t>Har oppdatert oppsummeringen i timelisten.</t>
    </r>
  </si>
  <si>
    <r>
      <t xml:space="preserve">Utvikling: </t>
    </r>
    <r>
      <rPr>
        <sz val="12"/>
        <color theme="1"/>
        <rFont val="Calibri"/>
        <family val="2"/>
        <scheme val="minor"/>
      </rPr>
      <t>Har sammen med Vegard sett litt på designet i opprett/endreEmne.twig</t>
    </r>
  </si>
  <si>
    <r>
      <t xml:space="preserve">Roller:
SCRUM-master i Sprint 5: </t>
    </r>
    <r>
      <rPr>
        <sz val="12"/>
        <color theme="1"/>
        <rFont val="Calibri"/>
        <family val="2"/>
        <scheme val="minor"/>
      </rPr>
      <t>Vegard Simonsen</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
Frontend:</t>
    </r>
    <r>
      <rPr>
        <sz val="12"/>
        <color theme="1"/>
        <rFont val="Calibri"/>
        <family val="2"/>
        <scheme val="minor"/>
      </rPr>
      <t xml:space="preserve"> Joachim Kristensen, Alexander Hansen, Eivind Blom Eriksen</t>
    </r>
    <r>
      <rPr>
        <b/>
        <sz val="12"/>
        <color theme="1"/>
        <rFont val="Calibri"/>
        <family val="2"/>
        <scheme val="minor"/>
      </rPr>
      <t xml:space="preserve">
Tirsdag: </t>
    </r>
    <r>
      <rPr>
        <sz val="12"/>
        <color theme="1"/>
        <rFont val="Calibri"/>
        <family val="2"/>
        <scheme val="minor"/>
      </rPr>
      <t>Har i dag begynt å se og tenke på hvordan anbefalte forkunnskaper skal løses ifht nabofeltet, forkunnskapskrav. Første tanke var å la brukeren legge til egenkomponert tekst til i listen. Dette implementerte jeg, og det både så og fungerte greit, men jeg var ikke helt fornøyd, og ville heller ha tilsvarende søkefunksjon i dette feltet. Tankene på hvordan en skulle løse dette begynte å svirre. For å kunne løse dette må jeg lytte på begge knappene individuelt slik at den ene ikke påvirker den andre. Samtidig må jeg kunne sammenligne innholdet med det som eventuelt er lagt til hos naboen, slik at en ikke kan ha to identiske emnekoder i begge tabellene.</t>
    </r>
    <r>
      <rPr>
        <b/>
        <sz val="12"/>
        <color theme="1"/>
        <rFont val="Calibri"/>
        <family val="2"/>
        <scheme val="minor"/>
      </rPr>
      <t xml:space="preserve">
Onsdag: </t>
    </r>
    <r>
      <rPr>
        <sz val="12"/>
        <color theme="1"/>
        <rFont val="Calibri"/>
        <family val="2"/>
        <scheme val="minor"/>
      </rPr>
      <t>Har begynt med implementering av livesearch i anbefalte forkunnskaper - feltet. Emnekodene fra listen(e) sendes nå i hver sin tabell ved klikk. Utfordringen underveis har vært at den ene påvirker den andre, men har en anelse om hvorfor.</t>
    </r>
    <r>
      <rPr>
        <b/>
        <sz val="12"/>
        <color theme="1"/>
        <rFont val="Calibri"/>
        <family val="2"/>
        <scheme val="minor"/>
      </rPr>
      <t xml:space="preserve"> </t>
    </r>
    <r>
      <rPr>
        <sz val="12"/>
        <color theme="1"/>
        <rFont val="Calibri"/>
        <family val="2"/>
        <scheme val="minor"/>
      </rPr>
      <t>Videre får jeg dupliserte resultater ved 'oppdatering' av dropdown-feltet hvor søkeresultat vises.</t>
    </r>
    <r>
      <rPr>
        <b/>
        <sz val="12"/>
        <color theme="1"/>
        <rFont val="Calibri"/>
        <family val="2"/>
        <scheme val="minor"/>
      </rPr>
      <t xml:space="preserve"> </t>
    </r>
    <r>
      <rPr>
        <sz val="12"/>
        <color theme="1"/>
        <rFont val="Calibri"/>
        <family val="2"/>
        <scheme val="minor"/>
      </rPr>
      <t>Foreløpig har jeg forsøkt å finne/tenke ut en løsning hvor begge disse feltene vil fungere individuelt, og samtidig unngå duplisert kode. I og med at det viser seg at dette tar alt for mye tid ender jeg til slutt opp med å nærmest dele koden i to og gjør heller sjekker på hvilket søkefelt som er aktivt.</t>
    </r>
    <r>
      <rPr>
        <b/>
        <sz val="12"/>
        <color theme="1"/>
        <rFont val="Calibri"/>
        <family val="2"/>
        <scheme val="minor"/>
      </rPr>
      <t xml:space="preserve">
Torsdag: </t>
    </r>
    <r>
      <rPr>
        <sz val="12"/>
        <color theme="1"/>
        <rFont val="Calibri"/>
        <family val="2"/>
        <scheme val="minor"/>
      </rPr>
      <t xml:space="preserve">Hatt scrum-møte hvor vi startet med gjennomgang av hva den enkelte hadde gjort. Gjennom møtet ble det uttrykt at det var behov for et enkelt dokument hvor den enkelte kunne legge inn hva som jobbes med og hva som er planen(e) videre mot ferdigstilling av prosjektet 10. mai. Dette gjorde vi i et forsøk på å forenkle oversikten over hvem som eventuelt er opptatt eller er ledig og kan gjøre mer arbeid. Etter endt møte gikk jeg igang med å forbedre emneStatus.twig slik at en enkelt kan godkjenne et emne. Tanken var å implementere mulighet for å kunne klikke på en rad i oversikten slik at man ble sendt til det aktuelle emnet. Når jeg trodde jeg var ferdig med dette fant jeg en liten bug som resulterte i at en ble sendt videre til emnet selv om man bare ville se kommentaren for emnet (funksjonalitet som Eivind har implementert). For  å ordne opp i dette la jeg til en linje kode i JavaScript som forhindret at andre 'actions' ble kjørt når en klikket på kommentar-knappen.
</t>
    </r>
    <r>
      <rPr>
        <b/>
        <sz val="12"/>
        <color theme="1"/>
        <rFont val="Calibri"/>
        <family val="2"/>
        <scheme val="minor"/>
      </rPr>
      <t xml:space="preserve">
Lørdag: </t>
    </r>
    <r>
      <rPr>
        <sz val="12"/>
        <color theme="1"/>
        <rFont val="Calibri"/>
        <family val="2"/>
        <scheme val="minor"/>
      </rPr>
      <t>I forkant av møtet ga jeg visEmne.twig et lite ansiktsløft. Ved hjelp av fontawesome biblioteket la jeg inn passende ikoner for hver rad i visning av emnet. Samtidig gjorde jeg en endring på knappene som eksisterer på denne siden. Nå er alle knappene å finne i en dropdown-meny, og hver knapp har fått sitt lille ikon. Under møtet viste jeg frem hva jeg hadde gjort og responsen var veldig positiv. Som en siste fix i etterkant av møtet har jeg sentrert ikonene slik at de bedre rader og tekst i x og y-aksen.</t>
    </r>
    <r>
      <rPr>
        <b/>
        <sz val="12"/>
        <color theme="1"/>
        <rFont val="Calibri"/>
        <family val="2"/>
        <scheme val="minor"/>
      </rPr>
      <t xml:space="preserve"> </t>
    </r>
    <r>
      <rPr>
        <sz val="12"/>
        <color theme="1"/>
        <rFont val="Calibri"/>
        <family val="2"/>
        <scheme val="minor"/>
      </rPr>
      <t xml:space="preserve">Etter dette var ferdig ba Joachim om hjelp til å implementere en ny knapp for filtrering av enkeltemner. Hadde en del utfordringer med å plassere denne da jeg blant annet ikke var helt kjent med oppsettet til visAlleEmner.twig. </t>
    </r>
  </si>
  <si>
    <r>
      <t xml:space="preserve">Logg/Oppgaver: </t>
    </r>
    <r>
      <rPr>
        <sz val="12"/>
        <color theme="1"/>
        <rFont val="Calibri"/>
        <family val="2"/>
        <scheme val="minor"/>
      </rPr>
      <t>Har oppdatert oppsummeringen i timelistene (U. 18 og 19)</t>
    </r>
  </si>
  <si>
    <r>
      <t xml:space="preserve">Logg/Oppgaver: </t>
    </r>
    <r>
      <rPr>
        <sz val="12"/>
        <color theme="1"/>
        <rFont val="Calibri"/>
        <family val="2"/>
        <scheme val="minor"/>
      </rPr>
      <t>Har oppdatert timelisten(e) med korrekte backlog item.</t>
    </r>
  </si>
  <si>
    <r>
      <t xml:space="preserve">Utvikling: </t>
    </r>
    <r>
      <rPr>
        <sz val="12"/>
        <color theme="1"/>
        <rFont val="Calibri"/>
        <family val="2"/>
        <scheme val="minor"/>
      </rPr>
      <t>Har lagt til marginer i copyArchivedEmneToNew.twig.</t>
    </r>
  </si>
  <si>
    <r>
      <t xml:space="preserve">Utvikling: </t>
    </r>
    <r>
      <rPr>
        <sz val="12"/>
        <color theme="1"/>
        <rFont val="Calibri"/>
        <family val="2"/>
        <scheme val="minor"/>
      </rPr>
      <t>Har</t>
    </r>
    <r>
      <rPr>
        <b/>
        <sz val="12"/>
        <color theme="1"/>
        <rFont val="Calibri"/>
        <family val="2"/>
        <scheme val="minor"/>
      </rPr>
      <t xml:space="preserve"> </t>
    </r>
    <r>
      <rPr>
        <sz val="12"/>
        <color theme="1"/>
        <rFont val="Calibri"/>
        <family val="2"/>
        <scheme val="minor"/>
      </rPr>
      <t>tilpasset designet i endringAvEmne.twig</t>
    </r>
  </si>
  <si>
    <r>
      <t xml:space="preserve">Logg/Oppgaver: </t>
    </r>
    <r>
      <rPr>
        <sz val="12"/>
        <color theme="1"/>
        <rFont val="Calibri"/>
        <family val="2"/>
        <scheme val="minor"/>
      </rPr>
      <t>Oppdatering av timeliste (U. 19).</t>
    </r>
  </si>
  <si>
    <r>
      <t xml:space="preserve">Roller:
SCRUM-master i Sprint 5: </t>
    </r>
    <r>
      <rPr>
        <sz val="12"/>
        <color theme="1"/>
        <rFont val="Calibri"/>
        <family val="2"/>
        <scheme val="minor"/>
      </rPr>
      <t>Vegard Simonsen</t>
    </r>
    <r>
      <rPr>
        <b/>
        <sz val="12"/>
        <color theme="1"/>
        <rFont val="Calibri"/>
        <family val="2"/>
        <scheme val="minor"/>
      </rPr>
      <t xml:space="preserve">
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
Frontend:</t>
    </r>
    <r>
      <rPr>
        <sz val="12"/>
        <color theme="1"/>
        <rFont val="Calibri"/>
        <family val="2"/>
        <scheme val="minor"/>
      </rPr>
      <t xml:space="preserve"> Joachim Kristensen, Alexander Hansen, Eivind Blom Eriksen</t>
    </r>
    <r>
      <rPr>
        <b/>
        <sz val="12"/>
        <color theme="1"/>
        <rFont val="Calibri"/>
        <family val="2"/>
        <scheme val="minor"/>
      </rPr>
      <t xml:space="preserve">
Mandag: </t>
    </r>
    <r>
      <rPr>
        <sz val="12"/>
        <color theme="1"/>
        <rFont val="Calibri"/>
        <family val="2"/>
        <scheme val="minor"/>
      </rPr>
      <t>Har hatt møte hvor jeg viste frem det jeg hadde ordnet siden forrige møte. Senere på dagen tok jeg og Adrian en titt på livesearch igjen. Målet for i dag var å få begge feltene til å fungere 'uavhengig' av hverandre, og resultatene skal presenteres i hver sin tabell slik at bruker enkelt kan se hva h*n har valgt som krav/anbefalt.</t>
    </r>
    <r>
      <rPr>
        <b/>
        <sz val="12"/>
        <color theme="1"/>
        <rFont val="Calibri"/>
        <family val="2"/>
        <scheme val="minor"/>
      </rPr>
      <t xml:space="preserve"> </t>
    </r>
    <r>
      <rPr>
        <sz val="12"/>
        <color theme="1"/>
        <rFont val="Calibri"/>
        <family val="2"/>
        <scheme val="minor"/>
      </rPr>
      <t>For å få dette til måtte vi gjøre ytterligere endringer i både oppretteEmne.js og sokForkunnskap.php. Blant annet måtte vi omgjøre på dataene vi sendte inn til php-skriptet via Ajax, samtidig måtte det endringer til i selve database-spørringen for å få ut forventet resultat bare en gang dersom et element er lagt til i en av tabellene. Dette løste vi ved hjelp av å ta vare på de valgte emnene i form av et array slik at vi hele tiden kunne oppdatere spørringen med dette arrayet og få tilbake alle andre emnekoder enn de som fantes i arrayet.</t>
    </r>
    <r>
      <rPr>
        <b/>
        <sz val="12"/>
        <color theme="1"/>
        <rFont val="Calibri"/>
        <family val="2"/>
        <scheme val="minor"/>
      </rPr>
      <t xml:space="preserve"> </t>
    </r>
    <r>
      <rPr>
        <sz val="12"/>
        <color theme="1"/>
        <rFont val="Calibri"/>
        <family val="2"/>
        <scheme val="minor"/>
      </rPr>
      <t>Det er i korte trekk det vi gjorde for å få forventet resultat, men det tok også tett over ti timer å få til da vi underveis blant annet slet med duplikater i resultatene.</t>
    </r>
    <r>
      <rPr>
        <b/>
        <sz val="12"/>
        <color theme="1"/>
        <rFont val="Calibri"/>
        <family val="2"/>
        <scheme val="minor"/>
      </rPr>
      <t xml:space="preserve">
Tirsdag: </t>
    </r>
    <r>
      <rPr>
        <sz val="12"/>
        <color theme="1"/>
        <rFont val="Calibri"/>
        <family val="2"/>
        <scheme val="minor"/>
      </rPr>
      <t>I dag ble jeg nødt til å starte dagen med å branche ut ifra en tidligere push da det ble merget inn kode på nåværende branch som forårsaket at en del kode 'gikk tapt'. Ikke et kjempestort problem da vi uansett kan hente ut kode fra tidligere commits, men det viser allikevel hvor sårbart en kan være dersom en ikke har noe form for backup. For nå fokuserte jeg heller på å begynne på neste del i prosjektet, nemlig det å lage en side hvor en bruker kan endre sin brukerinformasjon. Første utfordring var å sentrere skjemaet, men med en del research på nett fikk jeg sentrert det. Etterfulgt av dette fikk jeg en del trøbbel med scripts på siden, da det virket som om det ikke fungerte i det hele tatt. Feilen, som jeg forøvrig fant ut av ganske kjapt, lå i rekkefølgen på innhenting av scripts. I og med at vi benytter Bootstrap m/ JavaScript og jQuery er det veldig viktig hvilken rekkefølge disse lastes inn. Men selv om rekkefølgen var korrekt hadde jeg fremdeles utfordringer. For å hjelpe meg med å lokalisere feilen tok jeg kontakt med Joachim som ga meg link til et annet skript som merkelig nok fungerte.</t>
    </r>
    <r>
      <rPr>
        <b/>
        <sz val="12"/>
        <color theme="1"/>
        <rFont val="Calibri"/>
        <family val="2"/>
        <scheme val="minor"/>
      </rPr>
      <t xml:space="preserve"> </t>
    </r>
    <r>
      <rPr>
        <sz val="12"/>
        <color theme="1"/>
        <rFont val="Calibri"/>
        <family val="2"/>
        <scheme val="minor"/>
      </rPr>
      <t>For nå lot jeg det være slik å fortsatte med å sette opp skriptet.</t>
    </r>
    <r>
      <rPr>
        <b/>
        <sz val="12"/>
        <color theme="1"/>
        <rFont val="Calibri"/>
        <family val="2"/>
        <scheme val="minor"/>
      </rPr>
      <t xml:space="preserve">
Onsdag:  </t>
    </r>
    <r>
      <rPr>
        <sz val="12"/>
        <color theme="1"/>
        <rFont val="Calibri"/>
        <family val="2"/>
        <scheme val="minor"/>
      </rPr>
      <t>Til å begynne med var det tenkt at brukeren skulle kunne endre f.eks. etternavn uten å måtte taste inn e-post, passord etc., men dette ble ganske kjapt skrotet da det viste seg å være for tidskrevende. minProfil.twig og tilhørende skript er implementert og brukeren kan endre sin brukerinformasjon. Ved endring av denne informasjonen har hvert felt en regex som sier noe om krav og lengde. Når f.eks. fornavn er korrekt utfylt vil dette indikeres ved hjelp av farger.</t>
    </r>
    <r>
      <rPr>
        <b/>
        <sz val="12"/>
        <color theme="1"/>
        <rFont val="Calibri"/>
        <family val="2"/>
        <scheme val="minor"/>
      </rPr>
      <t xml:space="preserve"> 
Torsdag: </t>
    </r>
    <r>
      <rPr>
        <sz val="12"/>
        <color theme="1"/>
        <rFont val="Calibri"/>
        <family val="2"/>
        <scheme val="minor"/>
      </rPr>
      <t>I dag tok jeg frem emneStatus.twig igjen. Ønsket var å forbedre denne siden slik at en kunne godkjenne emnet direkte på siden. For å løse dette har jeg valgt å gjøre det slik at radene kan klikkes på og emnet vises ved hjelp av accordion/collapse klassen(e) til Bootstrap. Som en siste finish la jeg, med hjelp fra Adrian, inn muligheten til å kun kunne vise et emne om gangen. Etterfulgt av dette kontaktet jeg Anders som hjalp til med å implementere funksjonalitet i backend for å kunne godkjenne emnet.</t>
    </r>
    <r>
      <rPr>
        <b/>
        <sz val="12"/>
        <color theme="1"/>
        <rFont val="Calibri"/>
        <family val="2"/>
        <scheme val="minor"/>
      </rPr>
      <t xml:space="preserve">
Fredag: </t>
    </r>
    <r>
      <rPr>
        <sz val="12"/>
        <color theme="1"/>
        <rFont val="Calibri"/>
        <family val="2"/>
        <scheme val="minor"/>
      </rPr>
      <t>Har hatt scrum-møte hvor jeg viste frem emneStatus.twig og responsen var positiv. Etterfulgt av møtet gikk vi sammen for å merge mitt arbeid med deres i en annen branch. Jeg er ikke så fryktelig flink på dette med Git og merge så var greit å ha noen som kunne hjelpe til. Senere begynte jeg med å legge til mulighet for å kunne fjerne et valgt forkunnskapskrav / anbefalte forkunnskaper. Hadde en del trøbbel med plassering av knappen som skulle representere fjerning av en rad, men med hjelp fra Adrian fikk vi logikken på plass. Til slutt måtte vi bare pynte litt på det før vi begynte med å legge til funksjonalitet som gjorde at de fjernede elementene dukket opp i søkeresultatet igjen.</t>
    </r>
    <r>
      <rPr>
        <b/>
        <sz val="12"/>
        <color theme="1"/>
        <rFont val="Calibri"/>
        <family val="2"/>
        <scheme val="minor"/>
      </rPr>
      <t xml:space="preserve">
Lørdag: </t>
    </r>
    <r>
      <rPr>
        <sz val="12"/>
        <color theme="1"/>
        <rFont val="Calibri"/>
        <family val="2"/>
        <scheme val="minor"/>
      </rPr>
      <t xml:space="preserve">Sammen med Adrian har vi lagt til innsending av de valgte dataene til opprettEmne.php. Dette tok mye lenger tid enn jeg hadde sett for meg. Mulig fordi vi prøvde å løse det på en mye vanskeligere måte enn om vi bare hadde begynt med å legge alt i et array som var Adrian's første idè. Etterfulgt av dette hadde gruppen et møte hvor vi så over og gjorde nødvendige oppdateringer på product og sprint backlog. I begge måtte det en del endringer til da vi ble enige om å kansellere enkelte aktiviteter, samtidig som vi måtte legge til andre aktiviteter. Dette var fordi vi underveis i sprint 5 har kommet med nye behov og idèer som enten har erstattet en annen aktiviteter eller at vi av tidsmessige årsaker ikke ser at vi får på plass noen av aktivitetene. Avslutningsvis har jeg oppdatert timelistene med backlog item slik at Adrian kunne begynne med burn up/down tidligst mulig.
</t>
    </r>
    <r>
      <rPr>
        <b/>
        <sz val="12"/>
        <color theme="1"/>
        <rFont val="Calibri"/>
        <family val="2"/>
        <scheme val="minor"/>
      </rPr>
      <t xml:space="preserve">Søndag: </t>
    </r>
    <r>
      <rPr>
        <sz val="12"/>
        <color theme="1"/>
        <rFont val="Calibri"/>
        <family val="2"/>
        <scheme val="minor"/>
      </rPr>
      <t xml:space="preserve">Har gjort små endringer på designet i opprettEmne.twig. Blant annet legges det til design for 'legg til' og 'fjern'  knappen som Vegard har implementert funksjonalitet for. Begynte med å gjøre endringer i tilhørende script også, hvor alt så ut til å fungere når man trykket 'legg til', men 'fjern' fungerte ikke. Jeg viste hva som var problemet, men det begynte å bli ganske seint slik at jeg overleverte problemet til Vegard som fikset det kort tid etter. Senere på dagen hadde vi scrum-møte hvor planen egentlig var å begynne med ferdigstilling av product/sprint backlog, men i og med at Adrian, som har hatt hovedansvaret for burn up/down ikke var til stede ble vi enige om å møtes igjen senere på dagen. Til slutt har jeg fikset noen design-feil i copyArchivedEmneToNew.twig og endringAvEmne.twig.
</t>
    </r>
    <r>
      <rPr>
        <b/>
        <sz val="12"/>
        <color theme="1"/>
        <rFont val="Calibri"/>
        <family val="2"/>
        <scheme val="minor"/>
      </rPr>
      <t xml:space="preserve">Generelt: </t>
    </r>
    <r>
      <rPr>
        <sz val="12"/>
        <color theme="1"/>
        <rFont val="Calibri"/>
        <family val="2"/>
        <scheme val="minor"/>
      </rPr>
      <t>Denne oppsummeringen ble ganske lang, men det har også med at jeg har nesten 40 arbeidstimer.Jeg synes det har vært en effektiv arbeidsuke hvor jeg har fått gjort mye. Selv skulle jeg ønsket jeg hadde enda mer tid hvor jeg kunne lagt til mer design og funksjonalitet. På tampen her fikk jeg akkurat omgjort på designet i endringAvEmne.twig slik at det var lik oppretteEmne.twig. Enkelte plasser vil en kunne finne spor av både design og funksjonalitet som mangler ifht. originalen oppretteEmne.twig.</t>
    </r>
    <r>
      <rPr>
        <b/>
        <sz val="12"/>
        <color theme="1"/>
        <rFont val="Calibri"/>
        <family val="2"/>
        <scheme val="minor"/>
      </rPr>
      <t xml:space="preserve">
</t>
    </r>
  </si>
  <si>
    <r>
      <t xml:space="preserve">Administrativt: </t>
    </r>
    <r>
      <rPr>
        <sz val="12"/>
        <color theme="1"/>
        <rFont val="Calibri"/>
        <family val="2"/>
        <scheme val="minor"/>
      </rPr>
      <t>Scrum-møte / forberedelse til sprint review</t>
    </r>
  </si>
  <si>
    <r>
      <t xml:space="preserve">Logg/Oppgaver: </t>
    </r>
    <r>
      <rPr>
        <sz val="12"/>
        <color theme="1"/>
        <rFont val="Calibri"/>
        <family val="2"/>
        <scheme val="minor"/>
      </rPr>
      <t>Jobbing med dokumenter som skal innleveres i kveld.</t>
    </r>
  </si>
  <si>
    <r>
      <t>Logg/Oppgaver:</t>
    </r>
    <r>
      <rPr>
        <sz val="12"/>
        <color theme="1"/>
        <rFont val="Calibri"/>
        <family val="2"/>
        <scheme val="minor"/>
      </rPr>
      <t xml:space="preserve"> Diskusjon rundt sprint review og forberedelse til presentasjon</t>
    </r>
    <r>
      <rPr>
        <b/>
        <sz val="12"/>
        <color theme="1"/>
        <rFont val="Calibri"/>
        <family val="2"/>
        <scheme val="minor"/>
      </rPr>
      <t>.</t>
    </r>
  </si>
  <si>
    <r>
      <rPr>
        <b/>
        <sz val="12"/>
        <color theme="1"/>
        <rFont val="Calibri"/>
        <family val="2"/>
        <scheme val="minor"/>
      </rPr>
      <t>Utvikling:</t>
    </r>
    <r>
      <rPr>
        <sz val="12"/>
        <color theme="1"/>
        <rFont val="Calibri"/>
        <family val="2"/>
        <scheme val="minor"/>
      </rPr>
      <t xml:space="preserve"> Feilsøking i forbindelse med utlisting av brukere i emneansvarlig-feltet.</t>
    </r>
  </si>
  <si>
    <r>
      <t xml:space="preserve">Utvikling: </t>
    </r>
    <r>
      <rPr>
        <sz val="12"/>
        <color theme="1"/>
        <rFont val="Calibri"/>
        <family val="2"/>
        <scheme val="minor"/>
      </rPr>
      <t>Tatt i bruk livesearch kode for emneansvarlig feltet også, nå kan det søkes etter brukere i systemet.</t>
    </r>
  </si>
  <si>
    <r>
      <t xml:space="preserve">Utvikling: </t>
    </r>
    <r>
      <rPr>
        <sz val="12"/>
        <color theme="1"/>
        <rFont val="Calibri"/>
        <family val="2"/>
        <scheme val="minor"/>
      </rPr>
      <t>Feilsøking av feilmelding(er) sammen med Anders i forbindelse med oppretteEmne.twig/php, endringAvEmne.twig /php, databaseQuery.php</t>
    </r>
  </si>
  <si>
    <r>
      <t xml:space="preserve">Utvikling: </t>
    </r>
    <r>
      <rPr>
        <sz val="12"/>
        <color theme="1"/>
        <rFont val="Calibri"/>
        <family val="2"/>
        <scheme val="minor"/>
      </rPr>
      <t>Fortsettelse på forrige oppføring. Trengs definitivt mer testing.</t>
    </r>
  </si>
  <si>
    <r>
      <t xml:space="preserve">Utvikling: </t>
    </r>
    <r>
      <rPr>
        <sz val="12"/>
        <color theme="1"/>
        <rFont val="Calibri"/>
        <family val="2"/>
        <scheme val="minor"/>
      </rPr>
      <t>Testing av produktet, da med fokus på det jeg har arbeidet med (oppretteEmne, minProfil, emneStatus)</t>
    </r>
  </si>
  <si>
    <r>
      <t xml:space="preserve">Utvikling: </t>
    </r>
    <r>
      <rPr>
        <sz val="12"/>
        <color theme="1"/>
        <rFont val="Calibri"/>
        <family val="2"/>
        <scheme val="minor"/>
      </rPr>
      <t>Testing av minProfil, viste seg at det var en del feil da det ikke ser ut til å ha blitt testet etter vi laget design og funksjonalitet for det.</t>
    </r>
  </si>
  <si>
    <r>
      <t xml:space="preserve">Logg/Oppgaver: </t>
    </r>
    <r>
      <rPr>
        <sz val="12"/>
        <color theme="1"/>
        <rFont val="Calibri"/>
        <family val="2"/>
        <scheme val="minor"/>
      </rPr>
      <t>Oppdatere timelisten + sammendrag.</t>
    </r>
  </si>
  <si>
    <r>
      <t xml:space="preserve">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
Frontend:</t>
    </r>
    <r>
      <rPr>
        <sz val="12"/>
        <color theme="1"/>
        <rFont val="Calibri"/>
        <family val="2"/>
        <scheme val="minor"/>
      </rPr>
      <t xml:space="preserve"> Joachim Kristensen, Alexander Hansen, Eivind Blom Eriksen</t>
    </r>
    <r>
      <rPr>
        <b/>
        <sz val="12"/>
        <color theme="1"/>
        <rFont val="Calibri"/>
        <family val="2"/>
        <scheme val="minor"/>
      </rPr>
      <t xml:space="preserve">
Tirsdag: </t>
    </r>
    <r>
      <rPr>
        <sz val="12"/>
        <color theme="1"/>
        <rFont val="Calibri"/>
        <family val="2"/>
        <scheme val="minor"/>
      </rPr>
      <t>Har i dag hatt sprint-review hvor vi presenterte fremgang og hvordan produktet fungerer den dag i dag og veien videre mot innlevering.</t>
    </r>
    <r>
      <rPr>
        <b/>
        <sz val="12"/>
        <color theme="1"/>
        <rFont val="Calibri"/>
        <family val="2"/>
        <scheme val="minor"/>
      </rPr>
      <t xml:space="preserve"> </t>
    </r>
    <r>
      <rPr>
        <sz val="12"/>
        <color theme="1"/>
        <rFont val="Calibri"/>
        <family val="2"/>
        <scheme val="minor"/>
      </rPr>
      <t>Selv synes jeg presentasjonen gikk bra, og føler ikke det er noe mer å tilføye ifht. det. Det som derimot kan være greit å nevne er at funksjonalitet for f.eks. å kunne tilordne et emne (emneansvarlig) til en annen, ikke var tenkt på, dvs. vi hadde feltet, design og grunnleggende funksjonalitet for det, men det var ikke gjort stort utover det. Etter endt sprint-review gikk vi sammen om å diskutere litt rundt møtet/presentasjonen og begynte på ferdigstilling av dokumentene som skulle inn samme dag. Senere samme dag så jeg litt på emneansvarlig-feltet ved opprettelse av et nytt emne. Nå er det jo slik at selve utviklingen, i form av implementering av ny funksjonalitet, er over. I steden for å implementere noe ny funksjonalitet, prøvde jeg å legge til rette for at en skal kunne søke etter en bruker i databasen ved hjelp av livesearch som allerede er implementert.</t>
    </r>
    <r>
      <rPr>
        <b/>
        <sz val="12"/>
        <color theme="1"/>
        <rFont val="Calibri"/>
        <family val="2"/>
        <scheme val="minor"/>
      </rPr>
      <t xml:space="preserve">
Onsdag: </t>
    </r>
    <r>
      <rPr>
        <sz val="12"/>
        <color theme="1"/>
        <rFont val="Calibri"/>
        <family val="2"/>
        <scheme val="minor"/>
      </rPr>
      <t>I dag fortsetter jeg der jeg slapp i går. For å kunne bruke livesearch for å søke etter brukere i systemet måtte det endres noen linjer kode for å få forventet resultat. Når dette var gjort og vi så litt videre på funksjonaliteten for å kunne tilordne emnet en annen bruker viste det seg å være en hindring i databasen som rett og slett hindret oss i å kunne gjøre dette ferdig. I og med at vi er så nærme innlevering av produktet har vi valgt å ikke gjøre noe endringer i databasen, som i verste tilfelle kunne forårsaket andre feil og kostet oss verdifull tid. Avslutningsvis kan jeg si at designet for hvordan det er tenkt å fungere, er ferdig, men selve funksjonaliteten og tilordning av emneansvarlig er litt så som så.</t>
    </r>
    <r>
      <rPr>
        <b/>
        <sz val="12"/>
        <color theme="1"/>
        <rFont val="Calibri"/>
        <family val="2"/>
        <scheme val="minor"/>
      </rPr>
      <t xml:space="preserve">
Torsdag: </t>
    </r>
    <r>
      <rPr>
        <sz val="12"/>
        <color theme="1"/>
        <rFont val="Calibri"/>
        <family val="2"/>
        <scheme val="minor"/>
      </rPr>
      <t xml:space="preserve">I dag har jeg benyttet dagen til å teste produktet vårt ytterligere. Jeg har forsåvidt fokusert på det jeg har produsert og vært involvert i. I og med at jeg omtrent ikke har rørt back-end i løpet av dette prosjektet, tok jeg kontakt med Anders som hjalp meg med å feilsøke og rydde opp i feil som oppsto under oppretting av emne. Vi var også innom endring av emne, selv om ingen av oss hadde vært direkte involvert i utviklingen av det. 
</t>
    </r>
    <r>
      <rPr>
        <b/>
        <sz val="12"/>
        <color theme="1"/>
        <rFont val="Calibri"/>
        <family val="2"/>
        <scheme val="minor"/>
      </rPr>
      <t xml:space="preserve">Søndag: </t>
    </r>
    <r>
      <rPr>
        <sz val="12"/>
        <color theme="1"/>
        <rFont val="Calibri"/>
        <family val="2"/>
        <scheme val="minor"/>
      </rPr>
      <t>Vi ble i går enige om å møtes for å teste produktet ytterligere og rydde opp i småfeil vi viste om. Til å begynne med forsøkte jeg bare å opprette et emne som tenkt og fikk en feilmelding på dette emnet når jeg godkjente det i emneStatus. Jeg har forsåvidt bare sendt denne feilmeldingen videre til de som jobber i back-end. Neste på listen var minProfil, hvor det er tenkt at bruker skal kunne endre passord, e-post, navn etc. Her viste det seg å være mangefull testing når siden ble opprettet. Vi satte derfor igang med feilsøking og ferdigstilte denne i løpet av dagen.</t>
    </r>
  </si>
  <si>
    <r>
      <t xml:space="preserve">Backend: </t>
    </r>
    <r>
      <rPr>
        <sz val="12"/>
        <color theme="1"/>
        <rFont val="Calibri"/>
        <family val="2"/>
        <scheme val="minor"/>
      </rPr>
      <t xml:space="preserve">Martin Mikalsen, Anders Rubach Ese, Adrian-Alexandru Chirita, Vegard Simonsen </t>
    </r>
    <r>
      <rPr>
        <b/>
        <sz val="12"/>
        <color theme="1"/>
        <rFont val="Calibri"/>
        <family val="2"/>
        <scheme val="minor"/>
      </rPr>
      <t xml:space="preserve">
Frontend:</t>
    </r>
    <r>
      <rPr>
        <sz val="12"/>
        <color theme="1"/>
        <rFont val="Calibri"/>
        <family val="2"/>
        <scheme val="minor"/>
      </rPr>
      <t xml:space="preserve"> Joachim Kristensen, Alexander Hansen, Eivind Blom Eriksen
</t>
    </r>
  </si>
  <si>
    <r>
      <t xml:space="preserve">Administrativt: </t>
    </r>
    <r>
      <rPr>
        <sz val="12"/>
        <color theme="1"/>
        <rFont val="Calibri"/>
        <family val="2"/>
        <scheme val="minor"/>
      </rPr>
      <t>Møte og gjennomgang av hva som skal presenteres onsdag.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</si>
</sst>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hh:mm;@"/>
    <numFmt numFmtId="166" formatCode="dddd"/>
    <numFmt numFmtId="167" formatCode="[h]:mm"/>
    <numFmt numFmtId="168" formatCode="yyyy\-mm\-dd;@"/>
  </numFmts>
  <fonts count="35" x14ac:knownFonts="1">
    <font>
      <sz val="10"/>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i/>
      <sz val="10"/>
      <color theme="1"/>
      <name val="Verdana"/>
      <family val="2"/>
    </font>
    <font>
      <sz val="9"/>
      <color theme="1"/>
      <name val="Verdana"/>
      <family val="2"/>
    </font>
    <font>
      <i/>
      <sz val="9"/>
      <color theme="1"/>
      <name val="Verdana"/>
      <family val="2"/>
    </font>
    <font>
      <b/>
      <sz val="9"/>
      <color theme="8" tint="-0.249977111117893"/>
      <name val="Verdana"/>
      <family val="2"/>
    </font>
    <font>
      <sz val="8"/>
      <color theme="1"/>
      <name val="Verdana"/>
      <family val="2"/>
    </font>
    <font>
      <b/>
      <sz val="10"/>
      <color theme="8" tint="-0.249977111117893"/>
      <name val="Verdana"/>
      <family val="2"/>
    </font>
    <font>
      <u/>
      <sz val="10"/>
      <color theme="10"/>
      <name val="Verdana"/>
      <family val="2"/>
    </font>
    <font>
      <sz val="10"/>
      <color theme="10"/>
      <name val="Verdana"/>
      <family val="2"/>
    </font>
    <font>
      <sz val="11"/>
      <color theme="1"/>
      <name val="Verdana"/>
      <family val="2"/>
    </font>
    <font>
      <sz val="18"/>
      <color theme="1"/>
      <name val="Verdana"/>
      <family val="2"/>
    </font>
    <font>
      <sz val="10"/>
      <color theme="1"/>
      <name val="Verdana"/>
      <family val="2"/>
    </font>
    <font>
      <sz val="20"/>
      <color theme="1"/>
      <name val="Verdana"/>
      <family val="2"/>
    </font>
    <font>
      <b/>
      <sz val="18"/>
      <color theme="1"/>
      <name val="Calibri Light"/>
      <family val="2"/>
      <scheme val="major"/>
    </font>
    <font>
      <sz val="12"/>
      <color theme="1"/>
      <name val="Calibri"/>
      <family val="2"/>
      <scheme val="minor"/>
    </font>
    <font>
      <b/>
      <sz val="12"/>
      <color theme="1"/>
      <name val="Calibri"/>
      <family val="2"/>
      <scheme val="minor"/>
    </font>
    <font>
      <b/>
      <sz val="12"/>
      <color theme="8" tint="-0.249977111117893"/>
      <name val="Calibri"/>
      <family val="2"/>
      <scheme val="minor"/>
    </font>
    <font>
      <b/>
      <sz val="16"/>
      <color theme="1"/>
      <name val="Calibri"/>
      <family val="2"/>
      <scheme val="minor"/>
    </font>
    <font>
      <b/>
      <sz val="18"/>
      <color theme="1"/>
      <name val="Calibri"/>
      <family val="2"/>
      <scheme val="minor"/>
    </font>
    <font>
      <sz val="10"/>
      <color theme="1"/>
      <name val="Calibri"/>
      <family val="2"/>
      <scheme val="minor"/>
    </font>
    <font>
      <sz val="20"/>
      <color theme="1"/>
      <name val="Calibri"/>
      <family val="2"/>
      <scheme val="minor"/>
    </font>
    <font>
      <b/>
      <sz val="11"/>
      <color theme="1"/>
      <name val="Calibri"/>
      <family val="2"/>
      <scheme val="minor"/>
    </font>
    <font>
      <sz val="20"/>
      <color theme="1"/>
      <name val="Calibri Light"/>
      <family val="2"/>
      <scheme val="major"/>
    </font>
    <font>
      <b/>
      <sz val="12"/>
      <color theme="8" tint="-0.249977111117893"/>
      <name val="Calibri Light"/>
      <family val="2"/>
      <scheme val="major"/>
    </font>
    <font>
      <b/>
      <sz val="11"/>
      <color theme="1"/>
      <name val="Calibri Light"/>
      <family val="2"/>
      <scheme val="major"/>
    </font>
    <font>
      <sz val="11"/>
      <color theme="1"/>
      <name val="Calibri Light"/>
      <family val="2"/>
      <scheme val="major"/>
    </font>
    <font>
      <b/>
      <sz val="16"/>
      <color theme="1"/>
      <name val="Calibri Light"/>
      <family val="2"/>
      <scheme val="major"/>
    </font>
    <font>
      <sz val="18"/>
      <color theme="1"/>
      <name val="Calibri Light"/>
      <family val="2"/>
      <scheme val="major"/>
    </font>
    <font>
      <sz val="8"/>
      <color theme="1"/>
      <name val="Calibri Light"/>
      <family val="2"/>
      <scheme val="major"/>
    </font>
    <font>
      <b/>
      <sz val="10"/>
      <color theme="1"/>
      <name val="Verdana"/>
      <family val="2"/>
    </font>
    <font>
      <sz val="8"/>
      <name val="Verdana"/>
      <family val="2"/>
    </font>
    <font>
      <b/>
      <sz val="12"/>
      <color rgb="FF000000"/>
      <name val="Calibri"/>
      <family val="2"/>
    </font>
  </fonts>
  <fills count="17">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rgb="FFFF5757"/>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E699"/>
        <bgColor indexed="64"/>
      </patternFill>
    </fill>
    <fill>
      <patternFill patternType="solid">
        <fgColor rgb="FFC6E0B4"/>
        <bgColor indexed="64"/>
      </patternFill>
    </fill>
    <fill>
      <patternFill patternType="solid">
        <fgColor rgb="FFBDD7EE"/>
        <bgColor indexed="64"/>
      </patternFill>
    </fill>
    <fill>
      <patternFill patternType="solid">
        <fgColor rgb="FFC6E0B4"/>
        <bgColor rgb="FF000000"/>
      </patternFill>
    </fill>
    <fill>
      <patternFill patternType="solid">
        <fgColor theme="0"/>
        <bgColor rgb="FF000000"/>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ck">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ck">
        <color indexed="64"/>
      </top>
      <bottom/>
      <diagonal/>
    </border>
    <border>
      <left/>
      <right style="thick">
        <color indexed="64"/>
      </right>
      <top style="thick">
        <color indexed="64"/>
      </top>
      <bottom/>
      <diagonal/>
    </border>
    <border>
      <left/>
      <right style="thick">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ck">
        <color indexed="64"/>
      </bottom>
      <diagonal/>
    </border>
    <border>
      <left/>
      <right style="thick">
        <color indexed="64"/>
      </right>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auto="1"/>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s>
  <cellStyleXfs count="7">
    <xf numFmtId="0" fontId="0" fillId="0" borderId="0"/>
    <xf numFmtId="0" fontId="10" fillId="0" borderId="0" applyNumberFormat="0" applyFill="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cellStyleXfs>
  <cellXfs count="594">
    <xf numFmtId="0" fontId="0" fillId="0" borderId="0" xfId="0"/>
    <xf numFmtId="0" fontId="0" fillId="0" borderId="0" xfId="0" applyAlignment="1">
      <alignment vertical="center"/>
    </xf>
    <xf numFmtId="0" fontId="0" fillId="0" borderId="1" xfId="0" applyBorder="1"/>
    <xf numFmtId="14" fontId="0" fillId="0" borderId="1" xfId="0" applyNumberFormat="1" applyBorder="1"/>
    <xf numFmtId="0" fontId="4" fillId="2" borderId="1" xfId="0" applyFont="1" applyFill="1" applyBorder="1"/>
    <xf numFmtId="0" fontId="0" fillId="0" borderId="0" xfId="0" applyBorder="1"/>
    <xf numFmtId="0" fontId="11" fillId="3" borderId="0" xfId="1" applyFont="1" applyFill="1" applyBorder="1" applyAlignment="1">
      <alignment horizontal="center" vertical="center"/>
    </xf>
    <xf numFmtId="0" fontId="0" fillId="3" borderId="0" xfId="0" applyFill="1" applyBorder="1"/>
    <xf numFmtId="164" fontId="5" fillId="3" borderId="0" xfId="0" applyNumberFormat="1" applyFont="1" applyFill="1" applyBorder="1" applyAlignment="1">
      <alignment horizontal="center"/>
    </xf>
    <xf numFmtId="0" fontId="8" fillId="3" borderId="0" xfId="0" applyFont="1" applyFill="1" applyBorder="1"/>
    <xf numFmtId="164" fontId="9" fillId="3" borderId="0" xfId="0" applyNumberFormat="1" applyFont="1" applyFill="1" applyBorder="1" applyAlignment="1">
      <alignment horizontal="center"/>
    </xf>
    <xf numFmtId="164" fontId="7" fillId="3" borderId="0" xfId="0" applyNumberFormat="1" applyFont="1" applyFill="1" applyBorder="1" applyAlignment="1">
      <alignment horizontal="center"/>
    </xf>
    <xf numFmtId="20" fontId="5" fillId="0" borderId="0" xfId="0" applyNumberFormat="1" applyFont="1" applyBorder="1" applyAlignment="1">
      <alignment horizontal="center"/>
    </xf>
    <xf numFmtId="0" fontId="0" fillId="3" borderId="0" xfId="0" applyFill="1" applyBorder="1" applyAlignment="1">
      <alignment vertical="center"/>
    </xf>
    <xf numFmtId="0" fontId="6" fillId="0" borderId="0" xfId="0" applyFont="1" applyAlignment="1"/>
    <xf numFmtId="0" fontId="0" fillId="0" borderId="0" xfId="0" applyBorder="1" applyAlignment="1">
      <alignment horizontal="right"/>
    </xf>
    <xf numFmtId="0" fontId="9" fillId="0" borderId="0" xfId="0" applyFont="1" applyBorder="1" applyAlignment="1">
      <alignment horizontal="center"/>
    </xf>
    <xf numFmtId="0" fontId="9" fillId="0" borderId="0" xfId="0" applyFont="1" applyBorder="1" applyAlignment="1">
      <alignment horizontal="right"/>
    </xf>
    <xf numFmtId="165" fontId="7" fillId="0" borderId="0" xfId="0" applyNumberFormat="1" applyFont="1" applyFill="1" applyBorder="1" applyAlignment="1">
      <alignment horizontal="center"/>
    </xf>
    <xf numFmtId="165" fontId="13" fillId="0" borderId="0" xfId="0" applyNumberFormat="1" applyFont="1" applyAlignment="1">
      <alignment vertical="top"/>
    </xf>
    <xf numFmtId="0" fontId="12" fillId="0" borderId="0" xfId="0" applyFont="1" applyAlignment="1">
      <alignment vertical="center"/>
    </xf>
    <xf numFmtId="165" fontId="0" fillId="0" borderId="0" xfId="0" applyNumberFormat="1"/>
    <xf numFmtId="165" fontId="14" fillId="0" borderId="0" xfId="0" applyNumberFormat="1" applyFont="1" applyBorder="1" applyAlignment="1"/>
    <xf numFmtId="0" fontId="14" fillId="0" borderId="0" xfId="0" applyFont="1" applyAlignment="1">
      <alignment vertical="top"/>
    </xf>
    <xf numFmtId="0" fontId="14" fillId="0" borderId="0" xfId="0" applyFont="1" applyAlignment="1">
      <alignment vertical="top" wrapText="1"/>
    </xf>
    <xf numFmtId="0" fontId="14" fillId="0" borderId="0" xfId="0" applyFont="1"/>
    <xf numFmtId="0" fontId="15" fillId="3" borderId="0" xfId="3" applyFont="1" applyFill="1" applyBorder="1" applyAlignment="1">
      <alignment horizontal="centerContinuous" vertical="center"/>
    </xf>
    <xf numFmtId="0" fontId="8" fillId="0" borderId="2" xfId="0" applyFont="1" applyBorder="1"/>
    <xf numFmtId="0" fontId="16" fillId="0" borderId="2" xfId="0" applyFont="1" applyBorder="1" applyAlignment="1"/>
    <xf numFmtId="0" fontId="0" fillId="0" borderId="0" xfId="0" applyBorder="1" applyAlignment="1">
      <alignment vertical="top"/>
    </xf>
    <xf numFmtId="0" fontId="19" fillId="0" borderId="0" xfId="0" applyFont="1" applyBorder="1" applyAlignment="1">
      <alignment horizontal="left"/>
    </xf>
    <xf numFmtId="0" fontId="18" fillId="4" borderId="0" xfId="2" applyFont="1" applyAlignment="1">
      <alignment horizontal="center" vertical="top"/>
    </xf>
    <xf numFmtId="0" fontId="18" fillId="7" borderId="0" xfId="5" applyFont="1" applyAlignment="1">
      <alignment horizontal="center" vertical="top"/>
    </xf>
    <xf numFmtId="0" fontId="18" fillId="9" borderId="0" xfId="4" applyFont="1" applyFill="1" applyAlignment="1">
      <alignment horizontal="center" vertical="top"/>
    </xf>
    <xf numFmtId="0" fontId="18" fillId="8" borderId="2" xfId="6" applyFont="1" applyBorder="1" applyAlignment="1">
      <alignment horizontal="center" vertical="center"/>
    </xf>
    <xf numFmtId="165" fontId="18" fillId="0" borderId="0" xfId="0" applyNumberFormat="1" applyFont="1" applyAlignment="1">
      <alignment horizontal="center" vertical="center"/>
    </xf>
    <xf numFmtId="165" fontId="18" fillId="0" borderId="0" xfId="0" applyNumberFormat="1" applyFont="1" applyBorder="1" applyAlignment="1">
      <alignment horizontal="center" vertical="center"/>
    </xf>
    <xf numFmtId="165" fontId="18" fillId="0" borderId="2" xfId="0" applyNumberFormat="1" applyFont="1" applyBorder="1" applyAlignment="1">
      <alignment horizontal="center" vertical="center"/>
    </xf>
    <xf numFmtId="0" fontId="19" fillId="0" borderId="0" xfId="0" applyFont="1" applyAlignment="1">
      <alignment horizontal="left"/>
    </xf>
    <xf numFmtId="165" fontId="20" fillId="0" borderId="2" xfId="0" applyNumberFormat="1" applyFont="1" applyBorder="1" applyAlignment="1">
      <alignment horizontal="left" vertical="top"/>
    </xf>
    <xf numFmtId="165" fontId="21" fillId="0" borderId="2" xfId="0" applyNumberFormat="1" applyFont="1" applyBorder="1" applyAlignment="1">
      <alignment vertical="top"/>
    </xf>
    <xf numFmtId="165" fontId="20" fillId="0" borderId="2" xfId="0" applyNumberFormat="1" applyFont="1" applyBorder="1" applyAlignment="1">
      <alignment horizontal="left" vertical="top" wrapText="1"/>
    </xf>
    <xf numFmtId="0" fontId="22" fillId="0" borderId="2" xfId="0" applyFont="1" applyBorder="1" applyAlignment="1">
      <alignment vertical="top" wrapText="1"/>
    </xf>
    <xf numFmtId="14" fontId="18" fillId="0" borderId="2" xfId="0" applyNumberFormat="1" applyFont="1" applyBorder="1" applyAlignment="1">
      <alignment horizontal="left" vertical="top"/>
    </xf>
    <xf numFmtId="0" fontId="19" fillId="0" borderId="0" xfId="0" applyFont="1" applyAlignment="1">
      <alignment horizontal="center"/>
    </xf>
    <xf numFmtId="0" fontId="23" fillId="5" borderId="6" xfId="3" applyFont="1" applyBorder="1" applyAlignment="1">
      <alignment horizontal="left"/>
    </xf>
    <xf numFmtId="0" fontId="23" fillId="5" borderId="6" xfId="3" applyFont="1" applyBorder="1" applyAlignment="1"/>
    <xf numFmtId="0" fontId="23" fillId="5" borderId="6" xfId="3" applyFont="1" applyBorder="1" applyAlignment="1">
      <alignment horizontal="center" vertical="center"/>
    </xf>
    <xf numFmtId="14" fontId="18" fillId="4" borderId="7" xfId="2" applyNumberFormat="1" applyFont="1" applyBorder="1" applyAlignment="1">
      <alignment horizontal="left"/>
    </xf>
    <xf numFmtId="165" fontId="18" fillId="4" borderId="8" xfId="2" applyNumberFormat="1" applyFont="1" applyBorder="1" applyAlignment="1">
      <alignment horizontal="left"/>
    </xf>
    <xf numFmtId="14" fontId="18" fillId="8" borderId="3" xfId="6" applyNumberFormat="1" applyFont="1" applyBorder="1" applyAlignment="1">
      <alignment horizontal="left"/>
    </xf>
    <xf numFmtId="165" fontId="18" fillId="8" borderId="0" xfId="6" applyNumberFormat="1" applyFont="1" applyBorder="1" applyAlignment="1">
      <alignment horizontal="left"/>
    </xf>
    <xf numFmtId="0" fontId="0" fillId="0" borderId="11" xfId="0" applyBorder="1"/>
    <xf numFmtId="0" fontId="0" fillId="0" borderId="12" xfId="0" applyBorder="1"/>
    <xf numFmtId="0" fontId="0" fillId="0" borderId="13" xfId="0" applyBorder="1"/>
    <xf numFmtId="0" fontId="25" fillId="5" borderId="6" xfId="3" applyFont="1" applyBorder="1"/>
    <xf numFmtId="0" fontId="25" fillId="5" borderId="6" xfId="3" applyFont="1" applyBorder="1" applyAlignment="1">
      <alignment horizontal="center" vertical="center"/>
    </xf>
    <xf numFmtId="0" fontId="26" fillId="0" borderId="0" xfId="0" applyFont="1" applyAlignment="1">
      <alignment horizontal="left"/>
    </xf>
    <xf numFmtId="0" fontId="26" fillId="0" borderId="0" xfId="0" applyFont="1" applyAlignment="1">
      <alignment horizontal="center"/>
    </xf>
    <xf numFmtId="14" fontId="27" fillId="0" borderId="2" xfId="0" applyNumberFormat="1" applyFont="1" applyBorder="1" applyAlignment="1">
      <alignment horizontal="left" vertical="top"/>
    </xf>
    <xf numFmtId="0" fontId="28" fillId="0" borderId="2" xfId="0" applyFont="1" applyBorder="1" applyAlignment="1">
      <alignment vertical="top"/>
    </xf>
    <xf numFmtId="0" fontId="27" fillId="4" borderId="0" xfId="2" applyFont="1" applyAlignment="1">
      <alignment horizontal="center" vertical="top"/>
    </xf>
    <xf numFmtId="165" fontId="27" fillId="0" borderId="0" xfId="0" applyNumberFormat="1" applyFont="1" applyAlignment="1">
      <alignment horizontal="center" vertical="center"/>
    </xf>
    <xf numFmtId="0" fontId="27" fillId="7" borderId="0" xfId="5" applyFont="1" applyAlignment="1">
      <alignment horizontal="center" vertical="top"/>
    </xf>
    <xf numFmtId="0" fontId="27" fillId="9" borderId="0" xfId="4" applyFont="1" applyFill="1" applyAlignment="1">
      <alignment horizontal="center" vertical="top"/>
    </xf>
    <xf numFmtId="165" fontId="29" fillId="0" borderId="2" xfId="0" applyNumberFormat="1" applyFont="1" applyBorder="1" applyAlignment="1">
      <alignment horizontal="left" vertical="top"/>
    </xf>
    <xf numFmtId="165" fontId="16" fillId="0" borderId="2" xfId="0" applyNumberFormat="1" applyFont="1" applyBorder="1" applyAlignment="1">
      <alignment vertical="top"/>
    </xf>
    <xf numFmtId="165" fontId="29" fillId="0" borderId="2" xfId="0" applyNumberFormat="1" applyFont="1" applyBorder="1" applyAlignment="1">
      <alignment horizontal="left" vertical="top" wrapText="1"/>
    </xf>
    <xf numFmtId="0" fontId="14" fillId="0" borderId="2" xfId="0" applyFont="1" applyBorder="1" applyAlignment="1">
      <alignment vertical="top" wrapText="1"/>
    </xf>
    <xf numFmtId="0" fontId="27" fillId="8" borderId="2" xfId="6" applyFont="1" applyBorder="1" applyAlignment="1">
      <alignment horizontal="center" vertical="center"/>
    </xf>
    <xf numFmtId="165" fontId="27" fillId="0" borderId="2" xfId="0" applyNumberFormat="1" applyFont="1" applyBorder="1" applyAlignment="1">
      <alignment horizontal="center" vertical="center"/>
    </xf>
    <xf numFmtId="0" fontId="6" fillId="0" borderId="0" xfId="0" applyFont="1"/>
    <xf numFmtId="0" fontId="7" fillId="0" borderId="0" xfId="0" applyFont="1" applyAlignment="1">
      <alignment horizontal="left"/>
    </xf>
    <xf numFmtId="14" fontId="28" fillId="5" borderId="7" xfId="3" applyNumberFormat="1" applyFont="1" applyBorder="1" applyAlignment="1">
      <alignment horizontal="left"/>
    </xf>
    <xf numFmtId="165" fontId="28" fillId="5" borderId="8" xfId="3" applyNumberFormat="1" applyFont="1" applyBorder="1" applyAlignment="1">
      <alignment horizontal="left"/>
    </xf>
    <xf numFmtId="165" fontId="28" fillId="4" borderId="8" xfId="2" applyNumberFormat="1" applyFont="1" applyBorder="1" applyAlignment="1">
      <alignment horizontal="left"/>
    </xf>
    <xf numFmtId="0" fontId="28" fillId="4" borderId="9" xfId="2" applyFont="1" applyBorder="1" applyAlignment="1">
      <alignment horizontal="left"/>
    </xf>
    <xf numFmtId="14" fontId="28" fillId="0" borderId="3" xfId="0" applyNumberFormat="1" applyFont="1" applyBorder="1" applyAlignment="1">
      <alignment horizontal="left"/>
    </xf>
    <xf numFmtId="165" fontId="28" fillId="0" borderId="0" xfId="0" applyNumberFormat="1" applyFont="1" applyAlignment="1">
      <alignment horizontal="left"/>
    </xf>
    <xf numFmtId="165" fontId="28" fillId="9" borderId="0" xfId="4" applyNumberFormat="1" applyFont="1" applyFill="1" applyAlignment="1">
      <alignment horizontal="left"/>
    </xf>
    <xf numFmtId="14" fontId="28" fillId="3" borderId="3" xfId="3" applyNumberFormat="1" applyFont="1" applyFill="1" applyBorder="1" applyAlignment="1">
      <alignment horizontal="left"/>
    </xf>
    <xf numFmtId="165" fontId="28" fillId="3" borderId="0" xfId="3" applyNumberFormat="1" applyFont="1" applyFill="1" applyAlignment="1">
      <alignment horizontal="left"/>
    </xf>
    <xf numFmtId="165" fontId="28" fillId="9" borderId="0" xfId="2" applyNumberFormat="1" applyFont="1" applyFill="1" applyAlignment="1">
      <alignment horizontal="left"/>
    </xf>
    <xf numFmtId="14" fontId="28" fillId="5" borderId="3" xfId="3" applyNumberFormat="1" applyFont="1" applyBorder="1" applyAlignment="1">
      <alignment horizontal="left"/>
    </xf>
    <xf numFmtId="165" fontId="28" fillId="5" borderId="0" xfId="3" applyNumberFormat="1" applyFont="1" applyAlignment="1">
      <alignment horizontal="left"/>
    </xf>
    <xf numFmtId="165" fontId="28" fillId="4" borderId="0" xfId="2" applyNumberFormat="1" applyFont="1" applyAlignment="1">
      <alignment horizontal="left"/>
    </xf>
    <xf numFmtId="165" fontId="3" fillId="4" borderId="0" xfId="2" applyNumberFormat="1" applyAlignment="1">
      <alignment horizontal="left"/>
    </xf>
    <xf numFmtId="165" fontId="28" fillId="9" borderId="0" xfId="6" applyNumberFormat="1" applyFont="1" applyFill="1" applyAlignment="1">
      <alignment horizontal="left"/>
    </xf>
    <xf numFmtId="165" fontId="28" fillId="8" borderId="0" xfId="6" applyNumberFormat="1" applyFont="1" applyAlignment="1">
      <alignment horizontal="left"/>
    </xf>
    <xf numFmtId="20" fontId="5" fillId="0" borderId="0" xfId="0" applyNumberFormat="1" applyFont="1" applyAlignment="1">
      <alignment horizontal="center"/>
    </xf>
    <xf numFmtId="14" fontId="3" fillId="5" borderId="3" xfId="3" applyNumberFormat="1" applyBorder="1" applyAlignment="1">
      <alignment horizontal="left"/>
    </xf>
    <xf numFmtId="165" fontId="3" fillId="5" borderId="0" xfId="3" applyNumberFormat="1" applyAlignment="1">
      <alignment horizontal="left"/>
    </xf>
    <xf numFmtId="0" fontId="3" fillId="8" borderId="0" xfId="6" applyAlignment="1">
      <alignment horizontal="left"/>
    </xf>
    <xf numFmtId="14" fontId="28" fillId="0" borderId="10" xfId="0" applyNumberFormat="1" applyFont="1" applyBorder="1" applyAlignment="1">
      <alignment horizontal="left"/>
    </xf>
    <xf numFmtId="20" fontId="28" fillId="0" borderId="2" xfId="0" applyNumberFormat="1" applyFont="1" applyBorder="1" applyAlignment="1">
      <alignment horizontal="left"/>
    </xf>
    <xf numFmtId="165" fontId="28" fillId="8" borderId="2" xfId="6" applyNumberFormat="1" applyFont="1" applyBorder="1" applyAlignment="1">
      <alignment horizontal="left"/>
    </xf>
    <xf numFmtId="0" fontId="3" fillId="8" borderId="5" xfId="6" applyBorder="1" applyAlignment="1">
      <alignment horizontal="left"/>
    </xf>
    <xf numFmtId="0" fontId="16" fillId="0" borderId="2" xfId="0" applyFont="1" applyBorder="1"/>
    <xf numFmtId="0" fontId="0" fillId="0" borderId="2" xfId="0" applyBorder="1"/>
    <xf numFmtId="0" fontId="0" fillId="0" borderId="0" xfId="0" applyAlignment="1">
      <alignment horizontal="right"/>
    </xf>
    <xf numFmtId="0" fontId="9" fillId="0" borderId="0" xfId="0" applyFont="1" applyAlignment="1">
      <alignment horizontal="center"/>
    </xf>
    <xf numFmtId="0" fontId="9" fillId="0" borderId="0" xfId="0" applyFont="1" applyAlignment="1">
      <alignment horizontal="right"/>
    </xf>
    <xf numFmtId="165" fontId="7" fillId="0" borderId="0" xfId="0" applyNumberFormat="1" applyFont="1" applyAlignment="1">
      <alignment horizontal="center"/>
    </xf>
    <xf numFmtId="0" fontId="0" fillId="0" borderId="7" xfId="0" applyBorder="1" applyAlignment="1">
      <alignment vertical="top" wrapText="1"/>
    </xf>
    <xf numFmtId="0" fontId="0" fillId="0" borderId="8" xfId="0" applyBorder="1" applyAlignment="1">
      <alignment vertical="top" wrapText="1"/>
    </xf>
    <xf numFmtId="0" fontId="0" fillId="0" borderId="9" xfId="0" applyBorder="1" applyAlignment="1">
      <alignment vertical="top" wrapText="1"/>
    </xf>
    <xf numFmtId="0" fontId="0" fillId="0" borderId="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0" fillId="0" borderId="10" xfId="0" applyBorder="1" applyAlignment="1">
      <alignment vertical="top" wrapText="1"/>
    </xf>
    <xf numFmtId="0" fontId="0" fillId="0" borderId="2" xfId="0" applyBorder="1" applyAlignment="1">
      <alignment vertical="top" wrapText="1"/>
    </xf>
    <xf numFmtId="0" fontId="0" fillId="0" borderId="5" xfId="0" applyBorder="1" applyAlignment="1">
      <alignment vertical="top" wrapText="1"/>
    </xf>
    <xf numFmtId="165" fontId="13" fillId="3" borderId="0" xfId="0" applyNumberFormat="1" applyFont="1" applyFill="1" applyBorder="1" applyAlignment="1">
      <alignment vertical="top"/>
    </xf>
    <xf numFmtId="0" fontId="14" fillId="3" borderId="0" xfId="0" applyFont="1" applyFill="1" applyBorder="1" applyAlignment="1">
      <alignment vertical="top"/>
    </xf>
    <xf numFmtId="0" fontId="14" fillId="3" borderId="0" xfId="0" applyFont="1" applyFill="1" applyBorder="1" applyAlignment="1">
      <alignment vertical="top" wrapText="1"/>
    </xf>
    <xf numFmtId="0" fontId="14" fillId="3" borderId="0" xfId="0" applyFont="1" applyFill="1" applyBorder="1"/>
    <xf numFmtId="20" fontId="5" fillId="3" borderId="0" xfId="0" applyNumberFormat="1" applyFont="1" applyFill="1" applyBorder="1" applyAlignment="1">
      <alignment horizontal="center"/>
    </xf>
    <xf numFmtId="0" fontId="0" fillId="3" borderId="0" xfId="0" applyFill="1" applyBorder="1" applyAlignment="1">
      <alignment horizontal="right"/>
    </xf>
    <xf numFmtId="0" fontId="9" fillId="3" borderId="0" xfId="0" applyFont="1" applyFill="1" applyBorder="1" applyAlignment="1">
      <alignment horizontal="center"/>
    </xf>
    <xf numFmtId="0" fontId="9" fillId="3" borderId="0" xfId="0" applyFont="1" applyFill="1" applyBorder="1" applyAlignment="1">
      <alignment horizontal="right"/>
    </xf>
    <xf numFmtId="165" fontId="7" fillId="3" borderId="0" xfId="0" applyNumberFormat="1" applyFont="1" applyFill="1" applyBorder="1" applyAlignment="1">
      <alignment horizontal="center"/>
    </xf>
    <xf numFmtId="0" fontId="0" fillId="3" borderId="0" xfId="0" applyFill="1" applyBorder="1" applyAlignment="1">
      <alignment vertical="top" wrapText="1"/>
    </xf>
    <xf numFmtId="0" fontId="8" fillId="3" borderId="2" xfId="0" applyFont="1" applyFill="1" applyBorder="1"/>
    <xf numFmtId="0" fontId="25" fillId="3" borderId="0" xfId="3" applyFont="1" applyFill="1" applyBorder="1" applyAlignment="1">
      <alignment horizontal="left"/>
    </xf>
    <xf numFmtId="0" fontId="25" fillId="3" borderId="0" xfId="3" applyFont="1" applyFill="1" applyBorder="1"/>
    <xf numFmtId="0" fontId="25" fillId="3" borderId="0" xfId="3" applyFont="1" applyFill="1" applyBorder="1" applyAlignment="1">
      <alignment horizontal="center" vertical="center"/>
    </xf>
    <xf numFmtId="0" fontId="26" fillId="3" borderId="0" xfId="0" applyFont="1" applyFill="1" applyBorder="1" applyAlignment="1">
      <alignment horizontal="left"/>
    </xf>
    <xf numFmtId="0" fontId="26" fillId="3" borderId="0" xfId="0" applyFont="1" applyFill="1" applyBorder="1" applyAlignment="1">
      <alignment horizontal="center"/>
    </xf>
    <xf numFmtId="14" fontId="27" fillId="3" borderId="0" xfId="0" applyNumberFormat="1" applyFont="1" applyFill="1" applyBorder="1" applyAlignment="1">
      <alignment horizontal="left" vertical="top"/>
    </xf>
    <xf numFmtId="0" fontId="28" fillId="3" borderId="0" xfId="0" applyFont="1" applyFill="1" applyBorder="1" applyAlignment="1">
      <alignment vertical="top"/>
    </xf>
    <xf numFmtId="0" fontId="27" fillId="3" borderId="0" xfId="2" applyFont="1" applyFill="1" applyBorder="1" applyAlignment="1">
      <alignment horizontal="center" vertical="top"/>
    </xf>
    <xf numFmtId="165" fontId="27" fillId="3" borderId="0" xfId="0" applyNumberFormat="1" applyFont="1" applyFill="1" applyBorder="1" applyAlignment="1">
      <alignment horizontal="center" vertical="center"/>
    </xf>
    <xf numFmtId="0" fontId="27" fillId="3" borderId="0" xfId="5" applyFont="1" applyFill="1" applyBorder="1" applyAlignment="1">
      <alignment horizontal="center" vertical="top"/>
    </xf>
    <xf numFmtId="0" fontId="27" fillId="3" borderId="0" xfId="4" applyFont="1" applyFill="1" applyBorder="1" applyAlignment="1">
      <alignment horizontal="center" vertical="top"/>
    </xf>
    <xf numFmtId="165" fontId="29" fillId="3" borderId="0" xfId="0" applyNumberFormat="1" applyFont="1" applyFill="1" applyBorder="1" applyAlignment="1">
      <alignment horizontal="left" vertical="top"/>
    </xf>
    <xf numFmtId="165" fontId="16" fillId="3" borderId="0" xfId="0" applyNumberFormat="1" applyFont="1" applyFill="1" applyBorder="1" applyAlignment="1">
      <alignment vertical="top"/>
    </xf>
    <xf numFmtId="165" fontId="29" fillId="3" borderId="0" xfId="0" applyNumberFormat="1" applyFont="1" applyFill="1" applyBorder="1" applyAlignment="1">
      <alignment horizontal="left" vertical="top" wrapText="1"/>
    </xf>
    <xf numFmtId="0" fontId="27" fillId="3" borderId="0" xfId="6" applyFont="1" applyFill="1" applyBorder="1" applyAlignment="1">
      <alignment horizontal="center" vertical="center"/>
    </xf>
    <xf numFmtId="0" fontId="6" fillId="3" borderId="0" xfId="0" applyFont="1" applyFill="1" applyBorder="1"/>
    <xf numFmtId="0" fontId="7" fillId="3" borderId="0" xfId="0" applyFont="1" applyFill="1" applyBorder="1" applyAlignment="1">
      <alignment horizontal="left"/>
    </xf>
    <xf numFmtId="14" fontId="28" fillId="3" borderId="0" xfId="3" applyNumberFormat="1" applyFont="1" applyFill="1" applyBorder="1" applyAlignment="1">
      <alignment horizontal="left"/>
    </xf>
    <xf numFmtId="165" fontId="28" fillId="3" borderId="0" xfId="3" applyNumberFormat="1" applyFont="1" applyFill="1" applyBorder="1" applyAlignment="1">
      <alignment horizontal="left"/>
    </xf>
    <xf numFmtId="165" fontId="28" fillId="3" borderId="0" xfId="2" applyNumberFormat="1" applyFont="1" applyFill="1" applyBorder="1" applyAlignment="1">
      <alignment horizontal="left"/>
    </xf>
    <xf numFmtId="0" fontId="28" fillId="3" borderId="0" xfId="2" applyFont="1" applyFill="1" applyBorder="1" applyAlignment="1">
      <alignment horizontal="left"/>
    </xf>
    <xf numFmtId="14" fontId="28" fillId="3" borderId="0" xfId="0" applyNumberFormat="1" applyFont="1" applyFill="1" applyBorder="1" applyAlignment="1">
      <alignment horizontal="left"/>
    </xf>
    <xf numFmtId="165" fontId="28" fillId="3" borderId="0" xfId="0" applyNumberFormat="1" applyFont="1" applyFill="1" applyBorder="1" applyAlignment="1">
      <alignment horizontal="left"/>
    </xf>
    <xf numFmtId="165" fontId="28" fillId="3" borderId="0" xfId="4" applyNumberFormat="1" applyFont="1" applyFill="1" applyBorder="1" applyAlignment="1">
      <alignment horizontal="left"/>
    </xf>
    <xf numFmtId="165" fontId="3" fillId="3" borderId="0" xfId="2" applyNumberFormat="1" applyFill="1" applyBorder="1" applyAlignment="1">
      <alignment horizontal="left"/>
    </xf>
    <xf numFmtId="165" fontId="28" fillId="3" borderId="0" xfId="6" applyNumberFormat="1" applyFont="1" applyFill="1" applyBorder="1" applyAlignment="1">
      <alignment horizontal="left"/>
    </xf>
    <xf numFmtId="14" fontId="3" fillId="3" borderId="0" xfId="3" applyNumberFormat="1" applyFill="1" applyBorder="1" applyAlignment="1">
      <alignment horizontal="left"/>
    </xf>
    <xf numFmtId="165" fontId="3" fillId="3" borderId="0" xfId="3" applyNumberFormat="1" applyFill="1" applyBorder="1" applyAlignment="1">
      <alignment horizontal="left"/>
    </xf>
    <xf numFmtId="0" fontId="3" fillId="3" borderId="0" xfId="6" applyFill="1" applyBorder="1" applyAlignment="1">
      <alignment horizontal="left"/>
    </xf>
    <xf numFmtId="20" fontId="28" fillId="3" borderId="0" xfId="0" applyNumberFormat="1" applyFont="1" applyFill="1" applyBorder="1" applyAlignment="1">
      <alignment horizontal="left"/>
    </xf>
    <xf numFmtId="0" fontId="16" fillId="3" borderId="0" xfId="0" applyFont="1" applyFill="1" applyBorder="1"/>
    <xf numFmtId="0" fontId="28" fillId="3" borderId="0" xfId="4" applyFont="1" applyFill="1" applyBorder="1" applyAlignment="1">
      <alignment vertical="top" wrapText="1"/>
    </xf>
    <xf numFmtId="0" fontId="28" fillId="3" borderId="0" xfId="4" applyFont="1" applyFill="1" applyBorder="1" applyAlignment="1">
      <alignment vertical="top"/>
    </xf>
    <xf numFmtId="0" fontId="28" fillId="3" borderId="0" xfId="2" applyFont="1" applyFill="1" applyBorder="1" applyAlignment="1">
      <alignment vertical="top" wrapText="1"/>
    </xf>
    <xf numFmtId="0" fontId="28" fillId="3" borderId="0" xfId="2" applyFont="1" applyFill="1" applyBorder="1" applyAlignment="1">
      <alignment vertical="top"/>
    </xf>
    <xf numFmtId="0" fontId="28" fillId="3" borderId="0" xfId="6" applyFont="1" applyFill="1" applyBorder="1" applyAlignment="1">
      <alignment vertical="top" wrapText="1"/>
    </xf>
    <xf numFmtId="0" fontId="28" fillId="3" borderId="0" xfId="6" applyFont="1" applyFill="1" applyBorder="1" applyAlignment="1">
      <alignment vertical="top"/>
    </xf>
    <xf numFmtId="0" fontId="25" fillId="3" borderId="0" xfId="3" applyFont="1" applyFill="1" applyBorder="1" applyAlignment="1"/>
    <xf numFmtId="0" fontId="28" fillId="3" borderId="0" xfId="0" applyFont="1" applyFill="1" applyBorder="1" applyAlignment="1">
      <alignment vertical="top" wrapText="1"/>
    </xf>
    <xf numFmtId="0" fontId="27" fillId="6" borderId="0" xfId="4" applyFont="1" applyAlignment="1">
      <alignment horizontal="center" vertical="top"/>
    </xf>
    <xf numFmtId="165" fontId="16" fillId="0" borderId="2" xfId="0" applyNumberFormat="1" applyFont="1" applyBorder="1" applyAlignment="1">
      <alignment horizontal="left" vertical="top" wrapText="1"/>
    </xf>
    <xf numFmtId="0" fontId="27" fillId="5" borderId="14" xfId="3" applyFont="1" applyBorder="1" applyAlignment="1">
      <alignment horizontal="center" vertical="center"/>
    </xf>
    <xf numFmtId="0" fontId="27" fillId="5" borderId="14" xfId="3" applyFont="1" applyBorder="1" applyAlignment="1">
      <alignment horizontal="center"/>
    </xf>
    <xf numFmtId="0" fontId="28" fillId="0" borderId="14" xfId="0" applyFont="1" applyBorder="1" applyAlignment="1">
      <alignment horizontal="center"/>
    </xf>
    <xf numFmtId="0" fontId="5" fillId="0" borderId="0" xfId="0" applyFont="1"/>
    <xf numFmtId="0" fontId="7" fillId="0" borderId="2" xfId="0" applyFont="1" applyBorder="1" applyAlignment="1">
      <alignment horizontal="left"/>
    </xf>
    <xf numFmtId="166" fontId="28" fillId="5" borderId="0" xfId="3" applyNumberFormat="1" applyFont="1" applyAlignment="1">
      <alignment horizontal="left"/>
    </xf>
    <xf numFmtId="14" fontId="28" fillId="5" borderId="0" xfId="3" applyNumberFormat="1" applyFont="1" applyAlignment="1">
      <alignment horizontal="left"/>
    </xf>
    <xf numFmtId="165" fontId="28" fillId="5" borderId="15" xfId="3" applyNumberFormat="1" applyFont="1" applyBorder="1" applyAlignment="1">
      <alignment horizontal="left"/>
    </xf>
    <xf numFmtId="165" fontId="28" fillId="5" borderId="16" xfId="3" applyNumberFormat="1" applyFont="1" applyBorder="1" applyAlignment="1">
      <alignment horizontal="left"/>
    </xf>
    <xf numFmtId="165" fontId="28" fillId="4" borderId="17" xfId="2" applyNumberFormat="1" applyFont="1" applyBorder="1" applyAlignment="1">
      <alignment horizontal="left"/>
    </xf>
    <xf numFmtId="0" fontId="28" fillId="4" borderId="18" xfId="2" applyFont="1" applyBorder="1" applyAlignment="1">
      <alignment horizontal="left"/>
    </xf>
    <xf numFmtId="166" fontId="28" fillId="0" borderId="0" xfId="0" applyNumberFormat="1" applyFont="1" applyAlignment="1">
      <alignment horizontal="left"/>
    </xf>
    <xf numFmtId="14" fontId="28" fillId="0" borderId="0" xfId="0" applyNumberFormat="1" applyFont="1" applyAlignment="1">
      <alignment horizontal="left"/>
    </xf>
    <xf numFmtId="165" fontId="28" fillId="0" borderId="15" xfId="0" applyNumberFormat="1" applyFont="1" applyBorder="1" applyAlignment="1">
      <alignment horizontal="left"/>
    </xf>
    <xf numFmtId="165" fontId="28" fillId="0" borderId="16" xfId="0" applyNumberFormat="1" applyFont="1" applyBorder="1" applyAlignment="1">
      <alignment horizontal="left"/>
    </xf>
    <xf numFmtId="0" fontId="28" fillId="0" borderId="19" xfId="0" applyFont="1" applyBorder="1" applyAlignment="1">
      <alignment horizontal="left"/>
    </xf>
    <xf numFmtId="165" fontId="28" fillId="3" borderId="15" xfId="2" applyNumberFormat="1" applyFont="1" applyFill="1" applyBorder="1" applyAlignment="1">
      <alignment horizontal="left"/>
    </xf>
    <xf numFmtId="0" fontId="0" fillId="0" borderId="19" xfId="0" applyBorder="1"/>
    <xf numFmtId="0" fontId="28" fillId="3" borderId="19" xfId="2" applyFont="1" applyFill="1" applyBorder="1" applyAlignment="1">
      <alignment horizontal="left"/>
    </xf>
    <xf numFmtId="165" fontId="28" fillId="3" borderId="15" xfId="3" applyNumberFormat="1" applyFont="1" applyFill="1" applyBorder="1" applyAlignment="1">
      <alignment horizontal="left"/>
    </xf>
    <xf numFmtId="0" fontId="28" fillId="3" borderId="19" xfId="0" applyFont="1" applyFill="1" applyBorder="1" applyAlignment="1">
      <alignment horizontal="left"/>
    </xf>
    <xf numFmtId="165" fontId="3" fillId="4" borderId="15" xfId="2" applyNumberFormat="1" applyBorder="1" applyAlignment="1">
      <alignment horizontal="left"/>
    </xf>
    <xf numFmtId="0" fontId="3" fillId="4" borderId="19" xfId="2" applyBorder="1" applyAlignment="1">
      <alignment horizontal="left"/>
    </xf>
    <xf numFmtId="166" fontId="28" fillId="5" borderId="2" xfId="3" applyNumberFormat="1" applyFont="1" applyBorder="1" applyAlignment="1">
      <alignment horizontal="left"/>
    </xf>
    <xf numFmtId="14" fontId="28" fillId="5" borderId="2" xfId="3" applyNumberFormat="1" applyFont="1" applyBorder="1" applyAlignment="1">
      <alignment horizontal="left"/>
    </xf>
    <xf numFmtId="165" fontId="28" fillId="5" borderId="20" xfId="3" applyNumberFormat="1" applyFont="1" applyBorder="1" applyAlignment="1">
      <alignment horizontal="left"/>
    </xf>
    <xf numFmtId="165" fontId="28" fillId="5" borderId="21" xfId="3" applyNumberFormat="1" applyFont="1" applyBorder="1" applyAlignment="1">
      <alignment horizontal="left"/>
    </xf>
    <xf numFmtId="165" fontId="3" fillId="8" borderId="22" xfId="6" applyNumberFormat="1" applyBorder="1" applyAlignment="1">
      <alignment horizontal="left"/>
    </xf>
    <xf numFmtId="0" fontId="3" fillId="8" borderId="23" xfId="6" applyBorder="1" applyAlignment="1">
      <alignment horizontal="left"/>
    </xf>
    <xf numFmtId="0" fontId="15" fillId="3" borderId="0" xfId="3" applyFont="1" applyFill="1" applyAlignment="1">
      <alignment horizontal="centerContinuous" vertical="center"/>
    </xf>
    <xf numFmtId="165" fontId="14" fillId="0" borderId="0" xfId="0" applyNumberFormat="1" applyFont="1"/>
    <xf numFmtId="165" fontId="16" fillId="0" borderId="2" xfId="0" applyNumberFormat="1" applyFont="1" applyBorder="1" applyAlignment="1">
      <alignment horizontal="left" vertical="top"/>
    </xf>
    <xf numFmtId="0" fontId="30" fillId="0" borderId="2" xfId="0" applyFont="1" applyBorder="1" applyAlignment="1">
      <alignment vertical="top"/>
    </xf>
    <xf numFmtId="0" fontId="7" fillId="0" borderId="0" xfId="0" applyFont="1" applyAlignment="1">
      <alignment horizontal="center"/>
    </xf>
    <xf numFmtId="165" fontId="28" fillId="5" borderId="24" xfId="3" applyNumberFormat="1" applyFont="1" applyBorder="1" applyAlignment="1">
      <alignment horizontal="left"/>
    </xf>
    <xf numFmtId="165" fontId="28" fillId="5" borderId="25" xfId="3" applyNumberFormat="1" applyFont="1" applyBorder="1" applyAlignment="1">
      <alignment horizontal="left"/>
    </xf>
    <xf numFmtId="165" fontId="28" fillId="4" borderId="24" xfId="2" applyNumberFormat="1" applyFont="1" applyBorder="1" applyAlignment="1">
      <alignment horizontal="left"/>
    </xf>
    <xf numFmtId="0" fontId="28" fillId="4" borderId="9" xfId="2" applyFont="1" applyBorder="1" applyAlignment="1">
      <alignment horizontal="center"/>
    </xf>
    <xf numFmtId="0" fontId="28" fillId="0" borderId="4" xfId="0" applyFont="1" applyBorder="1" applyAlignment="1">
      <alignment horizontal="center"/>
    </xf>
    <xf numFmtId="165" fontId="28" fillId="4" borderId="15" xfId="2" applyNumberFormat="1" applyFont="1" applyBorder="1" applyAlignment="1">
      <alignment horizontal="left"/>
    </xf>
    <xf numFmtId="0" fontId="28" fillId="4" borderId="4" xfId="2" applyFont="1" applyBorder="1" applyAlignment="1">
      <alignment horizontal="center"/>
    </xf>
    <xf numFmtId="165" fontId="28" fillId="8" borderId="15" xfId="6" applyNumberFormat="1" applyFont="1" applyBorder="1" applyAlignment="1">
      <alignment horizontal="left"/>
    </xf>
    <xf numFmtId="0" fontId="28" fillId="8" borderId="4" xfId="6" applyFont="1" applyBorder="1" applyAlignment="1">
      <alignment horizontal="center"/>
    </xf>
    <xf numFmtId="165" fontId="28" fillId="3" borderId="20" xfId="3" applyNumberFormat="1" applyFont="1" applyFill="1" applyBorder="1" applyAlignment="1">
      <alignment horizontal="left"/>
    </xf>
    <xf numFmtId="0" fontId="28" fillId="0" borderId="5" xfId="0" applyFont="1" applyBorder="1" applyAlignment="1">
      <alignment horizontal="center"/>
    </xf>
    <xf numFmtId="164" fontId="5" fillId="3" borderId="0" xfId="0" applyNumberFormat="1" applyFont="1" applyFill="1" applyAlignment="1">
      <alignment horizontal="center"/>
    </xf>
    <xf numFmtId="0" fontId="31" fillId="0" borderId="2" xfId="0" applyFont="1" applyBorder="1" applyAlignment="1">
      <alignment horizontal="center"/>
    </xf>
    <xf numFmtId="164" fontId="9" fillId="3" borderId="0" xfId="0" applyNumberFormat="1" applyFont="1" applyFill="1" applyAlignment="1">
      <alignment horizontal="center"/>
    </xf>
    <xf numFmtId="14" fontId="18" fillId="8" borderId="10" xfId="6" applyNumberFormat="1" applyFont="1" applyBorder="1" applyAlignment="1">
      <alignment horizontal="left"/>
    </xf>
    <xf numFmtId="20" fontId="18" fillId="8" borderId="2" xfId="6" applyNumberFormat="1" applyFont="1" applyBorder="1" applyAlignment="1">
      <alignment horizontal="left"/>
    </xf>
    <xf numFmtId="14" fontId="18" fillId="4" borderId="26" xfId="2" applyNumberFormat="1" applyFont="1" applyBorder="1" applyAlignment="1">
      <alignment horizontal="left"/>
    </xf>
    <xf numFmtId="165" fontId="18" fillId="4" borderId="27" xfId="2" applyNumberFormat="1" applyFont="1" applyBorder="1" applyAlignment="1">
      <alignment horizontal="left"/>
    </xf>
    <xf numFmtId="14" fontId="18" fillId="9" borderId="29" xfId="3" applyNumberFormat="1" applyFont="1" applyFill="1" applyBorder="1" applyAlignment="1">
      <alignment horizontal="left"/>
    </xf>
    <xf numFmtId="165" fontId="18" fillId="9" borderId="30" xfId="3" applyNumberFormat="1" applyFont="1" applyFill="1" applyBorder="1" applyAlignment="1">
      <alignment horizontal="left"/>
    </xf>
    <xf numFmtId="14" fontId="18" fillId="9" borderId="26" xfId="3" applyNumberFormat="1" applyFont="1" applyFill="1" applyBorder="1" applyAlignment="1">
      <alignment horizontal="left"/>
    </xf>
    <xf numFmtId="165" fontId="18" fillId="9" borderId="27" xfId="3" applyNumberFormat="1" applyFont="1" applyFill="1" applyBorder="1" applyAlignment="1">
      <alignment horizontal="left"/>
    </xf>
    <xf numFmtId="14" fontId="18" fillId="8" borderId="29" xfId="6" applyNumberFormat="1" applyFont="1" applyBorder="1" applyAlignment="1">
      <alignment horizontal="left"/>
    </xf>
    <xf numFmtId="165" fontId="18" fillId="8" borderId="30" xfId="6" applyNumberFormat="1" applyFont="1" applyBorder="1" applyAlignment="1">
      <alignment horizontal="left"/>
    </xf>
    <xf numFmtId="14" fontId="18" fillId="8" borderId="26" xfId="6" applyNumberFormat="1" applyFont="1" applyBorder="1" applyAlignment="1">
      <alignment horizontal="left"/>
    </xf>
    <xf numFmtId="165" fontId="18" fillId="8" borderId="27" xfId="6" applyNumberFormat="1" applyFont="1" applyBorder="1" applyAlignment="1">
      <alignment horizontal="left"/>
    </xf>
    <xf numFmtId="165" fontId="18" fillId="4" borderId="32" xfId="2" applyNumberFormat="1" applyFont="1" applyBorder="1" applyAlignment="1">
      <alignment horizontal="left" vertical="top"/>
    </xf>
    <xf numFmtId="165" fontId="18" fillId="4" borderId="33" xfId="2" applyNumberFormat="1" applyFont="1" applyBorder="1" applyAlignment="1">
      <alignment horizontal="left" vertical="top"/>
    </xf>
    <xf numFmtId="165" fontId="18" fillId="9" borderId="34" xfId="2" applyNumberFormat="1" applyFont="1" applyFill="1" applyBorder="1" applyAlignment="1">
      <alignment horizontal="left" vertical="top"/>
    </xf>
    <xf numFmtId="165" fontId="18" fillId="9" borderId="33" xfId="2" applyNumberFormat="1" applyFont="1" applyFill="1" applyBorder="1" applyAlignment="1">
      <alignment horizontal="left" vertical="top"/>
    </xf>
    <xf numFmtId="165" fontId="18" fillId="8" borderId="34" xfId="6" applyNumberFormat="1" applyFont="1" applyBorder="1" applyAlignment="1">
      <alignment horizontal="left" vertical="top"/>
    </xf>
    <xf numFmtId="165" fontId="18" fillId="8" borderId="33" xfId="6" applyNumberFormat="1" applyFont="1" applyBorder="1" applyAlignment="1">
      <alignment horizontal="left" vertical="top"/>
    </xf>
    <xf numFmtId="165" fontId="17" fillId="8" borderId="33" xfId="6" applyNumberFormat="1" applyFont="1" applyBorder="1" applyAlignment="1">
      <alignment horizontal="left" vertical="top"/>
    </xf>
    <xf numFmtId="165" fontId="18" fillId="8" borderId="35" xfId="6" applyNumberFormat="1" applyFont="1" applyBorder="1" applyAlignment="1">
      <alignment horizontal="left" vertical="top"/>
    </xf>
    <xf numFmtId="165" fontId="18" fillId="8" borderId="36" xfId="6" applyNumberFormat="1" applyFont="1" applyBorder="1" applyAlignment="1">
      <alignment horizontal="left" vertical="top"/>
    </xf>
    <xf numFmtId="0" fontId="17" fillId="0" borderId="8" xfId="0" applyFont="1" applyBorder="1" applyAlignment="1">
      <alignment vertical="top" wrapText="1"/>
    </xf>
    <xf numFmtId="0" fontId="17" fillId="0" borderId="0" xfId="0" applyFont="1" applyBorder="1" applyAlignment="1">
      <alignment vertical="top" wrapText="1"/>
    </xf>
    <xf numFmtId="0" fontId="3" fillId="8" borderId="2" xfId="6" applyBorder="1"/>
    <xf numFmtId="165" fontId="18" fillId="8" borderId="8" xfId="6" applyNumberFormat="1" applyFont="1" applyBorder="1" applyAlignment="1">
      <alignment horizontal="left"/>
    </xf>
    <xf numFmtId="165" fontId="18" fillId="8" borderId="8" xfId="6" applyNumberFormat="1" applyFont="1" applyBorder="1" applyAlignment="1">
      <alignment horizontal="left" vertical="top"/>
    </xf>
    <xf numFmtId="0" fontId="0" fillId="0" borderId="11" xfId="0" applyBorder="1" applyAlignment="1"/>
    <xf numFmtId="0" fontId="0" fillId="0" borderId="12" xfId="0" applyBorder="1" applyAlignment="1"/>
    <xf numFmtId="167" fontId="20" fillId="0" borderId="2" xfId="0" applyNumberFormat="1" applyFont="1" applyBorder="1" applyAlignment="1">
      <alignment horizontal="left" vertical="top" wrapText="1"/>
    </xf>
    <xf numFmtId="165" fontId="18" fillId="9" borderId="8" xfId="3" applyNumberFormat="1" applyFont="1" applyFill="1" applyBorder="1" applyAlignment="1">
      <alignment horizontal="left" vertical="top"/>
    </xf>
    <xf numFmtId="165" fontId="18" fillId="9" borderId="8" xfId="2" applyNumberFormat="1" applyFont="1" applyFill="1" applyBorder="1" applyAlignment="1">
      <alignment horizontal="left" vertical="top"/>
    </xf>
    <xf numFmtId="0" fontId="0" fillId="9" borderId="2" xfId="0" applyFill="1" applyBorder="1"/>
    <xf numFmtId="165" fontId="18" fillId="9" borderId="8" xfId="6" applyNumberFormat="1" applyFont="1" applyFill="1" applyBorder="1" applyAlignment="1">
      <alignment horizontal="left" vertical="top"/>
    </xf>
    <xf numFmtId="20" fontId="18" fillId="8" borderId="8" xfId="6" applyNumberFormat="1" applyFont="1" applyBorder="1" applyAlignment="1">
      <alignment horizontal="left" vertical="top"/>
    </xf>
    <xf numFmtId="0" fontId="18" fillId="7" borderId="35" xfId="5" applyFont="1" applyBorder="1" applyAlignment="1">
      <alignment horizontal="center" vertical="top"/>
    </xf>
    <xf numFmtId="0" fontId="18" fillId="9" borderId="35" xfId="4" applyFont="1" applyFill="1" applyBorder="1" applyAlignment="1">
      <alignment horizontal="center" vertical="top"/>
    </xf>
    <xf numFmtId="0" fontId="18" fillId="8" borderId="36" xfId="6" applyFont="1" applyBorder="1" applyAlignment="1">
      <alignment horizontal="center" vertical="center"/>
    </xf>
    <xf numFmtId="0" fontId="18" fillId="4" borderId="35" xfId="2" applyFont="1" applyBorder="1" applyAlignment="1">
      <alignment horizontal="center" vertical="top"/>
    </xf>
    <xf numFmtId="0" fontId="19" fillId="0" borderId="34" xfId="0" applyFont="1" applyBorder="1" applyAlignment="1">
      <alignment horizontal="center"/>
    </xf>
    <xf numFmtId="0" fontId="18" fillId="8" borderId="0" xfId="6" applyFont="1" applyBorder="1"/>
    <xf numFmtId="20" fontId="18" fillId="9" borderId="8" xfId="6" applyNumberFormat="1" applyFont="1" applyFill="1" applyBorder="1" applyAlignment="1">
      <alignment horizontal="left" vertical="top"/>
    </xf>
    <xf numFmtId="0" fontId="18" fillId="9" borderId="0" xfId="6" applyFont="1" applyFill="1" applyBorder="1"/>
    <xf numFmtId="0" fontId="18" fillId="8" borderId="2" xfId="6" applyFont="1" applyBorder="1"/>
    <xf numFmtId="0" fontId="18" fillId="9" borderId="2" xfId="6" applyFont="1" applyFill="1" applyBorder="1"/>
    <xf numFmtId="20" fontId="18" fillId="10" borderId="8" xfId="6" applyNumberFormat="1" applyFont="1" applyFill="1" applyBorder="1" applyAlignment="1">
      <alignment horizontal="left" vertical="top"/>
    </xf>
    <xf numFmtId="165" fontId="18" fillId="10" borderId="8" xfId="6" applyNumberFormat="1" applyFont="1" applyFill="1" applyBorder="1" applyAlignment="1">
      <alignment horizontal="left" vertical="top"/>
    </xf>
    <xf numFmtId="0" fontId="18" fillId="10" borderId="2" xfId="6" applyFont="1" applyFill="1" applyBorder="1"/>
    <xf numFmtId="167" fontId="18" fillId="0" borderId="0" xfId="0" applyNumberFormat="1" applyFont="1" applyBorder="1" applyAlignment="1">
      <alignment horizontal="center" vertical="center"/>
    </xf>
    <xf numFmtId="167" fontId="18" fillId="0" borderId="2" xfId="0" applyNumberFormat="1" applyFont="1" applyBorder="1" applyAlignment="1">
      <alignment horizontal="center" vertical="center"/>
    </xf>
    <xf numFmtId="167" fontId="18" fillId="0" borderId="0" xfId="0" applyNumberFormat="1" applyFont="1" applyAlignment="1">
      <alignment horizontal="center" vertical="center"/>
    </xf>
    <xf numFmtId="168" fontId="18" fillId="8" borderId="7" xfId="6" applyNumberFormat="1" applyFont="1" applyBorder="1" applyAlignment="1">
      <alignment horizontal="left" vertical="top"/>
    </xf>
    <xf numFmtId="168" fontId="3" fillId="8" borderId="10" xfId="6" applyNumberFormat="1" applyBorder="1"/>
    <xf numFmtId="168" fontId="18" fillId="9" borderId="7" xfId="3" applyNumberFormat="1" applyFont="1" applyFill="1" applyBorder="1" applyAlignment="1">
      <alignment horizontal="left" vertical="top"/>
    </xf>
    <xf numFmtId="168" fontId="0" fillId="9" borderId="10" xfId="0" applyNumberFormat="1" applyFill="1" applyBorder="1"/>
    <xf numFmtId="168" fontId="18" fillId="8" borderId="7" xfId="6" applyNumberFormat="1" applyFont="1" applyBorder="1" applyAlignment="1">
      <alignment horizontal="left"/>
    </xf>
    <xf numFmtId="168" fontId="18" fillId="9" borderId="7" xfId="6" applyNumberFormat="1" applyFont="1" applyFill="1" applyBorder="1" applyAlignment="1">
      <alignment horizontal="left" vertical="top"/>
    </xf>
    <xf numFmtId="168" fontId="18" fillId="8" borderId="3" xfId="6" applyNumberFormat="1" applyFont="1" applyBorder="1"/>
    <xf numFmtId="168" fontId="18" fillId="9" borderId="3" xfId="6" applyNumberFormat="1" applyFont="1" applyFill="1" applyBorder="1"/>
    <xf numFmtId="168" fontId="18" fillId="8" borderId="10" xfId="6" applyNumberFormat="1" applyFont="1" applyBorder="1"/>
    <xf numFmtId="168" fontId="18" fillId="9" borderId="10" xfId="6" applyNumberFormat="1" applyFont="1" applyFill="1" applyBorder="1"/>
    <xf numFmtId="168" fontId="18" fillId="10" borderId="7" xfId="6" applyNumberFormat="1" applyFont="1" applyFill="1" applyBorder="1" applyAlignment="1">
      <alignment horizontal="left" vertical="top"/>
    </xf>
    <xf numFmtId="168" fontId="18" fillId="10" borderId="10" xfId="6" applyNumberFormat="1" applyFont="1" applyFill="1" applyBorder="1"/>
    <xf numFmtId="168" fontId="18" fillId="0" borderId="2" xfId="0" applyNumberFormat="1" applyFont="1" applyBorder="1" applyAlignment="1">
      <alignment horizontal="left" vertical="top"/>
    </xf>
    <xf numFmtId="0" fontId="0" fillId="0" borderId="0" xfId="0" applyAlignment="1">
      <alignment vertical="top"/>
    </xf>
    <xf numFmtId="168" fontId="18" fillId="11" borderId="7" xfId="6" applyNumberFormat="1" applyFont="1" applyFill="1" applyBorder="1" applyAlignment="1">
      <alignment horizontal="left" vertical="top"/>
    </xf>
    <xf numFmtId="165" fontId="18" fillId="11" borderId="8" xfId="6" applyNumberFormat="1" applyFont="1" applyFill="1" applyBorder="1" applyAlignment="1">
      <alignment horizontal="left" vertical="top"/>
    </xf>
    <xf numFmtId="168" fontId="3" fillId="11" borderId="10" xfId="6" applyNumberFormat="1" applyFill="1" applyBorder="1"/>
    <xf numFmtId="0" fontId="3" fillId="11" borderId="2" xfId="6" applyFill="1" applyBorder="1"/>
    <xf numFmtId="168" fontId="18" fillId="11" borderId="7" xfId="6" applyNumberFormat="1" applyFont="1" applyFill="1" applyBorder="1" applyAlignment="1">
      <alignment horizontal="left"/>
    </xf>
    <xf numFmtId="165" fontId="18" fillId="11" borderId="8" xfId="6" applyNumberFormat="1" applyFont="1" applyFill="1" applyBorder="1" applyAlignment="1">
      <alignment horizontal="left"/>
    </xf>
    <xf numFmtId="168" fontId="18" fillId="2" borderId="7" xfId="6" applyNumberFormat="1" applyFont="1" applyFill="1" applyBorder="1" applyAlignment="1">
      <alignment horizontal="left" vertical="top"/>
    </xf>
    <xf numFmtId="165" fontId="18" fillId="2" borderId="8" xfId="6" applyNumberFormat="1" applyFont="1" applyFill="1" applyBorder="1" applyAlignment="1">
      <alignment horizontal="left" vertical="top"/>
    </xf>
    <xf numFmtId="168" fontId="0" fillId="2" borderId="10" xfId="0" applyNumberFormat="1" applyFill="1" applyBorder="1"/>
    <xf numFmtId="0" fontId="0" fillId="2" borderId="2" xfId="0" applyFill="1" applyBorder="1"/>
    <xf numFmtId="20" fontId="18" fillId="11" borderId="8" xfId="6" applyNumberFormat="1" applyFont="1" applyFill="1" applyBorder="1" applyAlignment="1">
      <alignment horizontal="left" vertical="top"/>
    </xf>
    <xf numFmtId="168" fontId="18" fillId="11" borderId="10" xfId="6" applyNumberFormat="1" applyFont="1" applyFill="1" applyBorder="1"/>
    <xf numFmtId="0" fontId="18" fillId="11" borderId="2" xfId="6" applyFont="1" applyFill="1" applyBorder="1"/>
    <xf numFmtId="168" fontId="18" fillId="11" borderId="3" xfId="6" applyNumberFormat="1" applyFont="1" applyFill="1" applyBorder="1"/>
    <xf numFmtId="0" fontId="18" fillId="11" borderId="0" xfId="6" applyFont="1" applyFill="1" applyBorder="1"/>
    <xf numFmtId="168" fontId="3" fillId="10" borderId="10" xfId="6" applyNumberFormat="1" applyFill="1" applyBorder="1"/>
    <xf numFmtId="0" fontId="3" fillId="10" borderId="2" xfId="6" applyFill="1" applyBorder="1"/>
    <xf numFmtId="20" fontId="18" fillId="2" borderId="8" xfId="6" applyNumberFormat="1" applyFont="1" applyFill="1" applyBorder="1" applyAlignment="1">
      <alignment horizontal="left" vertical="top"/>
    </xf>
    <xf numFmtId="168" fontId="18" fillId="2" borderId="10" xfId="6" applyNumberFormat="1" applyFont="1" applyFill="1" applyBorder="1"/>
    <xf numFmtId="0" fontId="18" fillId="2" borderId="2" xfId="6" applyFont="1" applyFill="1" applyBorder="1"/>
    <xf numFmtId="168" fontId="18" fillId="11" borderId="7" xfId="3" applyNumberFormat="1" applyFont="1" applyFill="1" applyBorder="1" applyAlignment="1">
      <alignment horizontal="left" vertical="top"/>
    </xf>
    <xf numFmtId="165" fontId="18" fillId="11" borderId="8" xfId="3" applyNumberFormat="1" applyFont="1" applyFill="1" applyBorder="1" applyAlignment="1">
      <alignment horizontal="left" vertical="top"/>
    </xf>
    <xf numFmtId="165" fontId="18" fillId="11" borderId="8" xfId="2" applyNumberFormat="1" applyFont="1" applyFill="1" applyBorder="1" applyAlignment="1">
      <alignment horizontal="left" vertical="top"/>
    </xf>
    <xf numFmtId="168" fontId="0" fillId="11" borderId="10" xfId="0" applyNumberFormat="1" applyFill="1" applyBorder="1"/>
    <xf numFmtId="0" fontId="0" fillId="11" borderId="2" xfId="0" applyFill="1" applyBorder="1"/>
    <xf numFmtId="167" fontId="0" fillId="0" borderId="0" xfId="0" applyNumberFormat="1"/>
    <xf numFmtId="167" fontId="0" fillId="0" borderId="14" xfId="0" applyNumberFormat="1" applyBorder="1" applyAlignment="1">
      <alignment horizontal="left"/>
    </xf>
    <xf numFmtId="167" fontId="5" fillId="3" borderId="14" xfId="0" applyNumberFormat="1" applyFont="1" applyFill="1" applyBorder="1" applyAlignment="1">
      <alignment horizontal="left"/>
    </xf>
    <xf numFmtId="167" fontId="5" fillId="3" borderId="14" xfId="0" applyNumberFormat="1" applyFont="1" applyFill="1" applyBorder="1" applyAlignment="1">
      <alignment horizontal="center"/>
    </xf>
    <xf numFmtId="168" fontId="3" fillId="9" borderId="10" xfId="6" applyNumberFormat="1" applyFill="1" applyBorder="1"/>
    <xf numFmtId="0" fontId="3" fillId="9" borderId="2" xfId="6" applyFill="1" applyBorder="1"/>
    <xf numFmtId="168" fontId="18" fillId="10" borderId="7" xfId="6" applyNumberFormat="1" applyFont="1" applyFill="1" applyBorder="1" applyAlignment="1">
      <alignment horizontal="left"/>
    </xf>
    <xf numFmtId="165" fontId="18" fillId="10" borderId="8" xfId="6" applyNumberFormat="1" applyFont="1" applyFill="1" applyBorder="1" applyAlignment="1">
      <alignment horizontal="left"/>
    </xf>
    <xf numFmtId="168" fontId="0" fillId="10" borderId="10" xfId="0" applyNumberFormat="1" applyFill="1" applyBorder="1"/>
    <xf numFmtId="0" fontId="0" fillId="10" borderId="2" xfId="0" applyFill="1" applyBorder="1"/>
    <xf numFmtId="168" fontId="18" fillId="11" borderId="7" xfId="0" applyNumberFormat="1" applyFont="1" applyFill="1" applyBorder="1" applyAlignment="1">
      <alignment horizontal="left" vertical="top"/>
    </xf>
    <xf numFmtId="20" fontId="18" fillId="11" borderId="8" xfId="0" applyNumberFormat="1" applyFont="1" applyFill="1" applyBorder="1" applyAlignment="1">
      <alignment horizontal="left" vertical="center"/>
    </xf>
    <xf numFmtId="20" fontId="18" fillId="11" borderId="8" xfId="0" applyNumberFormat="1" applyFont="1" applyFill="1" applyBorder="1" applyAlignment="1">
      <alignment horizontal="left"/>
    </xf>
    <xf numFmtId="0" fontId="18" fillId="11" borderId="10" xfId="0" applyFont="1" applyFill="1" applyBorder="1"/>
    <xf numFmtId="0" fontId="18" fillId="11" borderId="2" xfId="0" applyFont="1" applyFill="1" applyBorder="1"/>
    <xf numFmtId="0" fontId="18" fillId="11" borderId="10" xfId="0" applyFont="1" applyFill="1" applyBorder="1" applyAlignment="1">
      <alignment horizontal="left" vertical="top"/>
    </xf>
    <xf numFmtId="0" fontId="18" fillId="11" borderId="2" xfId="0" applyFont="1" applyFill="1" applyBorder="1" applyAlignment="1">
      <alignment horizontal="left" vertical="center"/>
    </xf>
    <xf numFmtId="168" fontId="18" fillId="10" borderId="3" xfId="6" applyNumberFormat="1" applyFont="1" applyFill="1" applyBorder="1"/>
    <xf numFmtId="0" fontId="18" fillId="10" borderId="0" xfId="6" applyFont="1" applyFill="1" applyBorder="1"/>
    <xf numFmtId="168" fontId="18" fillId="9" borderId="7" xfId="6" applyNumberFormat="1" applyFont="1" applyFill="1" applyBorder="1" applyAlignment="1">
      <alignment horizontal="left"/>
    </xf>
    <xf numFmtId="165" fontId="18" fillId="9" borderId="8" xfId="6" applyNumberFormat="1" applyFont="1" applyFill="1" applyBorder="1" applyAlignment="1">
      <alignment horizontal="left"/>
    </xf>
    <xf numFmtId="168" fontId="18" fillId="9" borderId="7" xfId="0" applyNumberFormat="1" applyFont="1" applyFill="1" applyBorder="1" applyAlignment="1">
      <alignment horizontal="left" vertical="top"/>
    </xf>
    <xf numFmtId="20" fontId="18" fillId="9" borderId="8" xfId="0" applyNumberFormat="1" applyFont="1" applyFill="1" applyBorder="1" applyAlignment="1">
      <alignment horizontal="left" vertical="center"/>
    </xf>
    <xf numFmtId="20" fontId="18" fillId="9" borderId="8" xfId="0" applyNumberFormat="1" applyFont="1" applyFill="1" applyBorder="1" applyAlignment="1">
      <alignment horizontal="left"/>
    </xf>
    <xf numFmtId="0" fontId="18" fillId="9" borderId="10" xfId="0" applyFont="1" applyFill="1" applyBorder="1" applyAlignment="1">
      <alignment horizontal="left" vertical="top"/>
    </xf>
    <xf numFmtId="0" fontId="18" fillId="9" borderId="2" xfId="0" applyFont="1" applyFill="1" applyBorder="1" applyAlignment="1">
      <alignment horizontal="left" vertical="center"/>
    </xf>
    <xf numFmtId="0" fontId="18" fillId="9" borderId="2" xfId="0" applyFont="1" applyFill="1" applyBorder="1"/>
    <xf numFmtId="167" fontId="20" fillId="0" borderId="2" xfId="0" applyNumberFormat="1" applyFont="1" applyBorder="1" applyAlignment="1">
      <alignment horizontal="left" vertical="top"/>
    </xf>
    <xf numFmtId="20" fontId="0" fillId="0" borderId="0" xfId="0" applyNumberFormat="1"/>
    <xf numFmtId="21" fontId="0" fillId="0" borderId="0" xfId="0" applyNumberFormat="1"/>
    <xf numFmtId="16" fontId="0" fillId="0" borderId="0" xfId="0" applyNumberFormat="1"/>
    <xf numFmtId="0" fontId="18" fillId="9" borderId="10" xfId="0" applyFont="1" applyFill="1" applyBorder="1"/>
    <xf numFmtId="168" fontId="18" fillId="12" borderId="7" xfId="6" applyNumberFormat="1" applyFont="1" applyFill="1" applyBorder="1" applyAlignment="1">
      <alignment horizontal="left" vertical="top"/>
    </xf>
    <xf numFmtId="165" fontId="18" fillId="12" borderId="8" xfId="6" applyNumberFormat="1" applyFont="1" applyFill="1" applyBorder="1" applyAlignment="1">
      <alignment horizontal="left" vertical="top"/>
    </xf>
    <xf numFmtId="168" fontId="3" fillId="12" borderId="10" xfId="6" applyNumberFormat="1" applyFill="1" applyBorder="1"/>
    <xf numFmtId="0" fontId="3" fillId="12" borderId="2" xfId="6" applyFill="1" applyBorder="1"/>
    <xf numFmtId="168" fontId="18" fillId="12" borderId="7" xfId="3" applyNumberFormat="1" applyFont="1" applyFill="1" applyBorder="1" applyAlignment="1">
      <alignment horizontal="left" vertical="top"/>
    </xf>
    <xf numFmtId="165" fontId="18" fillId="12" borderId="8" xfId="3" applyNumberFormat="1" applyFont="1" applyFill="1" applyBorder="1" applyAlignment="1">
      <alignment horizontal="left" vertical="top"/>
    </xf>
    <xf numFmtId="165" fontId="18" fillId="12" borderId="8" xfId="2" applyNumberFormat="1" applyFont="1" applyFill="1" applyBorder="1" applyAlignment="1">
      <alignment horizontal="left" vertical="top"/>
    </xf>
    <xf numFmtId="168" fontId="0" fillId="12" borderId="10" xfId="0" applyNumberFormat="1" applyFill="1" applyBorder="1"/>
    <xf numFmtId="0" fontId="0" fillId="12" borderId="2" xfId="0" applyFill="1" applyBorder="1"/>
    <xf numFmtId="168" fontId="18" fillId="13" borderId="7" xfId="6" applyNumberFormat="1" applyFont="1" applyFill="1" applyBorder="1" applyAlignment="1">
      <alignment horizontal="left" vertical="top"/>
    </xf>
    <xf numFmtId="20" fontId="18" fillId="13" borderId="8" xfId="6" applyNumberFormat="1" applyFont="1" applyFill="1" applyBorder="1" applyAlignment="1">
      <alignment horizontal="left" vertical="top"/>
    </xf>
    <xf numFmtId="165" fontId="18" fillId="13" borderId="8" xfId="6" applyNumberFormat="1" applyFont="1" applyFill="1" applyBorder="1" applyAlignment="1">
      <alignment horizontal="left" vertical="top"/>
    </xf>
    <xf numFmtId="168" fontId="3" fillId="13" borderId="10" xfId="6" applyNumberFormat="1" applyFill="1" applyBorder="1"/>
    <xf numFmtId="0" fontId="3" fillId="13" borderId="2" xfId="6" applyFill="1" applyBorder="1"/>
    <xf numFmtId="20" fontId="18" fillId="12" borderId="8" xfId="6" applyNumberFormat="1" applyFont="1" applyFill="1" applyBorder="1" applyAlignment="1">
      <alignment horizontal="left" vertical="top"/>
    </xf>
    <xf numFmtId="168" fontId="18" fillId="12" borderId="3" xfId="6" applyNumberFormat="1" applyFont="1" applyFill="1" applyBorder="1"/>
    <xf numFmtId="0" fontId="18" fillId="12" borderId="0" xfId="6" applyFont="1" applyFill="1" applyBorder="1"/>
    <xf numFmtId="168" fontId="18" fillId="14" borderId="7" xfId="6" applyNumberFormat="1" applyFont="1" applyFill="1" applyBorder="1" applyAlignment="1">
      <alignment horizontal="left" vertical="top"/>
    </xf>
    <xf numFmtId="20" fontId="18" fillId="14" borderId="8" xfId="6" applyNumberFormat="1" applyFont="1" applyFill="1" applyBorder="1" applyAlignment="1">
      <alignment horizontal="left" vertical="top"/>
    </xf>
    <xf numFmtId="165" fontId="18" fillId="14" borderId="8" xfId="6" applyNumberFormat="1" applyFont="1" applyFill="1" applyBorder="1" applyAlignment="1">
      <alignment horizontal="left" vertical="top"/>
    </xf>
    <xf numFmtId="168" fontId="18" fillId="14" borderId="10" xfId="6" applyNumberFormat="1" applyFont="1" applyFill="1" applyBorder="1"/>
    <xf numFmtId="0" fontId="18" fillId="14" borderId="2" xfId="6" applyFont="1" applyFill="1" applyBorder="1"/>
    <xf numFmtId="168" fontId="18" fillId="12" borderId="10" xfId="6" applyNumberFormat="1" applyFont="1" applyFill="1" applyBorder="1"/>
    <xf numFmtId="0" fontId="18" fillId="12" borderId="2" xfId="6" applyFont="1" applyFill="1" applyBorder="1"/>
    <xf numFmtId="168" fontId="18" fillId="13" borderId="10" xfId="6" applyNumberFormat="1" applyFont="1" applyFill="1" applyBorder="1"/>
    <xf numFmtId="0" fontId="18" fillId="13" borderId="2" xfId="6" applyFont="1" applyFill="1" applyBorder="1"/>
    <xf numFmtId="168" fontId="18" fillId="13" borderId="7" xfId="0" applyNumberFormat="1" applyFont="1" applyFill="1" applyBorder="1" applyAlignment="1">
      <alignment horizontal="left" vertical="top"/>
    </xf>
    <xf numFmtId="20" fontId="18" fillId="13" borderId="8" xfId="0" applyNumberFormat="1" applyFont="1" applyFill="1" applyBorder="1" applyAlignment="1">
      <alignment horizontal="left" vertical="center"/>
    </xf>
    <xf numFmtId="20" fontId="18" fillId="13" borderId="8" xfId="0" applyNumberFormat="1" applyFont="1" applyFill="1" applyBorder="1" applyAlignment="1">
      <alignment horizontal="left"/>
    </xf>
    <xf numFmtId="0" fontId="18" fillId="13" borderId="10" xfId="0" applyFont="1" applyFill="1" applyBorder="1"/>
    <xf numFmtId="0" fontId="18" fillId="13" borderId="2" xfId="0" applyFont="1" applyFill="1" applyBorder="1"/>
    <xf numFmtId="168" fontId="18" fillId="14" borderId="7" xfId="0" applyNumberFormat="1" applyFont="1" applyFill="1" applyBorder="1" applyAlignment="1">
      <alignment horizontal="left" vertical="top"/>
    </xf>
    <xf numFmtId="20" fontId="18" fillId="14" borderId="8" xfId="0" applyNumberFormat="1" applyFont="1" applyFill="1" applyBorder="1" applyAlignment="1">
      <alignment horizontal="left" vertical="center"/>
    </xf>
    <xf numFmtId="20" fontId="18" fillId="14" borderId="8" xfId="0" applyNumberFormat="1" applyFont="1" applyFill="1" applyBorder="1" applyAlignment="1">
      <alignment horizontal="left"/>
    </xf>
    <xf numFmtId="0" fontId="18" fillId="14" borderId="10" xfId="0" applyFont="1" applyFill="1" applyBorder="1" applyAlignment="1">
      <alignment horizontal="left" vertical="top"/>
    </xf>
    <xf numFmtId="0" fontId="18" fillId="14" borderId="2" xfId="0" applyFont="1" applyFill="1" applyBorder="1" applyAlignment="1">
      <alignment horizontal="left" vertical="center"/>
    </xf>
    <xf numFmtId="0" fontId="18" fillId="14" borderId="2" xfId="0" applyFont="1" applyFill="1" applyBorder="1"/>
    <xf numFmtId="168" fontId="18" fillId="12" borderId="7" xfId="0" applyNumberFormat="1" applyFont="1" applyFill="1" applyBorder="1" applyAlignment="1">
      <alignment horizontal="left" vertical="top"/>
    </xf>
    <xf numFmtId="20" fontId="18" fillId="12" borderId="8" xfId="0" applyNumberFormat="1" applyFont="1" applyFill="1" applyBorder="1" applyAlignment="1">
      <alignment horizontal="left" vertical="center"/>
    </xf>
    <xf numFmtId="20" fontId="18" fillId="12" borderId="8" xfId="0" applyNumberFormat="1" applyFont="1" applyFill="1" applyBorder="1" applyAlignment="1">
      <alignment horizontal="left"/>
    </xf>
    <xf numFmtId="0" fontId="18" fillId="12" borderId="10" xfId="0" applyFont="1" applyFill="1" applyBorder="1"/>
    <xf numFmtId="0" fontId="18" fillId="12" borderId="2" xfId="0" applyFont="1" applyFill="1" applyBorder="1"/>
    <xf numFmtId="168" fontId="18" fillId="12" borderId="7" xfId="6" applyNumberFormat="1" applyFont="1" applyFill="1" applyBorder="1" applyAlignment="1">
      <alignment horizontal="left"/>
    </xf>
    <xf numFmtId="165" fontId="18" fillId="12" borderId="8" xfId="6" applyNumberFormat="1" applyFont="1" applyFill="1" applyBorder="1" applyAlignment="1">
      <alignment horizontal="left"/>
    </xf>
    <xf numFmtId="168" fontId="0" fillId="13" borderId="10" xfId="0" applyNumberFormat="1" applyFill="1" applyBorder="1"/>
    <xf numFmtId="0" fontId="0" fillId="13" borderId="2" xfId="0" applyFill="1" applyBorder="1"/>
    <xf numFmtId="0" fontId="18" fillId="14" borderId="10" xfId="0" applyFont="1" applyFill="1" applyBorder="1"/>
    <xf numFmtId="0" fontId="25" fillId="5" borderId="6" xfId="3" applyFont="1" applyBorder="1" applyAlignment="1">
      <alignment horizontal="left"/>
    </xf>
    <xf numFmtId="0" fontId="2" fillId="3" borderId="0" xfId="0" applyFont="1" applyFill="1" applyBorder="1" applyAlignment="1">
      <alignment vertical="top" wrapText="1"/>
    </xf>
    <xf numFmtId="0" fontId="2" fillId="0" borderId="2" xfId="0" applyFont="1" applyBorder="1" applyAlignment="1">
      <alignment vertical="top"/>
    </xf>
    <xf numFmtId="0" fontId="2" fillId="0" borderId="8" xfId="0" applyFont="1" applyBorder="1" applyAlignment="1">
      <alignment vertical="top" wrapText="1"/>
    </xf>
    <xf numFmtId="0" fontId="2" fillId="0" borderId="0" xfId="0" applyFont="1" applyAlignment="1">
      <alignment vertical="top" wrapText="1"/>
    </xf>
    <xf numFmtId="20" fontId="34" fillId="15" borderId="0" xfId="0" applyNumberFormat="1" applyFont="1" applyFill="1" applyAlignment="1">
      <alignment horizontal="left"/>
    </xf>
    <xf numFmtId="20" fontId="34" fillId="15" borderId="8" xfId="0" applyNumberFormat="1" applyFont="1" applyFill="1" applyBorder="1" applyAlignment="1">
      <alignment horizontal="left" vertical="top"/>
    </xf>
    <xf numFmtId="165" fontId="18" fillId="13" borderId="8" xfId="2" applyNumberFormat="1" applyFont="1" applyFill="1" applyBorder="1" applyAlignment="1">
      <alignment horizontal="left" vertical="top"/>
    </xf>
    <xf numFmtId="0" fontId="25" fillId="5" borderId="6" xfId="3" applyFont="1" applyBorder="1" applyAlignment="1">
      <alignment horizontal="center"/>
    </xf>
    <xf numFmtId="0" fontId="28" fillId="0" borderId="7" xfId="0" applyFont="1" applyBorder="1" applyAlignment="1">
      <alignment horizontal="left" vertical="top" wrapText="1"/>
    </xf>
    <xf numFmtId="0" fontId="28" fillId="0" borderId="8" xfId="0" applyFont="1" applyBorder="1" applyAlignment="1">
      <alignment horizontal="left" vertical="top"/>
    </xf>
    <xf numFmtId="0" fontId="28" fillId="0" borderId="9" xfId="0" applyFont="1" applyBorder="1" applyAlignment="1">
      <alignment horizontal="left" vertical="top"/>
    </xf>
    <xf numFmtId="0" fontId="28" fillId="0" borderId="3" xfId="0" applyFont="1" applyBorder="1" applyAlignment="1">
      <alignment horizontal="left" vertical="top"/>
    </xf>
    <xf numFmtId="0" fontId="28" fillId="0" borderId="0" xfId="0" applyFont="1" applyAlignment="1">
      <alignment horizontal="left" vertical="top"/>
    </xf>
    <xf numFmtId="0" fontId="28" fillId="0" borderId="4" xfId="0" applyFont="1" applyBorder="1" applyAlignment="1">
      <alignment horizontal="left" vertical="top"/>
    </xf>
    <xf numFmtId="0" fontId="28" fillId="0" borderId="10" xfId="0" applyFont="1" applyBorder="1" applyAlignment="1">
      <alignment horizontal="left" vertical="top"/>
    </xf>
    <xf numFmtId="0" fontId="28" fillId="0" borderId="2" xfId="0" applyFont="1" applyBorder="1" applyAlignment="1">
      <alignment horizontal="left" vertical="top"/>
    </xf>
    <xf numFmtId="0" fontId="28" fillId="0" borderId="5" xfId="0" applyFont="1" applyBorder="1" applyAlignment="1">
      <alignment horizontal="left" vertical="top"/>
    </xf>
    <xf numFmtId="0" fontId="28" fillId="0" borderId="0" xfId="0" applyFont="1" applyAlignment="1">
      <alignment horizontal="left" vertical="top" wrapText="1"/>
    </xf>
    <xf numFmtId="0" fontId="11" fillId="3" borderId="0" xfId="1" applyFont="1" applyFill="1" applyBorder="1" applyAlignment="1">
      <alignment horizontal="center" vertical="center" wrapText="1"/>
    </xf>
    <xf numFmtId="0" fontId="25" fillId="5" borderId="6" xfId="3" applyFont="1" applyBorder="1" applyAlignment="1">
      <alignment horizontal="left"/>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3" xfId="0" applyBorder="1" applyAlignment="1">
      <alignment horizontal="left" vertical="top" wrapText="1"/>
    </xf>
    <xf numFmtId="0" fontId="0" fillId="0" borderId="0" xfId="0" applyAlignment="1">
      <alignment horizontal="left" vertical="top" wrapText="1"/>
    </xf>
    <xf numFmtId="0" fontId="0" fillId="0" borderId="4" xfId="0" applyBorder="1" applyAlignment="1">
      <alignment horizontal="left" vertical="top" wrapText="1"/>
    </xf>
    <xf numFmtId="0" fontId="0" fillId="0" borderId="10" xfId="0" applyBorder="1" applyAlignment="1">
      <alignment horizontal="left" vertical="top" wrapText="1"/>
    </xf>
    <xf numFmtId="0" fontId="0" fillId="0" borderId="2" xfId="0" applyBorder="1" applyAlignment="1">
      <alignment horizontal="left" vertical="top" wrapText="1"/>
    </xf>
    <xf numFmtId="0" fontId="0" fillId="0" borderId="5" xfId="0" applyBorder="1" applyAlignment="1">
      <alignment horizontal="left" vertical="top" wrapText="1"/>
    </xf>
    <xf numFmtId="0" fontId="28" fillId="0" borderId="8" xfId="0" applyFont="1" applyBorder="1" applyAlignment="1">
      <alignment horizontal="left" vertical="top" wrapText="1"/>
    </xf>
    <xf numFmtId="0" fontId="28" fillId="9" borderId="4" xfId="4" applyFont="1" applyFill="1" applyBorder="1" applyAlignment="1">
      <alignment horizontal="left" vertical="top" wrapText="1"/>
    </xf>
    <xf numFmtId="0" fontId="28" fillId="9" borderId="4" xfId="4" applyFont="1" applyFill="1" applyBorder="1" applyAlignment="1">
      <alignment horizontal="left" vertical="top"/>
    </xf>
    <xf numFmtId="0" fontId="28" fillId="4" borderId="4" xfId="2" applyFont="1" applyBorder="1" applyAlignment="1">
      <alignment horizontal="left" vertical="top" wrapText="1"/>
    </xf>
    <xf numFmtId="0" fontId="28" fillId="4" borderId="4" xfId="2" applyFont="1" applyBorder="1" applyAlignment="1">
      <alignment horizontal="left" vertical="top"/>
    </xf>
    <xf numFmtId="0" fontId="28" fillId="9" borderId="4" xfId="2" applyFont="1" applyFill="1" applyBorder="1" applyAlignment="1">
      <alignment horizontal="left" vertical="top" wrapText="1"/>
    </xf>
    <xf numFmtId="0" fontId="28" fillId="9" borderId="4" xfId="2" applyFont="1" applyFill="1" applyBorder="1" applyAlignment="1">
      <alignment horizontal="left" vertical="top"/>
    </xf>
    <xf numFmtId="0" fontId="28" fillId="8" borderId="4" xfId="6" applyFont="1" applyBorder="1" applyAlignment="1">
      <alignment horizontal="left" vertical="top" wrapText="1"/>
    </xf>
    <xf numFmtId="0" fontId="28" fillId="8" borderId="4" xfId="6" applyFont="1" applyBorder="1" applyAlignment="1">
      <alignment horizontal="left" vertical="top"/>
    </xf>
    <xf numFmtId="0" fontId="23" fillId="5" borderId="6" xfId="3" applyFont="1" applyBorder="1" applyAlignment="1">
      <alignment horizontal="center"/>
    </xf>
    <xf numFmtId="0" fontId="2" fillId="0" borderId="8" xfId="0" applyFont="1" applyBorder="1" applyAlignment="1">
      <alignment horizontal="left" vertical="top" wrapText="1"/>
    </xf>
    <xf numFmtId="0" fontId="2" fillId="0" borderId="0" xfId="0" applyFont="1" applyAlignment="1">
      <alignment horizontal="left" vertical="top" wrapText="1"/>
    </xf>
    <xf numFmtId="0" fontId="17" fillId="4" borderId="9" xfId="2" applyFont="1" applyBorder="1" applyAlignment="1">
      <alignment horizontal="left" vertical="top" wrapText="1"/>
    </xf>
    <xf numFmtId="0" fontId="17" fillId="4" borderId="28" xfId="2" applyFont="1" applyBorder="1" applyAlignment="1">
      <alignment horizontal="left" vertical="top"/>
    </xf>
    <xf numFmtId="0" fontId="17" fillId="9" borderId="31" xfId="4" applyFont="1" applyFill="1" applyBorder="1" applyAlignment="1">
      <alignment horizontal="left" vertical="top" wrapText="1"/>
    </xf>
    <xf numFmtId="0" fontId="17" fillId="9" borderId="28" xfId="4" applyFont="1" applyFill="1" applyBorder="1" applyAlignment="1">
      <alignment horizontal="left" vertical="top"/>
    </xf>
    <xf numFmtId="0" fontId="17" fillId="8" borderId="31" xfId="6" applyFont="1" applyBorder="1" applyAlignment="1">
      <alignment horizontal="left" vertical="top" wrapText="1"/>
    </xf>
    <xf numFmtId="0" fontId="17" fillId="8" borderId="28" xfId="6" applyFont="1" applyBorder="1" applyAlignment="1">
      <alignment horizontal="left" vertical="top"/>
    </xf>
    <xf numFmtId="0" fontId="18" fillId="8" borderId="4" xfId="6" applyFont="1" applyBorder="1" applyAlignment="1">
      <alignment horizontal="left" vertical="top" wrapText="1"/>
    </xf>
    <xf numFmtId="0" fontId="18" fillId="8" borderId="5" xfId="6" applyFont="1" applyBorder="1" applyAlignment="1">
      <alignment horizontal="left" vertical="top"/>
    </xf>
    <xf numFmtId="0" fontId="17" fillId="0" borderId="7" xfId="0" applyFont="1" applyBorder="1" applyAlignment="1">
      <alignment horizontal="left" vertical="top" wrapText="1"/>
    </xf>
    <xf numFmtId="0" fontId="17" fillId="0" borderId="8" xfId="0" applyFont="1" applyBorder="1" applyAlignment="1">
      <alignment horizontal="left" vertical="top" wrapText="1"/>
    </xf>
    <xf numFmtId="0" fontId="17" fillId="0" borderId="9" xfId="0" applyFont="1" applyBorder="1" applyAlignment="1">
      <alignment horizontal="left" vertical="top" wrapText="1"/>
    </xf>
    <xf numFmtId="0" fontId="17" fillId="0" borderId="3" xfId="0" applyFont="1" applyBorder="1" applyAlignment="1">
      <alignment horizontal="left" vertical="top" wrapText="1"/>
    </xf>
    <xf numFmtId="0" fontId="17" fillId="0" borderId="0" xfId="0" applyFont="1" applyBorder="1" applyAlignment="1">
      <alignment horizontal="left" vertical="top" wrapText="1"/>
    </xf>
    <xf numFmtId="0" fontId="17" fillId="0" borderId="4" xfId="0" applyFont="1" applyBorder="1" applyAlignment="1">
      <alignment horizontal="left" vertical="top" wrapText="1"/>
    </xf>
    <xf numFmtId="0" fontId="17" fillId="0" borderId="10" xfId="0" applyFont="1" applyBorder="1" applyAlignment="1">
      <alignment horizontal="left" vertical="top" wrapText="1"/>
    </xf>
    <xf numFmtId="0" fontId="17" fillId="0" borderId="2" xfId="0" applyFont="1" applyBorder="1" applyAlignment="1">
      <alignment horizontal="left" vertical="top" wrapText="1"/>
    </xf>
    <xf numFmtId="0" fontId="17" fillId="0" borderId="5" xfId="0" applyFont="1" applyBorder="1" applyAlignment="1">
      <alignment horizontal="left" vertical="top" wrapText="1"/>
    </xf>
    <xf numFmtId="0" fontId="18" fillId="9" borderId="8" xfId="6" applyFont="1" applyFill="1" applyBorder="1" applyAlignment="1">
      <alignment horizontal="left" vertical="top" wrapText="1"/>
    </xf>
    <xf numFmtId="0" fontId="18" fillId="9" borderId="2" xfId="6" applyFont="1" applyFill="1" applyBorder="1" applyAlignment="1">
      <alignment horizontal="left" vertical="top" wrapText="1"/>
    </xf>
    <xf numFmtId="0" fontId="18" fillId="10" borderId="8" xfId="6" applyFont="1" applyFill="1" applyBorder="1" applyAlignment="1">
      <alignment horizontal="left" vertical="top" wrapText="1"/>
    </xf>
    <xf numFmtId="0" fontId="18" fillId="10" borderId="2" xfId="6" applyFont="1" applyFill="1" applyBorder="1" applyAlignment="1">
      <alignment horizontal="left" vertical="top" wrapText="1"/>
    </xf>
    <xf numFmtId="0" fontId="17" fillId="8" borderId="8" xfId="6" applyFont="1" applyBorder="1" applyAlignment="1">
      <alignment horizontal="left" vertical="top" wrapText="1"/>
    </xf>
    <xf numFmtId="0" fontId="17" fillId="8" borderId="2" xfId="6" applyFont="1" applyBorder="1" applyAlignment="1">
      <alignment horizontal="left" vertical="top" wrapText="1"/>
    </xf>
    <xf numFmtId="0" fontId="17" fillId="9" borderId="8" xfId="4" applyFont="1" applyFill="1" applyBorder="1" applyAlignment="1">
      <alignment horizontal="left" vertical="top" wrapText="1"/>
    </xf>
    <xf numFmtId="0" fontId="17" fillId="9" borderId="2" xfId="4" applyFont="1" applyFill="1" applyBorder="1" applyAlignment="1">
      <alignment horizontal="left" vertical="top" wrapText="1"/>
    </xf>
    <xf numFmtId="0" fontId="2" fillId="0" borderId="0" xfId="0" applyFont="1" applyBorder="1" applyAlignment="1">
      <alignment horizontal="left" vertical="top" wrapText="1"/>
    </xf>
    <xf numFmtId="0" fontId="17" fillId="9" borderId="8" xfId="6" applyFont="1" applyFill="1" applyBorder="1" applyAlignment="1">
      <alignment horizontal="left" vertical="top" wrapText="1"/>
    </xf>
    <xf numFmtId="0" fontId="17" fillId="9" borderId="2" xfId="6" applyFont="1" applyFill="1" applyBorder="1" applyAlignment="1">
      <alignment horizontal="left" vertical="top" wrapText="1"/>
    </xf>
    <xf numFmtId="0" fontId="18" fillId="8" borderId="8" xfId="6" applyFont="1" applyBorder="1" applyAlignment="1">
      <alignment horizontal="left" vertical="top" wrapText="1"/>
    </xf>
    <xf numFmtId="0" fontId="18" fillId="8" borderId="2" xfId="6" applyFont="1" applyBorder="1" applyAlignment="1">
      <alignment horizontal="left" vertical="top" wrapText="1"/>
    </xf>
    <xf numFmtId="0" fontId="18" fillId="11" borderId="8" xfId="6" applyFont="1" applyFill="1" applyBorder="1" applyAlignment="1">
      <alignment horizontal="left" vertical="top" wrapText="1"/>
    </xf>
    <xf numFmtId="0" fontId="18" fillId="11" borderId="9" xfId="6" applyFont="1" applyFill="1" applyBorder="1" applyAlignment="1">
      <alignment horizontal="left" vertical="top" wrapText="1"/>
    </xf>
    <xf numFmtId="0" fontId="18" fillId="11" borderId="2" xfId="6" applyFont="1" applyFill="1" applyBorder="1" applyAlignment="1">
      <alignment horizontal="left" vertical="top" wrapText="1"/>
    </xf>
    <xf numFmtId="0" fontId="18" fillId="11" borderId="5" xfId="6" applyFont="1" applyFill="1" applyBorder="1" applyAlignment="1">
      <alignment horizontal="left" vertical="top" wrapText="1"/>
    </xf>
    <xf numFmtId="0" fontId="18" fillId="10" borderId="9" xfId="6" applyFont="1" applyFill="1" applyBorder="1" applyAlignment="1">
      <alignment horizontal="left" vertical="top" wrapText="1"/>
    </xf>
    <xf numFmtId="0" fontId="18" fillId="10" borderId="5" xfId="6" applyFont="1" applyFill="1" applyBorder="1" applyAlignment="1">
      <alignment horizontal="left" vertical="top" wrapText="1"/>
    </xf>
    <xf numFmtId="0" fontId="32" fillId="0" borderId="11" xfId="0" applyFont="1" applyBorder="1" applyAlignment="1">
      <alignment horizontal="center" vertical="center"/>
    </xf>
    <xf numFmtId="0" fontId="32" fillId="0" borderId="13" xfId="0" applyFont="1" applyBorder="1" applyAlignment="1">
      <alignment horizontal="center" vertical="center"/>
    </xf>
    <xf numFmtId="0" fontId="0" fillId="0" borderId="11" xfId="0" applyBorder="1" applyAlignment="1">
      <alignment horizontal="center"/>
    </xf>
    <xf numFmtId="0" fontId="0" fillId="0" borderId="13" xfId="0" applyBorder="1" applyAlignment="1">
      <alignment horizontal="center"/>
    </xf>
    <xf numFmtId="0" fontId="17" fillId="11" borderId="8" xfId="6" applyFont="1" applyFill="1" applyBorder="1" applyAlignment="1">
      <alignment horizontal="left" vertical="top" wrapText="1"/>
    </xf>
    <xf numFmtId="0" fontId="17" fillId="11" borderId="2" xfId="6" applyFont="1" applyFill="1" applyBorder="1" applyAlignment="1">
      <alignment horizontal="left" vertical="top" wrapText="1"/>
    </xf>
    <xf numFmtId="0" fontId="17" fillId="11" borderId="9" xfId="6" applyFont="1" applyFill="1" applyBorder="1" applyAlignment="1">
      <alignment horizontal="left" vertical="top" wrapText="1"/>
    </xf>
    <xf numFmtId="0" fontId="17" fillId="11" borderId="5" xfId="6" applyFont="1" applyFill="1" applyBorder="1" applyAlignment="1">
      <alignment horizontal="left" vertical="top" wrapText="1"/>
    </xf>
    <xf numFmtId="0" fontId="17" fillId="2" borderId="8" xfId="6" applyFont="1" applyFill="1" applyBorder="1" applyAlignment="1">
      <alignment horizontal="left" vertical="top" wrapText="1"/>
    </xf>
    <xf numFmtId="0" fontId="17" fillId="2" borderId="9" xfId="6" applyFont="1" applyFill="1" applyBorder="1" applyAlignment="1">
      <alignment horizontal="left" vertical="top" wrapText="1"/>
    </xf>
    <xf numFmtId="0" fontId="17" fillId="2" borderId="2" xfId="6" applyFont="1" applyFill="1" applyBorder="1" applyAlignment="1">
      <alignment horizontal="left" vertical="top" wrapText="1"/>
    </xf>
    <xf numFmtId="0" fontId="17" fillId="2" borderId="5" xfId="6" applyFont="1" applyFill="1" applyBorder="1" applyAlignment="1">
      <alignment horizontal="left" vertical="top" wrapText="1"/>
    </xf>
    <xf numFmtId="0" fontId="17" fillId="10" borderId="8" xfId="6" applyFont="1" applyFill="1" applyBorder="1" applyAlignment="1">
      <alignment horizontal="left" vertical="top" wrapText="1"/>
    </xf>
    <xf numFmtId="0" fontId="17" fillId="10" borderId="9" xfId="6" applyFont="1" applyFill="1" applyBorder="1" applyAlignment="1">
      <alignment horizontal="left" vertical="top" wrapText="1"/>
    </xf>
    <xf numFmtId="0" fontId="17" fillId="10" borderId="2" xfId="6" applyFont="1" applyFill="1" applyBorder="1" applyAlignment="1">
      <alignment horizontal="left" vertical="top" wrapText="1"/>
    </xf>
    <xf numFmtId="0" fontId="17" fillId="10" borderId="5" xfId="6" applyFont="1" applyFill="1" applyBorder="1" applyAlignment="1">
      <alignment horizontal="left" vertical="top" wrapText="1"/>
    </xf>
    <xf numFmtId="0" fontId="17" fillId="11" borderId="8" xfId="4" applyFont="1" applyFill="1" applyBorder="1" applyAlignment="1">
      <alignment horizontal="left" vertical="top" wrapText="1"/>
    </xf>
    <xf numFmtId="0" fontId="17" fillId="11" borderId="2" xfId="4" applyFont="1" applyFill="1" applyBorder="1" applyAlignment="1">
      <alignment horizontal="left" vertical="top" wrapText="1"/>
    </xf>
    <xf numFmtId="0" fontId="17" fillId="9" borderId="9" xfId="6" applyFont="1" applyFill="1" applyBorder="1" applyAlignment="1">
      <alignment horizontal="left" vertical="top" wrapText="1"/>
    </xf>
    <xf numFmtId="0" fontId="17" fillId="9" borderId="5" xfId="6" applyFont="1" applyFill="1" applyBorder="1" applyAlignment="1">
      <alignment horizontal="left" vertical="top" wrapText="1"/>
    </xf>
    <xf numFmtId="0" fontId="18" fillId="9" borderId="9" xfId="6" applyFont="1" applyFill="1" applyBorder="1" applyAlignment="1">
      <alignment horizontal="left" vertical="top" wrapText="1"/>
    </xf>
    <xf numFmtId="0" fontId="18" fillId="9" borderId="5" xfId="6" applyFont="1" applyFill="1" applyBorder="1" applyAlignment="1">
      <alignment horizontal="left" vertical="top" wrapText="1"/>
    </xf>
    <xf numFmtId="0" fontId="32" fillId="0" borderId="11" xfId="0" applyFont="1" applyBorder="1" applyAlignment="1">
      <alignment horizontal="center"/>
    </xf>
    <xf numFmtId="0" fontId="32" fillId="0" borderId="13" xfId="0" applyFont="1" applyBorder="1" applyAlignment="1">
      <alignment horizontal="center"/>
    </xf>
    <xf numFmtId="0" fontId="18" fillId="11" borderId="8" xfId="0" applyFont="1" applyFill="1" applyBorder="1" applyAlignment="1">
      <alignment horizontal="left" vertical="top"/>
    </xf>
    <xf numFmtId="0" fontId="18" fillId="11" borderId="9" xfId="0" applyFont="1" applyFill="1" applyBorder="1" applyAlignment="1">
      <alignment horizontal="left" vertical="top"/>
    </xf>
    <xf numFmtId="0" fontId="18" fillId="11" borderId="2" xfId="0" applyFont="1" applyFill="1" applyBorder="1" applyAlignment="1">
      <alignment horizontal="left" vertical="top"/>
    </xf>
    <xf numFmtId="0" fontId="18" fillId="11" borderId="5" xfId="0" applyFont="1" applyFill="1" applyBorder="1" applyAlignment="1">
      <alignment horizontal="left" vertical="top"/>
    </xf>
    <xf numFmtId="0" fontId="18" fillId="11" borderId="8" xfId="4" applyFont="1" applyFill="1" applyBorder="1" applyAlignment="1">
      <alignment horizontal="left" vertical="top" wrapText="1"/>
    </xf>
    <xf numFmtId="0" fontId="18" fillId="11" borderId="9" xfId="4" applyFont="1" applyFill="1" applyBorder="1" applyAlignment="1">
      <alignment horizontal="left" vertical="top" wrapText="1"/>
    </xf>
    <xf numFmtId="0" fontId="18" fillId="11" borderId="2" xfId="4" applyFont="1" applyFill="1" applyBorder="1" applyAlignment="1">
      <alignment horizontal="left" vertical="top" wrapText="1"/>
    </xf>
    <xf numFmtId="0" fontId="18" fillId="11" borderId="5" xfId="4" applyFont="1" applyFill="1" applyBorder="1" applyAlignment="1">
      <alignment horizontal="left" vertical="top" wrapText="1"/>
    </xf>
    <xf numFmtId="49" fontId="0" fillId="0" borderId="11" xfId="0" applyNumberFormat="1" applyBorder="1" applyAlignment="1">
      <alignment horizontal="center"/>
    </xf>
    <xf numFmtId="49" fontId="0" fillId="0" borderId="13" xfId="0" applyNumberFormat="1" applyBorder="1" applyAlignment="1">
      <alignment horizontal="center"/>
    </xf>
    <xf numFmtId="49" fontId="32" fillId="0" borderId="11" xfId="0" applyNumberFormat="1" applyFont="1" applyBorder="1" applyAlignment="1">
      <alignment horizontal="center" vertical="center"/>
    </xf>
    <xf numFmtId="49" fontId="32" fillId="0" borderId="13" xfId="0" applyNumberFormat="1" applyFont="1" applyBorder="1" applyAlignment="1">
      <alignment horizontal="center" vertical="center"/>
    </xf>
    <xf numFmtId="0" fontId="18" fillId="0" borderId="7" xfId="0" applyFont="1" applyBorder="1" applyAlignment="1">
      <alignment horizontal="left" vertical="top" wrapText="1"/>
    </xf>
    <xf numFmtId="0" fontId="18" fillId="0" borderId="8" xfId="0" applyFont="1" applyBorder="1" applyAlignment="1">
      <alignment horizontal="left" vertical="top" wrapText="1"/>
    </xf>
    <xf numFmtId="0" fontId="18" fillId="0" borderId="9" xfId="0" applyFont="1" applyBorder="1" applyAlignment="1">
      <alignment horizontal="left" vertical="top" wrapText="1"/>
    </xf>
    <xf numFmtId="0" fontId="18" fillId="0" borderId="3" xfId="0" applyFont="1" applyBorder="1" applyAlignment="1">
      <alignment horizontal="left" vertical="top" wrapText="1"/>
    </xf>
    <xf numFmtId="0" fontId="18" fillId="0" borderId="0" xfId="0" applyFont="1" applyBorder="1" applyAlignment="1">
      <alignment horizontal="left" vertical="top" wrapText="1"/>
    </xf>
    <xf numFmtId="0" fontId="18" fillId="0" borderId="4" xfId="0" applyFont="1" applyBorder="1" applyAlignment="1">
      <alignment horizontal="left" vertical="top" wrapText="1"/>
    </xf>
    <xf numFmtId="0" fontId="18" fillId="0" borderId="10" xfId="0" applyFont="1" applyBorder="1" applyAlignment="1">
      <alignment horizontal="left" vertical="top" wrapText="1"/>
    </xf>
    <xf numFmtId="0" fontId="18" fillId="0" borderId="2" xfId="0" applyFont="1" applyBorder="1" applyAlignment="1">
      <alignment horizontal="left" vertical="top" wrapText="1"/>
    </xf>
    <xf numFmtId="0" fontId="18" fillId="0" borderId="5" xfId="0" applyFont="1" applyBorder="1" applyAlignment="1">
      <alignment horizontal="left" vertical="top" wrapText="1"/>
    </xf>
    <xf numFmtId="0" fontId="18" fillId="11" borderId="8" xfId="0" applyFont="1" applyFill="1" applyBorder="1" applyAlignment="1">
      <alignment horizontal="left" vertical="top" wrapText="1"/>
    </xf>
    <xf numFmtId="0" fontId="18" fillId="11" borderId="9" xfId="0" applyFont="1" applyFill="1" applyBorder="1" applyAlignment="1">
      <alignment horizontal="left" vertical="top" wrapText="1"/>
    </xf>
    <xf numFmtId="0" fontId="18" fillId="11" borderId="2" xfId="0" applyFont="1" applyFill="1" applyBorder="1" applyAlignment="1">
      <alignment horizontal="left" vertical="top" wrapText="1"/>
    </xf>
    <xf numFmtId="0" fontId="18" fillId="11" borderId="5" xfId="0" applyFont="1" applyFill="1" applyBorder="1" applyAlignment="1">
      <alignment horizontal="left" vertical="top" wrapText="1"/>
    </xf>
    <xf numFmtId="0" fontId="18" fillId="9" borderId="8" xfId="0" applyFont="1" applyFill="1" applyBorder="1" applyAlignment="1">
      <alignment horizontal="left" vertical="top"/>
    </xf>
    <xf numFmtId="0" fontId="18" fillId="9" borderId="9" xfId="0" applyFont="1" applyFill="1" applyBorder="1" applyAlignment="1">
      <alignment horizontal="left" vertical="top"/>
    </xf>
    <xf numFmtId="0" fontId="18" fillId="9" borderId="2" xfId="0" applyFont="1" applyFill="1" applyBorder="1" applyAlignment="1">
      <alignment horizontal="left" vertical="top"/>
    </xf>
    <xf numFmtId="0" fontId="18" fillId="9" borderId="5" xfId="0" applyFont="1" applyFill="1" applyBorder="1" applyAlignment="1">
      <alignment horizontal="left" vertical="top"/>
    </xf>
    <xf numFmtId="0" fontId="18" fillId="9" borderId="8" xfId="4" applyFont="1" applyFill="1" applyBorder="1" applyAlignment="1">
      <alignment horizontal="left" vertical="top" wrapText="1"/>
    </xf>
    <xf numFmtId="0" fontId="18" fillId="9" borderId="9" xfId="4" applyFont="1" applyFill="1" applyBorder="1" applyAlignment="1">
      <alignment horizontal="left" vertical="top" wrapText="1"/>
    </xf>
    <xf numFmtId="0" fontId="18" fillId="9" borderId="2" xfId="4" applyFont="1" applyFill="1" applyBorder="1" applyAlignment="1">
      <alignment horizontal="left" vertical="top" wrapText="1"/>
    </xf>
    <xf numFmtId="0" fontId="18" fillId="9" borderId="5" xfId="4" applyFont="1" applyFill="1" applyBorder="1" applyAlignment="1">
      <alignment horizontal="left" vertical="top" wrapText="1"/>
    </xf>
    <xf numFmtId="0" fontId="18" fillId="9" borderId="8" xfId="0" applyFont="1" applyFill="1" applyBorder="1" applyAlignment="1">
      <alignment horizontal="left" vertical="top" wrapText="1"/>
    </xf>
    <xf numFmtId="0" fontId="18" fillId="9" borderId="9" xfId="0" applyFont="1" applyFill="1" applyBorder="1" applyAlignment="1">
      <alignment horizontal="left" vertical="top" wrapText="1"/>
    </xf>
    <xf numFmtId="0" fontId="18" fillId="9" borderId="2" xfId="0" applyFont="1" applyFill="1" applyBorder="1" applyAlignment="1">
      <alignment horizontal="left" vertical="top" wrapText="1"/>
    </xf>
    <xf numFmtId="0" fontId="18" fillId="9" borderId="5" xfId="0" applyFont="1" applyFill="1" applyBorder="1" applyAlignment="1">
      <alignment horizontal="left" vertical="top" wrapText="1"/>
    </xf>
    <xf numFmtId="0" fontId="18" fillId="12" borderId="8" xfId="6" applyFont="1" applyFill="1" applyBorder="1" applyAlignment="1">
      <alignment horizontal="left" vertical="top" wrapText="1"/>
    </xf>
    <xf numFmtId="0" fontId="17" fillId="12" borderId="8" xfId="6" applyFont="1" applyFill="1" applyBorder="1" applyAlignment="1">
      <alignment horizontal="left" vertical="top" wrapText="1"/>
    </xf>
    <xf numFmtId="0" fontId="17" fillId="12" borderId="2" xfId="6" applyFont="1" applyFill="1" applyBorder="1" applyAlignment="1">
      <alignment horizontal="left" vertical="top" wrapText="1"/>
    </xf>
    <xf numFmtId="0" fontId="18" fillId="12" borderId="8" xfId="4" applyFont="1" applyFill="1" applyBorder="1" applyAlignment="1">
      <alignment horizontal="left" vertical="top" wrapText="1"/>
    </xf>
    <xf numFmtId="0" fontId="17" fillId="12" borderId="8" xfId="4" applyFont="1" applyFill="1" applyBorder="1" applyAlignment="1">
      <alignment horizontal="left" vertical="top" wrapText="1"/>
    </xf>
    <xf numFmtId="0" fontId="17" fillId="12" borderId="2" xfId="4" applyFont="1" applyFill="1" applyBorder="1" applyAlignment="1">
      <alignment horizontal="left" vertical="top" wrapText="1"/>
    </xf>
    <xf numFmtId="0" fontId="18" fillId="12" borderId="9" xfId="4" applyFont="1" applyFill="1" applyBorder="1" applyAlignment="1">
      <alignment horizontal="left" vertical="top" wrapText="1"/>
    </xf>
    <xf numFmtId="0" fontId="18" fillId="12" borderId="2" xfId="4" applyFont="1" applyFill="1" applyBorder="1" applyAlignment="1">
      <alignment horizontal="left" vertical="top" wrapText="1"/>
    </xf>
    <xf numFmtId="0" fontId="18" fillId="12" borderId="5" xfId="4" applyFont="1" applyFill="1" applyBorder="1" applyAlignment="1">
      <alignment horizontal="left" vertical="top" wrapText="1"/>
    </xf>
    <xf numFmtId="0" fontId="17" fillId="12" borderId="9" xfId="6" applyFont="1" applyFill="1" applyBorder="1" applyAlignment="1">
      <alignment horizontal="left" vertical="top" wrapText="1"/>
    </xf>
    <xf numFmtId="0" fontId="17" fillId="12" borderId="5" xfId="6" applyFont="1" applyFill="1" applyBorder="1" applyAlignment="1">
      <alignment horizontal="left" vertical="top" wrapText="1"/>
    </xf>
    <xf numFmtId="0" fontId="18" fillId="13" borderId="8" xfId="6" applyFont="1" applyFill="1" applyBorder="1" applyAlignment="1">
      <alignment horizontal="left" vertical="top" wrapText="1"/>
    </xf>
    <xf numFmtId="0" fontId="17" fillId="13" borderId="9" xfId="6" applyFont="1" applyFill="1" applyBorder="1" applyAlignment="1">
      <alignment horizontal="left" vertical="top" wrapText="1"/>
    </xf>
    <xf numFmtId="0" fontId="17" fillId="13" borderId="2" xfId="6" applyFont="1" applyFill="1" applyBorder="1" applyAlignment="1">
      <alignment horizontal="left" vertical="top" wrapText="1"/>
    </xf>
    <xf numFmtId="0" fontId="17" fillId="13" borderId="5" xfId="6" applyFont="1" applyFill="1" applyBorder="1" applyAlignment="1">
      <alignment horizontal="left" vertical="top" wrapText="1"/>
    </xf>
    <xf numFmtId="0" fontId="17" fillId="14" borderId="8" xfId="6" applyFont="1" applyFill="1" applyBorder="1" applyAlignment="1">
      <alignment horizontal="left" vertical="top" wrapText="1"/>
    </xf>
    <xf numFmtId="0" fontId="17" fillId="14" borderId="9" xfId="6" applyFont="1" applyFill="1" applyBorder="1" applyAlignment="1">
      <alignment horizontal="left" vertical="top" wrapText="1"/>
    </xf>
    <xf numFmtId="0" fontId="17" fillId="14" borderId="2" xfId="6" applyFont="1" applyFill="1" applyBorder="1" applyAlignment="1">
      <alignment horizontal="left" vertical="top" wrapText="1"/>
    </xf>
    <xf numFmtId="0" fontId="17" fillId="14" borderId="5" xfId="6" applyFont="1" applyFill="1" applyBorder="1" applyAlignment="1">
      <alignment horizontal="left" vertical="top" wrapText="1"/>
    </xf>
    <xf numFmtId="0" fontId="18" fillId="14" borderId="9" xfId="6" applyFont="1" applyFill="1" applyBorder="1" applyAlignment="1">
      <alignment horizontal="left" vertical="top" wrapText="1"/>
    </xf>
    <xf numFmtId="0" fontId="18" fillId="14" borderId="2" xfId="6" applyFont="1" applyFill="1" applyBorder="1" applyAlignment="1">
      <alignment horizontal="left" vertical="top" wrapText="1"/>
    </xf>
    <xf numFmtId="0" fontId="18" fillId="14" borderId="5" xfId="6" applyFont="1" applyFill="1" applyBorder="1" applyAlignment="1">
      <alignment horizontal="left" vertical="top" wrapText="1"/>
    </xf>
    <xf numFmtId="0" fontId="18" fillId="13" borderId="9" xfId="6" applyFont="1" applyFill="1" applyBorder="1" applyAlignment="1">
      <alignment horizontal="left" vertical="top" wrapText="1"/>
    </xf>
    <xf numFmtId="0" fontId="18" fillId="13" borderId="2" xfId="6" applyFont="1" applyFill="1" applyBorder="1" applyAlignment="1">
      <alignment horizontal="left" vertical="top" wrapText="1"/>
    </xf>
    <xf numFmtId="0" fontId="18" fillId="13" borderId="5" xfId="6" applyFont="1" applyFill="1" applyBorder="1" applyAlignment="1">
      <alignment horizontal="left" vertical="top" wrapText="1"/>
    </xf>
    <xf numFmtId="0" fontId="18" fillId="13" borderId="8" xfId="0" applyFont="1" applyFill="1" applyBorder="1" applyAlignment="1">
      <alignment horizontal="left" vertical="top" wrapText="1"/>
    </xf>
    <xf numFmtId="0" fontId="18" fillId="13" borderId="9"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3" borderId="5" xfId="0" applyFont="1" applyFill="1" applyBorder="1" applyAlignment="1">
      <alignment horizontal="left" vertical="top" wrapText="1"/>
    </xf>
    <xf numFmtId="0" fontId="18" fillId="12" borderId="8" xfId="0" applyFont="1" applyFill="1" applyBorder="1" applyAlignment="1">
      <alignment horizontal="left" vertical="top" wrapText="1"/>
    </xf>
    <xf numFmtId="0" fontId="18" fillId="12" borderId="9" xfId="0" applyFont="1" applyFill="1" applyBorder="1" applyAlignment="1">
      <alignment horizontal="left" vertical="top" wrapText="1"/>
    </xf>
    <xf numFmtId="0" fontId="18" fillId="12" borderId="2" xfId="0" applyFont="1" applyFill="1" applyBorder="1" applyAlignment="1">
      <alignment horizontal="left" vertical="top" wrapText="1"/>
    </xf>
    <xf numFmtId="0" fontId="18" fillId="12" borderId="5" xfId="0" applyFont="1" applyFill="1" applyBorder="1" applyAlignment="1">
      <alignment horizontal="left" vertical="top" wrapText="1"/>
    </xf>
    <xf numFmtId="0" fontId="18" fillId="14" borderId="8" xfId="0" applyFont="1" applyFill="1" applyBorder="1" applyAlignment="1">
      <alignment horizontal="left" vertical="top" wrapText="1"/>
    </xf>
    <xf numFmtId="0" fontId="18" fillId="14" borderId="9" xfId="0" applyFont="1" applyFill="1" applyBorder="1" applyAlignment="1">
      <alignment horizontal="left" vertical="top" wrapText="1"/>
    </xf>
    <xf numFmtId="0" fontId="18" fillId="14" borderId="2" xfId="0" applyFont="1" applyFill="1" applyBorder="1" applyAlignment="1">
      <alignment horizontal="left" vertical="top" wrapText="1"/>
    </xf>
    <xf numFmtId="0" fontId="18" fillId="14" borderId="5" xfId="0" applyFont="1" applyFill="1" applyBorder="1" applyAlignment="1">
      <alignment horizontal="left" vertical="top" wrapText="1"/>
    </xf>
    <xf numFmtId="0" fontId="17" fillId="13" borderId="8" xfId="6" applyFont="1" applyFill="1" applyBorder="1" applyAlignment="1">
      <alignment horizontal="left" vertical="top" wrapText="1"/>
    </xf>
    <xf numFmtId="0" fontId="18" fillId="13" borderId="8" xfId="4" applyFont="1" applyFill="1" applyBorder="1" applyAlignment="1">
      <alignment horizontal="left" vertical="top" wrapText="1"/>
    </xf>
    <xf numFmtId="0" fontId="17" fillId="13" borderId="8" xfId="4" applyFont="1" applyFill="1" applyBorder="1" applyAlignment="1">
      <alignment horizontal="left" vertical="top" wrapText="1"/>
    </xf>
    <xf numFmtId="0" fontId="17" fillId="13" borderId="2" xfId="4" applyFont="1" applyFill="1" applyBorder="1" applyAlignment="1">
      <alignment horizontal="left" vertical="top" wrapText="1"/>
    </xf>
    <xf numFmtId="168" fontId="18" fillId="3" borderId="7" xfId="0" applyNumberFormat="1" applyFont="1" applyFill="1" applyBorder="1" applyAlignment="1">
      <alignment horizontal="left" vertical="top"/>
    </xf>
    <xf numFmtId="20" fontId="18" fillId="3" borderId="8" xfId="0" applyNumberFormat="1" applyFont="1" applyFill="1" applyBorder="1" applyAlignment="1">
      <alignment horizontal="left" vertical="center"/>
    </xf>
    <xf numFmtId="20" fontId="18" fillId="3" borderId="8" xfId="0" applyNumberFormat="1" applyFont="1" applyFill="1" applyBorder="1" applyAlignment="1">
      <alignment horizontal="left"/>
    </xf>
    <xf numFmtId="0" fontId="18" fillId="3" borderId="8" xfId="0" applyFont="1" applyFill="1" applyBorder="1" applyAlignment="1">
      <alignment horizontal="left" vertical="top" wrapText="1"/>
    </xf>
    <xf numFmtId="0" fontId="18" fillId="3" borderId="9" xfId="0" applyFont="1" applyFill="1" applyBorder="1" applyAlignment="1">
      <alignment horizontal="left" vertical="top" wrapText="1"/>
    </xf>
    <xf numFmtId="0" fontId="18" fillId="3" borderId="2" xfId="0" applyFont="1" applyFill="1" applyBorder="1"/>
    <xf numFmtId="0" fontId="18" fillId="3" borderId="2" xfId="0" applyFont="1" applyFill="1" applyBorder="1" applyAlignment="1">
      <alignment horizontal="left" vertical="top" wrapText="1"/>
    </xf>
    <xf numFmtId="0" fontId="18" fillId="3" borderId="5" xfId="0" applyFont="1" applyFill="1" applyBorder="1" applyAlignment="1">
      <alignment horizontal="left" vertical="top" wrapText="1"/>
    </xf>
    <xf numFmtId="0" fontId="18" fillId="3" borderId="10" xfId="0" applyFont="1" applyFill="1" applyBorder="1"/>
    <xf numFmtId="20" fontId="34" fillId="16" borderId="0" xfId="0" applyNumberFormat="1" applyFont="1" applyFill="1" applyAlignment="1">
      <alignment horizontal="left"/>
    </xf>
    <xf numFmtId="20" fontId="34" fillId="16" borderId="8" xfId="0" applyNumberFormat="1" applyFont="1" applyFill="1" applyBorder="1" applyAlignment="1">
      <alignment horizontal="left" vertical="top"/>
    </xf>
    <xf numFmtId="165" fontId="18" fillId="3" borderId="8" xfId="6" applyNumberFormat="1" applyFont="1" applyFill="1" applyBorder="1" applyAlignment="1">
      <alignment horizontal="left" vertical="top"/>
    </xf>
    <xf numFmtId="0" fontId="18" fillId="3" borderId="8" xfId="6" applyFont="1" applyFill="1" applyBorder="1" applyAlignment="1">
      <alignment horizontal="left" vertical="top" wrapText="1"/>
    </xf>
    <xf numFmtId="0" fontId="17" fillId="3" borderId="8" xfId="6" applyFont="1" applyFill="1" applyBorder="1" applyAlignment="1">
      <alignment horizontal="left" vertical="top" wrapText="1"/>
    </xf>
    <xf numFmtId="168" fontId="3" fillId="3" borderId="10" xfId="6" applyNumberFormat="1" applyFill="1" applyBorder="1"/>
    <xf numFmtId="0" fontId="3" fillId="3" borderId="2" xfId="6" applyFill="1" applyBorder="1"/>
    <xf numFmtId="0" fontId="17" fillId="3" borderId="2" xfId="6" applyFont="1" applyFill="1" applyBorder="1" applyAlignment="1">
      <alignment horizontal="left" vertical="top" wrapText="1"/>
    </xf>
    <xf numFmtId="165" fontId="18" fillId="3" borderId="8" xfId="2" applyNumberFormat="1" applyFont="1" applyFill="1" applyBorder="1" applyAlignment="1">
      <alignment horizontal="left" vertical="top"/>
    </xf>
    <xf numFmtId="0" fontId="18" fillId="3" borderId="8" xfId="4" applyFont="1" applyFill="1" applyBorder="1" applyAlignment="1">
      <alignment horizontal="left" vertical="top" wrapText="1"/>
    </xf>
    <xf numFmtId="0" fontId="17" fillId="3" borderId="8" xfId="4" applyFont="1" applyFill="1" applyBorder="1" applyAlignment="1">
      <alignment horizontal="left" vertical="top" wrapText="1"/>
    </xf>
    <xf numFmtId="168" fontId="0" fillId="3" borderId="10" xfId="0" applyNumberFormat="1" applyFill="1" applyBorder="1"/>
    <xf numFmtId="0" fontId="0" fillId="3" borderId="2" xfId="0" applyFill="1" applyBorder="1"/>
    <xf numFmtId="0" fontId="17" fillId="3" borderId="2" xfId="4" applyFont="1" applyFill="1" applyBorder="1" applyAlignment="1">
      <alignment horizontal="left" vertical="top" wrapText="1"/>
    </xf>
    <xf numFmtId="168" fontId="18" fillId="3" borderId="7" xfId="3" applyNumberFormat="1" applyFont="1" applyFill="1" applyBorder="1" applyAlignment="1">
      <alignment horizontal="left" vertical="top"/>
    </xf>
    <xf numFmtId="165" fontId="18" fillId="3" borderId="8" xfId="3" applyNumberFormat="1" applyFont="1" applyFill="1" applyBorder="1" applyAlignment="1">
      <alignment horizontal="left" vertical="top"/>
    </xf>
    <xf numFmtId="0" fontId="18" fillId="3" borderId="9" xfId="4" applyFont="1" applyFill="1" applyBorder="1" applyAlignment="1">
      <alignment horizontal="left" vertical="top" wrapText="1"/>
    </xf>
    <xf numFmtId="0" fontId="18" fillId="3" borderId="2" xfId="4" applyFont="1" applyFill="1" applyBorder="1" applyAlignment="1">
      <alignment horizontal="left" vertical="top" wrapText="1"/>
    </xf>
    <xf numFmtId="0" fontId="18" fillId="3" borderId="5" xfId="4" applyFont="1" applyFill="1" applyBorder="1" applyAlignment="1">
      <alignment horizontal="left" vertical="top" wrapText="1"/>
    </xf>
    <xf numFmtId="168" fontId="18" fillId="3" borderId="7" xfId="6" applyNumberFormat="1" applyFont="1" applyFill="1" applyBorder="1" applyAlignment="1">
      <alignment horizontal="left"/>
    </xf>
    <xf numFmtId="165" fontId="18" fillId="3" borderId="8" xfId="6" applyNumberFormat="1" applyFont="1" applyFill="1" applyBorder="1" applyAlignment="1">
      <alignment horizontal="left"/>
    </xf>
    <xf numFmtId="0" fontId="17" fillId="3" borderId="9" xfId="6" applyFont="1" applyFill="1" applyBorder="1" applyAlignment="1">
      <alignment horizontal="left" vertical="top" wrapText="1"/>
    </xf>
    <xf numFmtId="0" fontId="17" fillId="3" borderId="5" xfId="6" applyFont="1" applyFill="1" applyBorder="1" applyAlignment="1">
      <alignment horizontal="left" vertical="top" wrapText="1"/>
    </xf>
    <xf numFmtId="168" fontId="18" fillId="3" borderId="7" xfId="6" applyNumberFormat="1" applyFont="1" applyFill="1" applyBorder="1" applyAlignment="1">
      <alignment horizontal="left" vertical="top"/>
    </xf>
    <xf numFmtId="20" fontId="18" fillId="3" borderId="8" xfId="6" applyNumberFormat="1" applyFont="1" applyFill="1" applyBorder="1" applyAlignment="1">
      <alignment horizontal="left" vertical="top"/>
    </xf>
  </cellXfs>
  <cellStyles count="7">
    <cellStyle name="20 % – uthevingsfarge 2" xfId="3" builtinId="34"/>
    <cellStyle name="40 % – uthevingsfarge 1" xfId="2" builtinId="31"/>
    <cellStyle name="40 % – uthevingsfarge 3" xfId="4" builtinId="39"/>
    <cellStyle name="40 % – uthevingsfarge 4" xfId="5" builtinId="43"/>
    <cellStyle name="40 % – uthevingsfarge 6" xfId="6" builtinId="51"/>
    <cellStyle name="Hyperkobling" xfId="1" builtinId="8"/>
    <cellStyle name="Normal" xfId="0" builtinId="0"/>
  </cellStyles>
  <dxfs count="99">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s>
  <tableStyles count="0" defaultTableStyle="TableStyleMedium2" defaultPivotStyle="PivotStyleLight16"/>
  <colors>
    <mruColors>
      <color rgb="FFFF5757"/>
      <color rgb="FFC6E0B4"/>
      <color rgb="FFFFE699"/>
      <color rgb="FFBDD7EE"/>
      <color rgb="FFFFC5C5"/>
      <color rgb="FFF7C1C9"/>
      <color rgb="FFF3A7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imeliste%20%20Uke%20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lex\OneDrive\UIT\Systemutvikling\Timeliste%20%20Uke%2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ørst"/>
      <sheetName val="Uke3"/>
      <sheetName val="Uke4"/>
      <sheetName val="Uke5"/>
      <sheetName val="Uke4 (3)"/>
      <sheetName val="Sist"/>
      <sheetName val="Data"/>
    </sheetNames>
    <sheetDataSet>
      <sheetData sheetId="0"/>
      <sheetData sheetId="1">
        <row r="10">
          <cell r="D10">
            <v>13</v>
          </cell>
        </row>
      </sheetData>
      <sheetData sheetId="2">
        <row r="10">
          <cell r="D10">
            <v>20</v>
          </cell>
        </row>
      </sheetData>
      <sheetData sheetId="3"/>
      <sheetData sheetId="4"/>
      <sheetData sheetId="5"/>
      <sheetData sheetId="6">
        <row r="2">
          <cell r="B2" t="str">
            <v>January</v>
          </cell>
        </row>
        <row r="3">
          <cell r="B3" t="str">
            <v>February</v>
          </cell>
        </row>
        <row r="4">
          <cell r="B4" t="str">
            <v>March</v>
          </cell>
        </row>
        <row r="5">
          <cell r="B5" t="str">
            <v>April</v>
          </cell>
        </row>
        <row r="6">
          <cell r="B6" t="str">
            <v>May</v>
          </cell>
        </row>
        <row r="7">
          <cell r="B7" t="str">
            <v>June</v>
          </cell>
        </row>
        <row r="8">
          <cell r="B8" t="str">
            <v>July</v>
          </cell>
        </row>
        <row r="9">
          <cell r="B9" t="str">
            <v>August</v>
          </cell>
        </row>
        <row r="10">
          <cell r="B10" t="str">
            <v>September</v>
          </cell>
        </row>
        <row r="11">
          <cell r="B11" t="str">
            <v>October</v>
          </cell>
        </row>
        <row r="12">
          <cell r="B12" t="str">
            <v>November</v>
          </cell>
        </row>
        <row r="13">
          <cell r="B13" t="str">
            <v>December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Først"/>
      <sheetName val="Uke3"/>
      <sheetName val="Uke4"/>
      <sheetName val="Uke5"/>
      <sheetName val="Uke4 (3)"/>
      <sheetName val="Sist"/>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8D5C-F80C-45B2-8793-D61BC5C202ED}">
  <sheetPr codeName="Sheet2"/>
  <dimension ref="A6"/>
  <sheetViews>
    <sheetView workbookViewId="0">
      <selection activeCell="B6" sqref="B6"/>
    </sheetView>
  </sheetViews>
  <sheetFormatPr baseColWidth="10" defaultColWidth="9" defaultRowHeight="12.75" x14ac:dyDescent="0.2"/>
  <sheetData>
    <row r="6" spans="1:1" x14ac:dyDescent="0.2">
      <c r="A6" s="2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B94B4-18D0-47E4-AE5E-FCFA76590C1B}">
  <sheetPr codeName="Sheet11"/>
  <dimension ref="A1:K36"/>
  <sheetViews>
    <sheetView showGridLines="0" zoomScaleNormal="100" workbookViewId="0">
      <selection activeCell="C7" sqref="C7"/>
    </sheetView>
  </sheetViews>
  <sheetFormatPr baseColWidth="10" defaultColWidth="9" defaultRowHeight="12.75" x14ac:dyDescent="0.2"/>
  <cols>
    <col min="1" max="1" width="14.25" customWidth="1"/>
    <col min="2" max="2" width="12" customWidth="1"/>
    <col min="3" max="3" width="11.375" bestFit="1" customWidth="1"/>
    <col min="4" max="4" width="16.375" customWidth="1"/>
    <col min="5" max="5" width="26.125" bestFit="1"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388" t="s">
        <v>0</v>
      </c>
      <c r="B1" s="388"/>
      <c r="C1" s="380">
        <f>C10</f>
        <v>3</v>
      </c>
      <c r="D1" s="55"/>
      <c r="E1" s="55"/>
      <c r="F1" s="55"/>
      <c r="G1" s="56"/>
      <c r="H1" s="193"/>
      <c r="J1" s="1"/>
    </row>
    <row r="2" spans="1:10" s="1" customFormat="1" ht="14.25" customHeight="1" x14ac:dyDescent="0.25">
      <c r="A2" s="57" t="s">
        <v>1</v>
      </c>
      <c r="B2" s="57"/>
      <c r="C2" s="57" t="s">
        <v>2</v>
      </c>
      <c r="D2" s="57"/>
      <c r="E2" s="58" t="s">
        <v>3</v>
      </c>
      <c r="F2" s="58" t="s">
        <v>4</v>
      </c>
      <c r="G2" s="58" t="s">
        <v>5</v>
      </c>
      <c r="H2" s="20"/>
      <c r="I2" s="13"/>
      <c r="J2" s="6"/>
    </row>
    <row r="3" spans="1:10" ht="15.75" thickBot="1" x14ac:dyDescent="0.25">
      <c r="A3" s="59">
        <f>B14</f>
        <v>43843</v>
      </c>
      <c r="B3" s="60"/>
      <c r="C3" s="59">
        <f>B20</f>
        <v>43849</v>
      </c>
      <c r="D3" s="60"/>
      <c r="E3" s="61" t="s">
        <v>6</v>
      </c>
      <c r="F3" s="62">
        <f>Sumcolor(E3,G14:G20)</f>
        <v>0.1875</v>
      </c>
      <c r="G3" s="62">
        <f>SUM(Først:Sist!F3)</f>
        <v>0.93402777777777768</v>
      </c>
      <c r="H3" s="194"/>
      <c r="I3" s="7"/>
      <c r="J3" s="7"/>
    </row>
    <row r="4" spans="1:10" ht="15" customHeight="1" x14ac:dyDescent="0.2">
      <c r="A4" s="398" t="s">
        <v>7</v>
      </c>
      <c r="B4" s="398"/>
      <c r="C4" s="398" t="s">
        <v>8</v>
      </c>
      <c r="D4" s="398"/>
      <c r="E4" s="63" t="s">
        <v>9</v>
      </c>
      <c r="F4" s="62">
        <f>Sumcolor(E4,G14:G20)</f>
        <v>0</v>
      </c>
      <c r="G4" s="62">
        <f>SUM(Først:Sist!F4)</f>
        <v>6.5486111111111125</v>
      </c>
      <c r="H4" s="194"/>
      <c r="I4" s="7"/>
      <c r="J4" s="399"/>
    </row>
    <row r="5" spans="1:10" ht="15" x14ac:dyDescent="0.2">
      <c r="A5" s="398"/>
      <c r="B5" s="398"/>
      <c r="C5" s="398"/>
      <c r="D5" s="398"/>
      <c r="E5" s="162" t="s">
        <v>10</v>
      </c>
      <c r="F5" s="62">
        <f>Sumcolor(E5,G14:G20)</f>
        <v>0</v>
      </c>
      <c r="G5" s="62">
        <f>SUM(Først:Sist!F5)</f>
        <v>1.3368055555555545</v>
      </c>
      <c r="H5" s="194"/>
      <c r="I5" s="7"/>
      <c r="J5" s="399"/>
    </row>
    <row r="6" spans="1:10" ht="24" thickBot="1" x14ac:dyDescent="0.25">
      <c r="A6" s="195">
        <f>SUM(G14:G20)</f>
        <v>0.35763888888888884</v>
      </c>
      <c r="B6" s="196"/>
      <c r="C6" s="163">
        <f>SUM('Først:Uke3'!A6)</f>
        <v>0.35763888888888884</v>
      </c>
      <c r="D6" s="68"/>
      <c r="E6" s="69" t="s">
        <v>11</v>
      </c>
      <c r="F6" s="70">
        <f>Sumcolor(E6,G14:G20)</f>
        <v>0.17013888888888884</v>
      </c>
      <c r="G6" s="70">
        <f>SUM(Først:Sist!F6)</f>
        <v>2.4791666666666661</v>
      </c>
      <c r="H6" s="194"/>
      <c r="I6" s="7"/>
      <c r="J6" s="7"/>
    </row>
    <row r="7" spans="1:10" ht="12.75" customHeight="1" x14ac:dyDescent="0.2">
      <c r="A7" s="19"/>
      <c r="B7" s="23"/>
      <c r="C7" s="24"/>
      <c r="D7" s="71"/>
      <c r="E7" s="23"/>
      <c r="F7" s="23"/>
      <c r="G7" s="25"/>
      <c r="H7" s="25"/>
    </row>
    <row r="8" spans="1:10" x14ac:dyDescent="0.2">
      <c r="A8" s="23"/>
      <c r="B8" s="25"/>
      <c r="C8" s="71"/>
      <c r="D8" s="25"/>
      <c r="E8" s="23"/>
      <c r="F8" s="23"/>
      <c r="G8" s="25"/>
      <c r="H8" s="25"/>
    </row>
    <row r="9" spans="1:10" ht="15" x14ac:dyDescent="0.25">
      <c r="A9" s="164" t="s">
        <v>12</v>
      </c>
      <c r="B9" s="164" t="s">
        <v>13</v>
      </c>
      <c r="C9" s="165" t="s">
        <v>14</v>
      </c>
      <c r="D9" s="164" t="s">
        <v>15</v>
      </c>
      <c r="E9" s="23"/>
      <c r="F9" s="23"/>
      <c r="G9" s="25"/>
      <c r="H9" s="25"/>
    </row>
    <row r="10" spans="1:10" ht="15.75" customHeight="1" x14ac:dyDescent="0.25">
      <c r="A10" s="166">
        <v>2020</v>
      </c>
      <c r="B10" s="166" t="s">
        <v>16</v>
      </c>
      <c r="C10" s="166">
        <f>WEEKNUM(B14)</f>
        <v>3</v>
      </c>
      <c r="D10" s="166">
        <v>13</v>
      </c>
      <c r="E10" s="23"/>
      <c r="F10" s="23"/>
      <c r="G10" s="25"/>
      <c r="H10" s="25"/>
    </row>
    <row r="11" spans="1:10" x14ac:dyDescent="0.2">
      <c r="A11" s="25"/>
      <c r="B11" s="167"/>
      <c r="C11" s="167"/>
      <c r="D11" s="25"/>
      <c r="E11" s="23"/>
      <c r="F11" s="23"/>
      <c r="G11" s="25"/>
      <c r="H11" s="25"/>
    </row>
    <row r="12" spans="1:10" ht="15.75" customHeight="1" x14ac:dyDescent="0.2">
      <c r="A12" s="25"/>
      <c r="B12" s="25"/>
      <c r="C12" s="25"/>
      <c r="D12" s="25"/>
      <c r="E12" s="23"/>
      <c r="F12" s="23"/>
      <c r="G12" s="25"/>
      <c r="H12" s="25"/>
    </row>
    <row r="13" spans="1:10" ht="13.5" thickBot="1" x14ac:dyDescent="0.25">
      <c r="A13" s="168" t="s">
        <v>17</v>
      </c>
      <c r="B13" s="168" t="s">
        <v>15</v>
      </c>
      <c r="C13" s="168" t="s">
        <v>18</v>
      </c>
      <c r="D13" s="168" t="s">
        <v>19</v>
      </c>
      <c r="E13" s="168" t="s">
        <v>18</v>
      </c>
      <c r="F13" s="168" t="s">
        <v>19</v>
      </c>
      <c r="G13" s="72" t="s">
        <v>20</v>
      </c>
      <c r="H13" s="197" t="s">
        <v>21</v>
      </c>
    </row>
    <row r="14" spans="1:10" ht="15.75" customHeight="1" x14ac:dyDescent="0.25">
      <c r="A14" s="169">
        <f>DATE($A$10,MATCH($B$10,[1]Data!$B$2:$B$13,0),[1]Uke3!$D$10)</f>
        <v>43843</v>
      </c>
      <c r="B14" s="170">
        <f>DATE($A$10,MATCH($B$10,[1]Data!$B$2:$B$13,0),[1]Uke3!$D$10)</f>
        <v>43843</v>
      </c>
      <c r="C14" s="171">
        <v>0.58333333333333337</v>
      </c>
      <c r="D14" s="172">
        <v>0.64583333333333337</v>
      </c>
      <c r="E14" s="198"/>
      <c r="F14" s="199"/>
      <c r="G14" s="200">
        <f t="shared" ref="G14:G20" si="0">(D14-C14)+(F14-E14)</f>
        <v>6.25E-2</v>
      </c>
      <c r="H14" s="201" t="s">
        <v>22</v>
      </c>
    </row>
    <row r="15" spans="1:10" ht="15" x14ac:dyDescent="0.25">
      <c r="A15" s="175">
        <f>A14+1</f>
        <v>43844</v>
      </c>
      <c r="B15" s="176">
        <f>B14+1</f>
        <v>43844</v>
      </c>
      <c r="C15" s="177"/>
      <c r="D15" s="178"/>
      <c r="E15" s="177"/>
      <c r="F15" s="178"/>
      <c r="G15" s="177">
        <f t="shared" si="0"/>
        <v>0</v>
      </c>
      <c r="H15" s="202"/>
    </row>
    <row r="16" spans="1:10" ht="15.75" customHeight="1" x14ac:dyDescent="0.25">
      <c r="A16" s="169">
        <f t="shared" ref="A16:B20" si="1">A15+1</f>
        <v>43845</v>
      </c>
      <c r="B16" s="170">
        <f t="shared" si="1"/>
        <v>43845</v>
      </c>
      <c r="C16" s="171">
        <v>0.41666666666666669</v>
      </c>
      <c r="D16" s="172">
        <v>0.47916666666666669</v>
      </c>
      <c r="E16" s="171"/>
      <c r="F16" s="172"/>
      <c r="G16" s="203">
        <f t="shared" si="0"/>
        <v>6.25E-2</v>
      </c>
      <c r="H16" s="204" t="s">
        <v>23</v>
      </c>
    </row>
    <row r="17" spans="1:11" ht="15" x14ac:dyDescent="0.25">
      <c r="A17" s="175">
        <f t="shared" si="1"/>
        <v>43846</v>
      </c>
      <c r="B17" s="176">
        <f t="shared" si="1"/>
        <v>43846</v>
      </c>
      <c r="C17" s="177">
        <v>0.41666666666666669</v>
      </c>
      <c r="D17" s="178">
        <v>0.47916666666666669</v>
      </c>
      <c r="E17" s="177"/>
      <c r="F17" s="178"/>
      <c r="G17" s="203">
        <f t="shared" si="0"/>
        <v>6.25E-2</v>
      </c>
      <c r="H17" s="204" t="s">
        <v>24</v>
      </c>
    </row>
    <row r="18" spans="1:11" ht="15" x14ac:dyDescent="0.25">
      <c r="A18" s="169">
        <f t="shared" si="1"/>
        <v>43847</v>
      </c>
      <c r="B18" s="170">
        <f t="shared" si="1"/>
        <v>43847</v>
      </c>
      <c r="C18" s="171"/>
      <c r="D18" s="172"/>
      <c r="E18" s="171"/>
      <c r="F18" s="172"/>
      <c r="G18" s="183">
        <f t="shared" si="0"/>
        <v>0</v>
      </c>
      <c r="H18" s="202"/>
    </row>
    <row r="19" spans="1:11" ht="15" x14ac:dyDescent="0.25">
      <c r="A19" s="175">
        <f t="shared" si="1"/>
        <v>43848</v>
      </c>
      <c r="B19" s="176">
        <f t="shared" si="1"/>
        <v>43848</v>
      </c>
      <c r="C19" s="177">
        <v>0.55902777777777779</v>
      </c>
      <c r="D19" s="178">
        <v>0.72916666666666663</v>
      </c>
      <c r="E19" s="177"/>
      <c r="F19" s="178"/>
      <c r="G19" s="205">
        <f t="shared" si="0"/>
        <v>0.17013888888888884</v>
      </c>
      <c r="H19" s="206" t="s">
        <v>25</v>
      </c>
      <c r="I19" s="8"/>
      <c r="K19" s="8"/>
    </row>
    <row r="20" spans="1:11" ht="15.75" thickBot="1" x14ac:dyDescent="0.3">
      <c r="A20" s="187">
        <f t="shared" si="1"/>
        <v>43849</v>
      </c>
      <c r="B20" s="188">
        <f t="shared" si="1"/>
        <v>43849</v>
      </c>
      <c r="C20" s="189"/>
      <c r="D20" s="190"/>
      <c r="E20" s="189"/>
      <c r="F20" s="190"/>
      <c r="G20" s="207">
        <f t="shared" si="0"/>
        <v>0</v>
      </c>
      <c r="H20" s="208"/>
      <c r="I20" s="8"/>
      <c r="K20" s="8"/>
    </row>
    <row r="21" spans="1:11" x14ac:dyDescent="0.2">
      <c r="G21" s="89"/>
      <c r="H21" s="209"/>
      <c r="I21" s="8"/>
      <c r="K21" s="8"/>
    </row>
    <row r="22" spans="1:11" x14ac:dyDescent="0.2">
      <c r="G22" s="89"/>
      <c r="H22" s="209"/>
      <c r="I22" s="9"/>
      <c r="K22" s="8"/>
    </row>
    <row r="23" spans="1:11" ht="15.75" customHeight="1" thickBot="1" x14ac:dyDescent="0.4">
      <c r="A23" s="97" t="s">
        <v>26</v>
      </c>
      <c r="B23" s="210"/>
      <c r="C23" s="27"/>
      <c r="D23" s="27"/>
      <c r="E23" s="27"/>
      <c r="F23" s="98"/>
      <c r="G23" s="98"/>
      <c r="H23" s="122"/>
      <c r="I23" s="10"/>
      <c r="K23" s="8"/>
    </row>
    <row r="24" spans="1:11" ht="12.75" customHeight="1" thickBot="1" x14ac:dyDescent="0.25">
      <c r="B24" s="99"/>
      <c r="C24" s="100"/>
      <c r="D24" s="101"/>
      <c r="E24" s="102"/>
      <c r="H24" s="211"/>
      <c r="K24" s="8"/>
    </row>
    <row r="25" spans="1:11" ht="12.75" customHeight="1" x14ac:dyDescent="0.2">
      <c r="A25" s="389" t="s">
        <v>27</v>
      </c>
      <c r="B25" s="390"/>
      <c r="C25" s="390"/>
      <c r="D25" s="390"/>
      <c r="E25" s="390"/>
      <c r="F25" s="390"/>
      <c r="G25" s="390"/>
      <c r="H25" s="391"/>
      <c r="K25" s="9"/>
    </row>
    <row r="26" spans="1:11" ht="12.75" customHeight="1" x14ac:dyDescent="0.2">
      <c r="A26" s="392"/>
      <c r="B26" s="393"/>
      <c r="C26" s="393"/>
      <c r="D26" s="393"/>
      <c r="E26" s="393"/>
      <c r="F26" s="393"/>
      <c r="G26" s="393"/>
      <c r="H26" s="394"/>
      <c r="K26" s="11"/>
    </row>
    <row r="27" spans="1:11" ht="12.75" customHeight="1" x14ac:dyDescent="0.2">
      <c r="A27" s="392"/>
      <c r="B27" s="393"/>
      <c r="C27" s="393"/>
      <c r="D27" s="393"/>
      <c r="E27" s="393"/>
      <c r="F27" s="393"/>
      <c r="G27" s="393"/>
      <c r="H27" s="394"/>
      <c r="K27" s="7"/>
    </row>
    <row r="28" spans="1:11" ht="12.75" customHeight="1" x14ac:dyDescent="0.2">
      <c r="A28" s="392"/>
      <c r="B28" s="393"/>
      <c r="C28" s="393"/>
      <c r="D28" s="393"/>
      <c r="E28" s="393"/>
      <c r="F28" s="393"/>
      <c r="G28" s="393"/>
      <c r="H28" s="394"/>
    </row>
    <row r="29" spans="1:11" ht="12.75" customHeight="1" x14ac:dyDescent="0.2">
      <c r="A29" s="392"/>
      <c r="B29" s="393"/>
      <c r="C29" s="393"/>
      <c r="D29" s="393"/>
      <c r="E29" s="393"/>
      <c r="F29" s="393"/>
      <c r="G29" s="393"/>
      <c r="H29" s="394"/>
    </row>
    <row r="30" spans="1:11" ht="12.75" customHeight="1" x14ac:dyDescent="0.2">
      <c r="A30" s="392"/>
      <c r="B30" s="393"/>
      <c r="C30" s="393"/>
      <c r="D30" s="393"/>
      <c r="E30" s="393"/>
      <c r="F30" s="393"/>
      <c r="G30" s="393"/>
      <c r="H30" s="394"/>
    </row>
    <row r="31" spans="1:11" ht="12.75" customHeight="1" x14ac:dyDescent="0.2">
      <c r="A31" s="392"/>
      <c r="B31" s="393"/>
      <c r="C31" s="393"/>
      <c r="D31" s="393"/>
      <c r="E31" s="393"/>
      <c r="F31" s="393"/>
      <c r="G31" s="393"/>
      <c r="H31" s="394"/>
    </row>
    <row r="32" spans="1:11" ht="12.75" customHeight="1" x14ac:dyDescent="0.2">
      <c r="A32" s="392"/>
      <c r="B32" s="393"/>
      <c r="C32" s="393"/>
      <c r="D32" s="393"/>
      <c r="E32" s="393"/>
      <c r="F32" s="393"/>
      <c r="G32" s="393"/>
      <c r="H32" s="394"/>
    </row>
    <row r="33" spans="1:8" ht="12.75" customHeight="1" x14ac:dyDescent="0.2">
      <c r="A33" s="392"/>
      <c r="B33" s="393"/>
      <c r="C33" s="393"/>
      <c r="D33" s="393"/>
      <c r="E33" s="393"/>
      <c r="F33" s="393"/>
      <c r="G33" s="393"/>
      <c r="H33" s="394"/>
    </row>
    <row r="34" spans="1:8" ht="12.75" customHeight="1" x14ac:dyDescent="0.2">
      <c r="A34" s="392"/>
      <c r="B34" s="393"/>
      <c r="C34" s="393"/>
      <c r="D34" s="393"/>
      <c r="E34" s="393"/>
      <c r="F34" s="393"/>
      <c r="G34" s="393"/>
      <c r="H34" s="394"/>
    </row>
    <row r="35" spans="1:8" ht="13.5" customHeight="1" thickBot="1" x14ac:dyDescent="0.25">
      <c r="A35" s="395"/>
      <c r="B35" s="396"/>
      <c r="C35" s="396"/>
      <c r="D35" s="396"/>
      <c r="E35" s="396"/>
      <c r="F35" s="396"/>
      <c r="G35" s="396"/>
      <c r="H35" s="397"/>
    </row>
    <row r="36" spans="1:8" ht="13.5" customHeight="1" x14ac:dyDescent="0.2">
      <c r="A36" s="381"/>
      <c r="B36" s="381"/>
      <c r="C36" s="381"/>
      <c r="D36" s="381"/>
      <c r="E36" s="381"/>
      <c r="F36" s="7"/>
      <c r="G36" s="7"/>
    </row>
  </sheetData>
  <mergeCells count="5">
    <mergeCell ref="A1:B1"/>
    <mergeCell ref="A25:H35"/>
    <mergeCell ref="A4:B5"/>
    <mergeCell ref="C4:D5"/>
    <mergeCell ref="J4:J5"/>
  </mergeCells>
  <conditionalFormatting sqref="I19:I21">
    <cfRule type="expression" dxfId="98" priority="9">
      <formula>ISNUMBER(SEARCH(TEXT(#REF!,"ddd"),#REF!))</formula>
    </cfRule>
  </conditionalFormatting>
  <conditionalFormatting sqref="K19:K24">
    <cfRule type="expression" dxfId="97" priority="11">
      <formula>ISNUMBER(SEARCH(TEXT(#REF!,"ddd"),#REF!))</formula>
    </cfRule>
  </conditionalFormatting>
  <conditionalFormatting sqref="G21:H22">
    <cfRule type="expression" dxfId="96" priority="3">
      <formula>ISNUMBER(SEARCH(TEXT($A19,"ddd"),$E$10))</formula>
    </cfRule>
  </conditionalFormatting>
  <conditionalFormatting sqref="A14:D20 G14:G20">
    <cfRule type="expression" dxfId="95" priority="2">
      <formula>ISNUMBER(SEARCH(TEXT($A14,"ddd"),$E$10))</formula>
    </cfRule>
  </conditionalFormatting>
  <conditionalFormatting sqref="E14:F20">
    <cfRule type="expression" dxfId="94" priority="1">
      <formula>ISNUMBER(SEARCH(TEXT($A14,"ddd"),$E$10))</formula>
    </cfRule>
  </conditionalFormatting>
  <dataValidations count="4">
    <dataValidation type="custom" allowBlank="1" showInputMessage="1" showErrorMessage="1" sqref="D14 F14" xr:uid="{3996F64C-0D94-40CB-A880-9D56BA7D7B67}">
      <formula1>AND($D14&lt;=1,ISNUMBER($D14),($D14&gt;=$C14))</formula1>
    </dataValidation>
    <dataValidation type="custom" allowBlank="1" showInputMessage="1" showErrorMessage="1" sqref="G21:G22" xr:uid="{472256C8-63ED-4A79-BDA1-78E4956B12FB}">
      <formula1>AND($C19&lt;=1,ISNUMBER($C19))</formula1>
    </dataValidation>
    <dataValidation type="custom" allowBlank="1" showInputMessage="1" showErrorMessage="1" sqref="C14:C20 D15:D20 E14:E20 F15:F20" xr:uid="{F09EBAC9-BEF1-40BD-A6F2-9EA0A0F78AD6}">
      <formula1>AND($C14&lt;=1,ISNUMBER($C14))</formula1>
    </dataValidation>
    <dataValidation type="list" allowBlank="1" showInputMessage="1" showErrorMessage="1" sqref="D10" xr:uid="{594525B2-2DDA-47B2-8A0E-CC81F639C46B}">
      <formula1>DateCalc</formula1>
    </dataValidation>
  </dataValidations>
  <pageMargins left="0.25" right="0.25" top="0.75" bottom="0.75" header="0.3" footer="0.3"/>
  <pageSetup paperSize="9"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770A1717-74F5-4E02-96E4-B13E5807352E}">
          <x14:formula1>
            <xm:f>'C:\Users\Alex\OneDrive\UIT\Systemutvikling\[Timeliste  Uke 5.xlsm]Data'!#REF!</xm:f>
          </x14:formula1>
          <xm:sqref>A10:B10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36CA-6A86-4BFC-80E0-E5C1CE6F59E4}">
  <sheetPr codeName="Sheet10"/>
  <dimension ref="A1:K36"/>
  <sheetViews>
    <sheetView showGridLines="0" zoomScaleNormal="100" workbookViewId="0">
      <selection activeCell="C7" sqref="C7"/>
    </sheetView>
  </sheetViews>
  <sheetFormatPr baseColWidth="10" defaultColWidth="9" defaultRowHeight="12.75" x14ac:dyDescent="0.2"/>
  <cols>
    <col min="1" max="1" width="14.25" customWidth="1"/>
    <col min="2" max="2" width="33.875" customWidth="1"/>
    <col min="3" max="3" width="11.375" bestFit="1" customWidth="1"/>
    <col min="4" max="4" width="16.375" customWidth="1"/>
    <col min="5" max="5" width="14.25" bestFit="1" customWidth="1"/>
    <col min="6" max="6" width="24.25" bestFit="1" customWidth="1"/>
    <col min="7"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400" t="s">
        <v>28</v>
      </c>
      <c r="B1" s="400"/>
      <c r="C1" s="380">
        <f>C10</f>
        <v>4</v>
      </c>
      <c r="D1" s="55"/>
      <c r="E1" s="55"/>
      <c r="F1" s="55"/>
      <c r="G1" s="56"/>
      <c r="H1" s="26"/>
      <c r="J1" s="1"/>
    </row>
    <row r="2" spans="1:10" s="1" customFormat="1" ht="14.25" customHeight="1" x14ac:dyDescent="0.25">
      <c r="A2" s="57" t="s">
        <v>1</v>
      </c>
      <c r="B2" s="57"/>
      <c r="C2" s="57" t="s">
        <v>2</v>
      </c>
      <c r="D2" s="57"/>
      <c r="E2" s="58" t="s">
        <v>3</v>
      </c>
      <c r="F2" s="58" t="s">
        <v>4</v>
      </c>
      <c r="G2" s="58" t="s">
        <v>29</v>
      </c>
      <c r="H2" s="20"/>
      <c r="I2" s="13"/>
      <c r="J2" s="6"/>
    </row>
    <row r="3" spans="1:10" ht="15.75" thickBot="1" x14ac:dyDescent="0.25">
      <c r="A3" s="59">
        <f>B14</f>
        <v>43850</v>
      </c>
      <c r="B3" s="60"/>
      <c r="C3" s="59">
        <f>B20</f>
        <v>43856</v>
      </c>
      <c r="D3" s="60"/>
      <c r="E3" s="61" t="s">
        <v>6</v>
      </c>
      <c r="F3" s="62">
        <f>Sumcolor(E3,E14:E20)</f>
        <v>0.14444444444444449</v>
      </c>
      <c r="G3" s="62">
        <f>SUM(Først:Sist!F3)</f>
        <v>0.93402777777777768</v>
      </c>
      <c r="H3" s="22"/>
      <c r="I3" s="7"/>
      <c r="J3" s="7"/>
    </row>
    <row r="4" spans="1:10" ht="15" customHeight="1" x14ac:dyDescent="0.2">
      <c r="A4" s="410" t="s">
        <v>7</v>
      </c>
      <c r="B4" s="410"/>
      <c r="C4" s="398" t="s">
        <v>8</v>
      </c>
      <c r="D4" s="398"/>
      <c r="E4" s="63" t="s">
        <v>9</v>
      </c>
      <c r="F4" s="62">
        <f>Sumcolor(E4,E14:E20)</f>
        <v>0</v>
      </c>
      <c r="G4" s="62">
        <f>SUM(Først:Sist!F4)</f>
        <v>6.5486111111111125</v>
      </c>
      <c r="H4" s="22"/>
      <c r="I4" s="7"/>
      <c r="J4" s="399"/>
    </row>
    <row r="5" spans="1:10" ht="15" x14ac:dyDescent="0.2">
      <c r="A5" s="398"/>
      <c r="B5" s="398"/>
      <c r="C5" s="398"/>
      <c r="D5" s="398"/>
      <c r="E5" s="162" t="s">
        <v>10</v>
      </c>
      <c r="F5" s="62">
        <f>Sumcolor(E5,E14:E20)</f>
        <v>0</v>
      </c>
      <c r="G5" s="62">
        <f>SUM(Først:Sist!F5)</f>
        <v>1.3368055555555545</v>
      </c>
      <c r="H5" s="22"/>
      <c r="I5" s="7"/>
      <c r="J5" s="399"/>
    </row>
    <row r="6" spans="1:10" ht="24" thickBot="1" x14ac:dyDescent="0.25">
      <c r="A6" s="66">
        <f>SUM(E14:E20)</f>
        <v>0.17222222222222228</v>
      </c>
      <c r="B6" s="66"/>
      <c r="C6" s="163">
        <f>SUM('Først:Uke4'!A6)</f>
        <v>0.52986111111111112</v>
      </c>
      <c r="D6" s="68"/>
      <c r="E6" s="69" t="s">
        <v>11</v>
      </c>
      <c r="F6" s="70">
        <f>Sumcolor(E6,E14:E20)</f>
        <v>2.777777777777779E-2</v>
      </c>
      <c r="G6" s="70">
        <f>SUM(Først:Sist!F6)</f>
        <v>2.4791666666666661</v>
      </c>
      <c r="H6" s="22"/>
      <c r="I6" s="7"/>
      <c r="J6" s="7"/>
    </row>
    <row r="7" spans="1:10" ht="12.75" customHeight="1" x14ac:dyDescent="0.2">
      <c r="A7" s="19"/>
      <c r="B7" s="23"/>
      <c r="C7" s="24"/>
      <c r="D7" s="71"/>
      <c r="E7" s="23"/>
      <c r="F7" s="23"/>
      <c r="G7" s="25"/>
      <c r="H7" s="25"/>
    </row>
    <row r="8" spans="1:10" x14ac:dyDescent="0.2">
      <c r="A8" s="23"/>
      <c r="B8" s="25"/>
      <c r="C8" s="71"/>
      <c r="D8" s="25"/>
      <c r="E8" s="23"/>
      <c r="F8" s="23"/>
      <c r="G8" s="25"/>
      <c r="H8" s="25"/>
    </row>
    <row r="9" spans="1:10" ht="15" x14ac:dyDescent="0.25">
      <c r="A9" s="164" t="s">
        <v>12</v>
      </c>
      <c r="B9" s="164" t="s">
        <v>13</v>
      </c>
      <c r="C9" s="165" t="s">
        <v>14</v>
      </c>
      <c r="D9" s="164" t="s">
        <v>15</v>
      </c>
      <c r="E9" s="23"/>
      <c r="F9" s="23"/>
      <c r="G9" s="25"/>
      <c r="H9" s="25"/>
    </row>
    <row r="10" spans="1:10" ht="15" x14ac:dyDescent="0.25">
      <c r="A10" s="166">
        <v>2020</v>
      </c>
      <c r="B10" s="166" t="s">
        <v>16</v>
      </c>
      <c r="C10" s="166">
        <f>WEEKNUM(B14)</f>
        <v>4</v>
      </c>
      <c r="D10" s="166">
        <v>20</v>
      </c>
      <c r="E10" s="23"/>
      <c r="F10" s="23"/>
      <c r="G10" s="25"/>
      <c r="H10" s="25"/>
    </row>
    <row r="11" spans="1:10" x14ac:dyDescent="0.2">
      <c r="A11" s="25"/>
      <c r="B11" s="167"/>
      <c r="C11" s="167"/>
      <c r="D11" s="25"/>
      <c r="E11" s="23"/>
      <c r="F11" s="23"/>
      <c r="G11" s="25"/>
      <c r="H11" s="25"/>
    </row>
    <row r="12" spans="1:10" x14ac:dyDescent="0.2">
      <c r="A12" s="25"/>
      <c r="B12" s="25"/>
      <c r="C12" s="25"/>
      <c r="D12" s="25"/>
      <c r="E12" s="23"/>
      <c r="F12" s="23"/>
      <c r="G12" s="25"/>
    </row>
    <row r="13" spans="1:10" ht="13.5" thickBot="1" x14ac:dyDescent="0.25">
      <c r="A13" s="168" t="s">
        <v>17</v>
      </c>
      <c r="B13" s="168" t="s">
        <v>15</v>
      </c>
      <c r="C13" s="168" t="s">
        <v>18</v>
      </c>
      <c r="D13" s="168" t="s">
        <v>19</v>
      </c>
      <c r="E13" s="72" t="s">
        <v>20</v>
      </c>
      <c r="F13" s="72" t="s">
        <v>21</v>
      </c>
    </row>
    <row r="14" spans="1:10" ht="15.75" thickTop="1" x14ac:dyDescent="0.25">
      <c r="A14" s="169">
        <f>DATE($A$10,MATCH($B$10,[1]Data!$B$2:$B$13,0),[1]Uke4!$D$10)</f>
        <v>43850</v>
      </c>
      <c r="B14" s="170">
        <f>DATE($A$10,MATCH($B$10,[1]Data!$B$2:$B$13,0),[1]Uke4!$D$10)</f>
        <v>43850</v>
      </c>
      <c r="C14" s="171">
        <v>0.59027777777777779</v>
      </c>
      <c r="D14" s="172">
        <v>0.62847222222222221</v>
      </c>
      <c r="E14" s="173">
        <f t="shared" ref="E14:E20" si="0">(D14-C14)</f>
        <v>3.819444444444442E-2</v>
      </c>
      <c r="F14" s="174" t="s">
        <v>30</v>
      </c>
    </row>
    <row r="15" spans="1:10" ht="15" x14ac:dyDescent="0.25">
      <c r="A15" s="175">
        <f>A14+1</f>
        <v>43851</v>
      </c>
      <c r="B15" s="176">
        <f>B14+1</f>
        <v>43851</v>
      </c>
      <c r="C15" s="177"/>
      <c r="D15" s="178"/>
      <c r="E15" s="177">
        <f t="shared" si="0"/>
        <v>0</v>
      </c>
      <c r="F15" s="179"/>
    </row>
    <row r="16" spans="1:10" ht="15" x14ac:dyDescent="0.25">
      <c r="A16" s="169">
        <f t="shared" ref="A16:B20" si="1">A15+1</f>
        <v>43852</v>
      </c>
      <c r="B16" s="170">
        <f t="shared" si="1"/>
        <v>43852</v>
      </c>
      <c r="C16" s="171"/>
      <c r="D16" s="172"/>
      <c r="E16" s="180">
        <f t="shared" si="0"/>
        <v>0</v>
      </c>
      <c r="F16" s="181"/>
    </row>
    <row r="17" spans="1:11" ht="15" x14ac:dyDescent="0.25">
      <c r="A17" s="175">
        <f t="shared" si="1"/>
        <v>43853</v>
      </c>
      <c r="B17" s="176">
        <f t="shared" si="1"/>
        <v>43853</v>
      </c>
      <c r="C17" s="177"/>
      <c r="D17" s="178"/>
      <c r="E17" s="180">
        <f t="shared" si="0"/>
        <v>0</v>
      </c>
      <c r="F17" s="182"/>
    </row>
    <row r="18" spans="1:11" ht="15" x14ac:dyDescent="0.25">
      <c r="A18" s="169">
        <f t="shared" si="1"/>
        <v>43854</v>
      </c>
      <c r="B18" s="170">
        <f t="shared" si="1"/>
        <v>43854</v>
      </c>
      <c r="C18" s="171"/>
      <c r="D18" s="172"/>
      <c r="E18" s="183">
        <f t="shared" si="0"/>
        <v>0</v>
      </c>
      <c r="F18" s="184"/>
    </row>
    <row r="19" spans="1:11" ht="15" x14ac:dyDescent="0.25">
      <c r="A19" s="175">
        <f t="shared" si="1"/>
        <v>43855</v>
      </c>
      <c r="B19" s="176">
        <f t="shared" si="1"/>
        <v>43855</v>
      </c>
      <c r="C19" s="177">
        <v>0.47013888888888888</v>
      </c>
      <c r="D19" s="178">
        <v>0.57638888888888895</v>
      </c>
      <c r="E19" s="185">
        <f t="shared" si="0"/>
        <v>0.10625000000000007</v>
      </c>
      <c r="F19" s="186" t="s">
        <v>31</v>
      </c>
      <c r="I19" s="8"/>
      <c r="K19" s="8"/>
    </row>
    <row r="20" spans="1:11" ht="15.75" thickBot="1" x14ac:dyDescent="0.3">
      <c r="A20" s="187">
        <f t="shared" si="1"/>
        <v>43856</v>
      </c>
      <c r="B20" s="188">
        <f t="shared" si="1"/>
        <v>43856</v>
      </c>
      <c r="C20" s="189">
        <v>0.3923611111111111</v>
      </c>
      <c r="D20" s="190">
        <v>0.4201388888888889</v>
      </c>
      <c r="E20" s="191">
        <f t="shared" si="0"/>
        <v>2.777777777777779E-2</v>
      </c>
      <c r="F20" s="192" t="s">
        <v>32</v>
      </c>
      <c r="H20" s="8"/>
      <c r="I20" s="8"/>
      <c r="K20" s="8"/>
    </row>
    <row r="21" spans="1:11" x14ac:dyDescent="0.2">
      <c r="G21" s="89"/>
      <c r="H21" s="8"/>
      <c r="I21" s="8"/>
      <c r="K21" s="8"/>
    </row>
    <row r="22" spans="1:11" x14ac:dyDescent="0.2">
      <c r="G22" s="89"/>
      <c r="H22" s="9"/>
      <c r="I22" s="9"/>
      <c r="K22" s="8"/>
    </row>
    <row r="23" spans="1:11" ht="24" thickBot="1" x14ac:dyDescent="0.4">
      <c r="A23" s="97" t="s">
        <v>26</v>
      </c>
      <c r="B23" s="97"/>
      <c r="C23" s="27"/>
      <c r="D23" s="27"/>
      <c r="E23" s="27"/>
      <c r="F23" s="98"/>
      <c r="G23" s="98"/>
      <c r="H23" s="10"/>
      <c r="I23" s="10"/>
      <c r="K23" s="8"/>
    </row>
    <row r="24" spans="1:11" ht="12.75" customHeight="1" thickBot="1" x14ac:dyDescent="0.25">
      <c r="B24" s="99"/>
      <c r="C24" s="100"/>
      <c r="D24" s="101"/>
      <c r="E24" s="102"/>
      <c r="H24" s="29"/>
      <c r="K24" s="8"/>
    </row>
    <row r="25" spans="1:11" ht="12.75" customHeight="1" x14ac:dyDescent="0.2">
      <c r="A25" s="401" t="s">
        <v>33</v>
      </c>
      <c r="B25" s="402"/>
      <c r="C25" s="402"/>
      <c r="D25" s="402"/>
      <c r="E25" s="402"/>
      <c r="F25" s="402"/>
      <c r="G25" s="403"/>
      <c r="H25" s="29"/>
      <c r="K25" s="9"/>
    </row>
    <row r="26" spans="1:11" ht="12.75" customHeight="1" x14ac:dyDescent="0.2">
      <c r="A26" s="404"/>
      <c r="B26" s="405"/>
      <c r="C26" s="405"/>
      <c r="D26" s="405"/>
      <c r="E26" s="405"/>
      <c r="F26" s="405"/>
      <c r="G26" s="406"/>
      <c r="H26" s="29"/>
      <c r="K26" s="11"/>
    </row>
    <row r="27" spans="1:11" ht="12.75" customHeight="1" x14ac:dyDescent="0.2">
      <c r="A27" s="404"/>
      <c r="B27" s="405"/>
      <c r="C27" s="405"/>
      <c r="D27" s="405"/>
      <c r="E27" s="405"/>
      <c r="F27" s="405"/>
      <c r="G27" s="406"/>
      <c r="H27" s="29"/>
      <c r="K27" s="7"/>
    </row>
    <row r="28" spans="1:11" ht="12.75" customHeight="1" x14ac:dyDescent="0.2">
      <c r="A28" s="404"/>
      <c r="B28" s="405"/>
      <c r="C28" s="405"/>
      <c r="D28" s="405"/>
      <c r="E28" s="405"/>
      <c r="F28" s="405"/>
      <c r="G28" s="406"/>
      <c r="H28" s="29"/>
    </row>
    <row r="29" spans="1:11" ht="12.75" customHeight="1" x14ac:dyDescent="0.2">
      <c r="A29" s="404"/>
      <c r="B29" s="405"/>
      <c r="C29" s="405"/>
      <c r="D29" s="405"/>
      <c r="E29" s="405"/>
      <c r="F29" s="405"/>
      <c r="G29" s="406"/>
      <c r="H29" s="29"/>
    </row>
    <row r="30" spans="1:11" ht="12.75" customHeight="1" x14ac:dyDescent="0.2">
      <c r="A30" s="404"/>
      <c r="B30" s="405"/>
      <c r="C30" s="405"/>
      <c r="D30" s="405"/>
      <c r="E30" s="405"/>
      <c r="F30" s="405"/>
      <c r="G30" s="406"/>
      <c r="H30" s="29"/>
    </row>
    <row r="31" spans="1:11" ht="12.75" customHeight="1" x14ac:dyDescent="0.2">
      <c r="A31" s="404"/>
      <c r="B31" s="405"/>
      <c r="C31" s="405"/>
      <c r="D31" s="405"/>
      <c r="E31" s="405"/>
      <c r="F31" s="405"/>
      <c r="G31" s="406"/>
      <c r="H31" s="29"/>
    </row>
    <row r="32" spans="1:11" ht="12.75" customHeight="1" x14ac:dyDescent="0.2">
      <c r="A32" s="404"/>
      <c r="B32" s="405"/>
      <c r="C32" s="405"/>
      <c r="D32" s="405"/>
      <c r="E32" s="405"/>
      <c r="F32" s="405"/>
      <c r="G32" s="406"/>
      <c r="H32" s="29"/>
    </row>
    <row r="33" spans="1:8" ht="12.75" customHeight="1" x14ac:dyDescent="0.2">
      <c r="A33" s="404"/>
      <c r="B33" s="405"/>
      <c r="C33" s="405"/>
      <c r="D33" s="405"/>
      <c r="E33" s="405"/>
      <c r="F33" s="405"/>
      <c r="G33" s="406"/>
      <c r="H33" s="29"/>
    </row>
    <row r="34" spans="1:8" ht="12.75" customHeight="1" x14ac:dyDescent="0.2">
      <c r="A34" s="404"/>
      <c r="B34" s="405"/>
      <c r="C34" s="405"/>
      <c r="D34" s="405"/>
      <c r="E34" s="405"/>
      <c r="F34" s="405"/>
      <c r="G34" s="406"/>
      <c r="H34" s="29"/>
    </row>
    <row r="35" spans="1:8" ht="13.5" customHeight="1" thickBot="1" x14ac:dyDescent="0.25">
      <c r="A35" s="407"/>
      <c r="B35" s="408"/>
      <c r="C35" s="408"/>
      <c r="D35" s="408"/>
      <c r="E35" s="408"/>
      <c r="F35" s="408"/>
      <c r="G35" s="409"/>
    </row>
    <row r="36" spans="1:8" ht="12.75" customHeight="1" x14ac:dyDescent="0.2">
      <c r="A36" s="381"/>
      <c r="B36" s="381"/>
      <c r="C36" s="381"/>
      <c r="D36" s="381"/>
      <c r="E36" s="381"/>
      <c r="F36" s="7"/>
      <c r="G36" s="7"/>
    </row>
  </sheetData>
  <mergeCells count="5">
    <mergeCell ref="A1:B1"/>
    <mergeCell ref="A25:G35"/>
    <mergeCell ref="A4:B5"/>
    <mergeCell ref="C4:D5"/>
    <mergeCell ref="J4:J5"/>
  </mergeCells>
  <conditionalFormatting sqref="H20:I21 I19">
    <cfRule type="expression" dxfId="93" priority="8">
      <formula>ISNUMBER(SEARCH(TEXT(#REF!,"ddd"),#REF!))</formula>
    </cfRule>
  </conditionalFormatting>
  <conditionalFormatting sqref="K19:K24">
    <cfRule type="expression" dxfId="92" priority="10">
      <formula>ISNUMBER(SEARCH(TEXT(#REF!,"ddd"),#REF!))</formula>
    </cfRule>
  </conditionalFormatting>
  <conditionalFormatting sqref="G21:G22">
    <cfRule type="expression" dxfId="91" priority="2">
      <formula>ISNUMBER(SEARCH(TEXT($A19,"ddd"),$E$10))</formula>
    </cfRule>
  </conditionalFormatting>
  <conditionalFormatting sqref="A14:E20">
    <cfRule type="expression" dxfId="90" priority="1">
      <formula>ISNUMBER(SEARCH(TEXT($A14,"ddd"),$E$10))</formula>
    </cfRule>
  </conditionalFormatting>
  <dataValidations count="4">
    <dataValidation type="list" allowBlank="1" showInputMessage="1" showErrorMessage="1" sqref="D10" xr:uid="{0ABEF047-22E9-4CE3-8373-383FD57283D1}">
      <formula1>DateCalc</formula1>
    </dataValidation>
    <dataValidation type="custom" allowBlank="1" showInputMessage="1" showErrorMessage="1" sqref="C14:C20 D15:D20" xr:uid="{F350FBDC-18A3-4985-978A-C84A337EB961}">
      <formula1>AND($C14&lt;=1,ISNUMBER($C14))</formula1>
    </dataValidation>
    <dataValidation type="custom" allowBlank="1" showInputMessage="1" showErrorMessage="1" sqref="G21:G22" xr:uid="{B1EBA637-E24D-445A-B861-18E4DE8DA80B}">
      <formula1>AND($C19&lt;=1,ISNUMBER($C19))</formula1>
    </dataValidation>
    <dataValidation type="custom" allowBlank="1" showInputMessage="1" showErrorMessage="1" sqref="D14" xr:uid="{68C07017-D66A-43A1-A0AB-1062D7054CDA}">
      <formula1>AND($D14&lt;=1,ISNUMBER($D14),($D14&gt;=$C14))</formula1>
    </dataValidation>
  </dataValidations>
  <pageMargins left="0.25" right="0.25" top="0.75" bottom="0.75" header="0.3" footer="0.3"/>
  <pageSetup paperSize="9"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E4905826-597D-46A5-B3F2-B6FFCB46A5EA}">
          <x14:formula1>
            <xm:f>'C:\Users\Alex\OneDrive\UIT\Systemutvikling\[Timeliste  Uke 5.xlsm]Data'!#REF!</xm:f>
          </x14:formula1>
          <xm:sqref>A10:B10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9073E-E8DE-43CE-89BE-89E1FD293651}">
  <sheetPr codeName="Sheet9"/>
  <dimension ref="A1:Q52"/>
  <sheetViews>
    <sheetView showGridLines="0" zoomScaleNormal="100" workbookViewId="0">
      <selection activeCell="C6" sqref="C6"/>
    </sheetView>
  </sheetViews>
  <sheetFormatPr baseColWidth="10" defaultColWidth="9" defaultRowHeight="12.75" x14ac:dyDescent="0.2"/>
  <cols>
    <col min="1" max="1" width="14.25" customWidth="1"/>
    <col min="2" max="2" width="9.25" customWidth="1"/>
    <col min="3" max="3" width="11.375" bestFit="1" customWidth="1"/>
    <col min="4" max="4" width="17.125" customWidth="1"/>
    <col min="5" max="5" width="31.75" bestFit="1"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388" t="s">
        <v>34</v>
      </c>
      <c r="B1" s="388"/>
      <c r="C1" s="388"/>
      <c r="D1" s="388"/>
      <c r="E1" s="380">
        <f>WEEKNUM(A10)</f>
        <v>5</v>
      </c>
      <c r="F1" s="55"/>
      <c r="G1" s="56"/>
      <c r="J1" s="1"/>
    </row>
    <row r="2" spans="1:10" s="1" customFormat="1" ht="14.25" customHeight="1" x14ac:dyDescent="0.25">
      <c r="A2" s="57" t="s">
        <v>1</v>
      </c>
      <c r="B2" s="57"/>
      <c r="C2" s="57" t="s">
        <v>2</v>
      </c>
      <c r="D2" s="57"/>
      <c r="E2" s="58" t="s">
        <v>3</v>
      </c>
      <c r="F2" s="58" t="s">
        <v>4</v>
      </c>
      <c r="G2" s="58" t="s">
        <v>29</v>
      </c>
      <c r="H2"/>
      <c r="I2" s="13"/>
      <c r="J2" s="6"/>
    </row>
    <row r="3" spans="1:10" ht="15.75" thickBot="1" x14ac:dyDescent="0.25">
      <c r="A3" s="59">
        <f>A10</f>
        <v>43857</v>
      </c>
      <c r="B3" s="60"/>
      <c r="C3" s="59">
        <f>A19</f>
        <v>43863</v>
      </c>
      <c r="D3" s="60"/>
      <c r="E3" s="61" t="s">
        <v>6</v>
      </c>
      <c r="F3" s="62">
        <f>Sumcolor(E3,D10:D19)</f>
        <v>7.7777777777777668E-2</v>
      </c>
      <c r="G3" s="62">
        <f>SUM(Først:Sist!F3)</f>
        <v>0.93402777777777768</v>
      </c>
      <c r="I3" s="7"/>
      <c r="J3" s="7"/>
    </row>
    <row r="4" spans="1:10" ht="15" customHeight="1" x14ac:dyDescent="0.2">
      <c r="A4" s="410" t="s">
        <v>7</v>
      </c>
      <c r="B4" s="410"/>
      <c r="C4" s="398" t="s">
        <v>8</v>
      </c>
      <c r="D4" s="398"/>
      <c r="E4" s="63" t="s">
        <v>9</v>
      </c>
      <c r="F4" s="62">
        <f>Sumcolor(E4,D10:D19)</f>
        <v>0</v>
      </c>
      <c r="G4" s="62">
        <f>SUM(Først:Sist!F4)</f>
        <v>6.5486111111111125</v>
      </c>
      <c r="I4" s="7"/>
      <c r="J4" s="399"/>
    </row>
    <row r="5" spans="1:10" ht="15" x14ac:dyDescent="0.2">
      <c r="A5" s="398"/>
      <c r="B5" s="398"/>
      <c r="C5" s="398"/>
      <c r="D5" s="398"/>
      <c r="E5" s="64" t="s">
        <v>10</v>
      </c>
      <c r="F5" s="62">
        <f>Sumcolor(E5,D10:D19)</f>
        <v>3.125E-2</v>
      </c>
      <c r="G5" s="62">
        <f>SUM(Først:Sist!F5)</f>
        <v>1.3368055555555545</v>
      </c>
      <c r="I5" s="7"/>
      <c r="J5" s="399"/>
    </row>
    <row r="6" spans="1:10" ht="18.75" customHeight="1" thickBot="1" x14ac:dyDescent="0.25">
      <c r="A6" s="65">
        <f>SUM(D10:D19)</f>
        <v>0.20624999999999988</v>
      </c>
      <c r="B6" s="66"/>
      <c r="C6" s="67">
        <f>SUM('Først:Uke5'!A6)</f>
        <v>0.73611111111111094</v>
      </c>
      <c r="D6" s="68"/>
      <c r="E6" s="69" t="s">
        <v>11</v>
      </c>
      <c r="F6" s="70">
        <f>Sumcolor(E6,D10:D19)</f>
        <v>9.722222222222221E-2</v>
      </c>
      <c r="G6" s="70">
        <f>SUM(Først:Sist!F6)</f>
        <v>2.4791666666666661</v>
      </c>
      <c r="I6" s="7"/>
      <c r="J6" s="7"/>
    </row>
    <row r="7" spans="1:10" ht="12.75" customHeight="1" x14ac:dyDescent="0.2">
      <c r="A7" s="19"/>
      <c r="B7" s="23"/>
      <c r="C7" s="24"/>
      <c r="D7" s="71"/>
      <c r="E7" s="23"/>
      <c r="F7" s="23"/>
      <c r="G7" s="25"/>
    </row>
    <row r="8" spans="1:10" x14ac:dyDescent="0.2">
      <c r="A8" s="23"/>
      <c r="B8" s="25"/>
      <c r="C8" s="71"/>
      <c r="D8" s="25"/>
      <c r="E8" s="23"/>
      <c r="F8" s="23"/>
      <c r="G8" s="25"/>
    </row>
    <row r="9" spans="1:10" ht="13.5" thickBot="1" x14ac:dyDescent="0.25">
      <c r="A9" s="72" t="s">
        <v>15</v>
      </c>
      <c r="B9" s="72" t="s">
        <v>18</v>
      </c>
      <c r="C9" s="72" t="s">
        <v>19</v>
      </c>
      <c r="D9" s="72" t="s">
        <v>20</v>
      </c>
      <c r="E9" s="72" t="s">
        <v>21</v>
      </c>
    </row>
    <row r="10" spans="1:10" ht="15" x14ac:dyDescent="0.25">
      <c r="A10" s="73">
        <v>43857</v>
      </c>
      <c r="B10" s="74">
        <v>0.58333333333333337</v>
      </c>
      <c r="C10" s="74">
        <v>0.63194444444444442</v>
      </c>
      <c r="D10" s="75">
        <f t="shared" ref="D10:D11" si="0">(C10-B10)</f>
        <v>4.8611111111111049E-2</v>
      </c>
      <c r="E10" s="76" t="s">
        <v>35</v>
      </c>
    </row>
    <row r="11" spans="1:10" ht="15" x14ac:dyDescent="0.25">
      <c r="A11" s="77">
        <v>43857</v>
      </c>
      <c r="B11" s="78">
        <v>0.63194444444444442</v>
      </c>
      <c r="C11" s="78">
        <v>0.64583333333333337</v>
      </c>
      <c r="D11" s="79">
        <f t="shared" si="0"/>
        <v>1.3888888888888951E-2</v>
      </c>
      <c r="E11" s="411" t="s">
        <v>36</v>
      </c>
    </row>
    <row r="12" spans="1:10" ht="15" x14ac:dyDescent="0.25">
      <c r="A12" s="80"/>
      <c r="B12" s="81"/>
      <c r="C12" s="81"/>
      <c r="D12" s="82"/>
      <c r="E12" s="412"/>
    </row>
    <row r="13" spans="1:10" ht="15" x14ac:dyDescent="0.25">
      <c r="A13" s="83">
        <v>43859</v>
      </c>
      <c r="B13" s="84">
        <v>0.41666666666666669</v>
      </c>
      <c r="C13" s="84">
        <v>0.4458333333333333</v>
      </c>
      <c r="D13" s="85">
        <f t="shared" ref="D13" si="1">(C13-B13)</f>
        <v>2.9166666666666619E-2</v>
      </c>
      <c r="E13" s="413" t="s">
        <v>37</v>
      </c>
    </row>
    <row r="14" spans="1:10" ht="15" x14ac:dyDescent="0.25">
      <c r="A14" s="83"/>
      <c r="B14" s="84"/>
      <c r="C14" s="84"/>
      <c r="D14" s="86"/>
      <c r="E14" s="414"/>
    </row>
    <row r="15" spans="1:10" ht="15" x14ac:dyDescent="0.25">
      <c r="A15" s="77">
        <v>43859</v>
      </c>
      <c r="B15" s="78">
        <v>0.5</v>
      </c>
      <c r="C15" s="78">
        <v>0.51736111111111105</v>
      </c>
      <c r="D15" s="82">
        <f t="shared" ref="D15" si="2">(C15-B15)</f>
        <v>1.7361111111111049E-2</v>
      </c>
      <c r="E15" s="415" t="s">
        <v>38</v>
      </c>
    </row>
    <row r="16" spans="1:10" ht="15" x14ac:dyDescent="0.25">
      <c r="A16" s="80"/>
      <c r="B16" s="81"/>
      <c r="C16" s="81"/>
      <c r="D16" s="87"/>
      <c r="E16" s="416"/>
    </row>
    <row r="17" spans="1:17" ht="15" x14ac:dyDescent="0.25">
      <c r="A17" s="83">
        <v>43860</v>
      </c>
      <c r="B17" s="84">
        <v>0.59375</v>
      </c>
      <c r="C17" s="84">
        <v>0.66319444444444442</v>
      </c>
      <c r="D17" s="88">
        <f t="shared" ref="D17" si="3">(C17-B17)</f>
        <v>6.944444444444442E-2</v>
      </c>
      <c r="E17" s="417" t="s">
        <v>39</v>
      </c>
      <c r="G17" s="89"/>
    </row>
    <row r="18" spans="1:17" ht="15" x14ac:dyDescent="0.25">
      <c r="A18" s="90"/>
      <c r="B18" s="91"/>
      <c r="C18" s="91"/>
      <c r="D18" s="92"/>
      <c r="E18" s="418"/>
      <c r="G18" s="89"/>
    </row>
    <row r="19" spans="1:17" ht="27" thickBot="1" x14ac:dyDescent="0.45">
      <c r="A19" s="93">
        <v>43863</v>
      </c>
      <c r="B19" s="94">
        <v>0.67708333333333337</v>
      </c>
      <c r="C19" s="94">
        <v>0.70486111111111116</v>
      </c>
      <c r="D19" s="95">
        <f>(C19-B19)</f>
        <v>2.777777777777779E-2</v>
      </c>
      <c r="E19" s="96" t="s">
        <v>40</v>
      </c>
      <c r="I19" s="8"/>
      <c r="J19" s="160"/>
      <c r="K19" s="160"/>
      <c r="L19" s="160"/>
      <c r="M19" s="160"/>
      <c r="N19" s="123"/>
      <c r="O19" s="124"/>
      <c r="P19" s="125"/>
      <c r="Q19" s="7"/>
    </row>
    <row r="20" spans="1:17" ht="15.75" x14ac:dyDescent="0.25">
      <c r="I20" s="8"/>
      <c r="J20" s="126"/>
      <c r="K20" s="126"/>
      <c r="L20" s="126"/>
      <c r="M20" s="126"/>
      <c r="N20" s="127"/>
      <c r="O20" s="127"/>
      <c r="P20" s="127"/>
      <c r="Q20" s="7"/>
    </row>
    <row r="21" spans="1:17" ht="15" x14ac:dyDescent="0.2">
      <c r="I21" s="8"/>
      <c r="J21" s="128"/>
      <c r="K21" s="129"/>
      <c r="L21" s="128"/>
      <c r="M21" s="129"/>
      <c r="N21" s="130"/>
      <c r="O21" s="131"/>
      <c r="P21" s="131"/>
      <c r="Q21" s="7"/>
    </row>
    <row r="22" spans="1:17" ht="24" thickBot="1" x14ac:dyDescent="0.4">
      <c r="A22" s="97" t="s">
        <v>26</v>
      </c>
      <c r="B22" s="97"/>
      <c r="C22" s="27"/>
      <c r="D22" s="27"/>
      <c r="E22" s="27"/>
      <c r="F22" s="98"/>
      <c r="G22" s="98"/>
      <c r="I22" s="9"/>
      <c r="J22" s="161"/>
      <c r="K22" s="161"/>
      <c r="L22" s="161"/>
      <c r="M22" s="161"/>
      <c r="N22" s="132"/>
      <c r="O22" s="131"/>
      <c r="P22" s="131"/>
      <c r="Q22" s="7"/>
    </row>
    <row r="23" spans="1:17" ht="15.75" customHeight="1" thickBot="1" x14ac:dyDescent="0.25">
      <c r="B23" s="99"/>
      <c r="C23" s="100"/>
      <c r="D23" s="101"/>
      <c r="E23" s="102"/>
      <c r="I23" s="10"/>
      <c r="J23" s="161"/>
      <c r="K23" s="161"/>
      <c r="L23" s="161"/>
      <c r="M23" s="161"/>
      <c r="N23" s="133"/>
      <c r="O23" s="131"/>
      <c r="P23" s="131"/>
      <c r="Q23" s="7"/>
    </row>
    <row r="24" spans="1:17" ht="12.75" customHeight="1" x14ac:dyDescent="0.2">
      <c r="A24" s="103"/>
      <c r="B24" s="104"/>
      <c r="C24" s="104"/>
      <c r="D24" s="104"/>
      <c r="E24" s="104"/>
      <c r="F24" s="104"/>
      <c r="G24" s="105"/>
      <c r="J24" s="134"/>
      <c r="K24" s="135"/>
      <c r="L24" s="136"/>
      <c r="M24" s="114"/>
      <c r="N24" s="137"/>
      <c r="O24" s="131"/>
      <c r="P24" s="131"/>
      <c r="Q24" s="7"/>
    </row>
    <row r="25" spans="1:17" ht="12.75" customHeight="1" x14ac:dyDescent="0.2">
      <c r="A25" s="106"/>
      <c r="B25" s="107"/>
      <c r="C25" s="107"/>
      <c r="D25" s="107"/>
      <c r="E25" s="107"/>
      <c r="F25" s="107"/>
      <c r="G25" s="108"/>
      <c r="J25" s="112"/>
      <c r="K25" s="113"/>
      <c r="L25" s="114"/>
      <c r="M25" s="138"/>
      <c r="N25" s="113"/>
      <c r="O25" s="113"/>
      <c r="P25" s="115"/>
      <c r="Q25" s="7"/>
    </row>
    <row r="26" spans="1:17" ht="12.75" customHeight="1" x14ac:dyDescent="0.2">
      <c r="A26" s="106"/>
      <c r="B26" s="107"/>
      <c r="C26" s="107"/>
      <c r="D26" s="107"/>
      <c r="E26" s="107"/>
      <c r="F26" s="107"/>
      <c r="G26" s="108"/>
      <c r="J26" s="113"/>
      <c r="K26" s="115"/>
      <c r="L26" s="138"/>
      <c r="M26" s="115"/>
      <c r="N26" s="113"/>
      <c r="O26" s="113"/>
      <c r="P26" s="115"/>
      <c r="Q26" s="7"/>
    </row>
    <row r="27" spans="1:17" ht="12.75" customHeight="1" x14ac:dyDescent="0.2">
      <c r="A27" s="106"/>
      <c r="B27" s="107"/>
      <c r="C27" s="107"/>
      <c r="D27" s="107"/>
      <c r="E27" s="107"/>
      <c r="F27" s="107"/>
      <c r="G27" s="108"/>
      <c r="J27" s="139"/>
      <c r="K27" s="139"/>
      <c r="L27" s="139"/>
      <c r="M27" s="139"/>
      <c r="N27" s="139"/>
      <c r="O27" s="7"/>
      <c r="P27" s="7"/>
      <c r="Q27" s="7"/>
    </row>
    <row r="28" spans="1:17" ht="12.75" customHeight="1" x14ac:dyDescent="0.25">
      <c r="A28" s="106"/>
      <c r="B28" s="107"/>
      <c r="C28" s="107"/>
      <c r="D28" s="107"/>
      <c r="E28" s="107"/>
      <c r="F28" s="107"/>
      <c r="G28" s="108"/>
      <c r="J28" s="140"/>
      <c r="K28" s="141"/>
      <c r="L28" s="141"/>
      <c r="M28" s="142"/>
      <c r="N28" s="143"/>
      <c r="O28" s="7"/>
      <c r="P28" s="7"/>
      <c r="Q28" s="7"/>
    </row>
    <row r="29" spans="1:17" ht="12.75" customHeight="1" x14ac:dyDescent="0.25">
      <c r="A29" s="106"/>
      <c r="B29" s="107"/>
      <c r="C29" s="107"/>
      <c r="D29" s="107"/>
      <c r="E29" s="107"/>
      <c r="F29" s="107"/>
      <c r="G29" s="108"/>
      <c r="J29" s="144"/>
      <c r="K29" s="145"/>
      <c r="L29" s="145"/>
      <c r="M29" s="146"/>
      <c r="N29" s="154"/>
      <c r="O29" s="7"/>
      <c r="P29" s="7"/>
      <c r="Q29" s="7"/>
    </row>
    <row r="30" spans="1:17" ht="12.75" customHeight="1" x14ac:dyDescent="0.25">
      <c r="A30" s="106"/>
      <c r="B30" s="107"/>
      <c r="C30" s="107"/>
      <c r="D30" s="107"/>
      <c r="E30" s="107"/>
      <c r="F30" s="107"/>
      <c r="G30" s="108"/>
      <c r="J30" s="140"/>
      <c r="K30" s="141"/>
      <c r="L30" s="141"/>
      <c r="M30" s="142"/>
      <c r="N30" s="155"/>
      <c r="O30" s="7"/>
      <c r="P30" s="7"/>
      <c r="Q30" s="7"/>
    </row>
    <row r="31" spans="1:17" ht="12.75" customHeight="1" x14ac:dyDescent="0.25">
      <c r="A31" s="106"/>
      <c r="B31" s="107"/>
      <c r="C31" s="107"/>
      <c r="D31" s="107"/>
      <c r="E31" s="107"/>
      <c r="F31" s="107"/>
      <c r="G31" s="108"/>
      <c r="J31" s="140"/>
      <c r="K31" s="141"/>
      <c r="L31" s="141"/>
      <c r="M31" s="142"/>
      <c r="N31" s="156"/>
      <c r="O31" s="7"/>
      <c r="P31" s="7"/>
      <c r="Q31" s="7"/>
    </row>
    <row r="32" spans="1:17" ht="12.75" customHeight="1" x14ac:dyDescent="0.25">
      <c r="A32" s="106"/>
      <c r="B32" s="107"/>
      <c r="C32" s="107"/>
      <c r="D32" s="107"/>
      <c r="E32" s="107"/>
      <c r="F32" s="107"/>
      <c r="G32" s="108"/>
      <c r="J32" s="140"/>
      <c r="K32" s="141"/>
      <c r="L32" s="141"/>
      <c r="M32" s="147"/>
      <c r="N32" s="157"/>
      <c r="O32" s="7"/>
      <c r="P32" s="7"/>
      <c r="Q32" s="7"/>
    </row>
    <row r="33" spans="1:17" ht="12.75" customHeight="1" x14ac:dyDescent="0.25">
      <c r="A33" s="106"/>
      <c r="B33" s="107"/>
      <c r="C33" s="107"/>
      <c r="D33" s="107"/>
      <c r="E33" s="107"/>
      <c r="F33" s="107"/>
      <c r="G33" s="108"/>
      <c r="J33" s="144"/>
      <c r="K33" s="145"/>
      <c r="L33" s="145"/>
      <c r="M33" s="142"/>
      <c r="N33" s="156"/>
      <c r="O33" s="7"/>
      <c r="P33" s="7"/>
      <c r="Q33" s="7"/>
    </row>
    <row r="34" spans="1:17" ht="12.75" customHeight="1" thickBot="1" x14ac:dyDescent="0.3">
      <c r="A34" s="109"/>
      <c r="B34" s="110"/>
      <c r="C34" s="110"/>
      <c r="D34" s="110"/>
      <c r="E34" s="110"/>
      <c r="F34" s="110"/>
      <c r="G34" s="111"/>
      <c r="J34" s="140"/>
      <c r="K34" s="141"/>
      <c r="L34" s="141"/>
      <c r="M34" s="148"/>
      <c r="N34" s="157"/>
      <c r="O34" s="7"/>
      <c r="P34" s="7"/>
      <c r="Q34" s="7"/>
    </row>
    <row r="35" spans="1:17" ht="13.5" customHeight="1" x14ac:dyDescent="0.25">
      <c r="A35" s="381"/>
      <c r="B35" s="381"/>
      <c r="C35" s="381"/>
      <c r="D35" s="381"/>
      <c r="E35" s="381"/>
      <c r="F35" s="7"/>
      <c r="G35" s="7"/>
      <c r="J35" s="140"/>
      <c r="K35" s="141"/>
      <c r="L35" s="141"/>
      <c r="M35" s="148"/>
      <c r="N35" s="158"/>
      <c r="O35" s="7"/>
      <c r="P35" s="116"/>
      <c r="Q35" s="7"/>
    </row>
    <row r="36" spans="1:17" ht="15" x14ac:dyDescent="0.25">
      <c r="A36" s="381"/>
      <c r="B36" s="381"/>
      <c r="C36" s="381"/>
      <c r="D36" s="381"/>
      <c r="E36" s="381"/>
      <c r="F36" s="7"/>
      <c r="G36" s="7"/>
      <c r="J36" s="149"/>
      <c r="K36" s="150"/>
      <c r="L36" s="150"/>
      <c r="M36" s="151"/>
      <c r="N36" s="159"/>
      <c r="O36" s="7"/>
      <c r="P36" s="116"/>
      <c r="Q36" s="7"/>
    </row>
    <row r="37" spans="1:17" ht="15" x14ac:dyDescent="0.25">
      <c r="J37" s="144"/>
      <c r="K37" s="152"/>
      <c r="L37" s="152"/>
      <c r="M37" s="148"/>
      <c r="N37" s="151"/>
      <c r="O37" s="7"/>
      <c r="P37" s="7"/>
      <c r="Q37" s="7"/>
    </row>
    <row r="38" spans="1:17" x14ac:dyDescent="0.2">
      <c r="J38" s="7"/>
      <c r="K38" s="7"/>
      <c r="L38" s="7"/>
      <c r="M38" s="7"/>
      <c r="N38" s="7"/>
      <c r="O38" s="7"/>
      <c r="P38" s="7"/>
      <c r="Q38" s="7"/>
    </row>
    <row r="39" spans="1:17" x14ac:dyDescent="0.2">
      <c r="J39" s="7"/>
      <c r="K39" s="7"/>
      <c r="L39" s="7"/>
      <c r="M39" s="7"/>
      <c r="N39" s="7"/>
      <c r="O39" s="7"/>
      <c r="P39" s="7"/>
      <c r="Q39" s="7"/>
    </row>
    <row r="40" spans="1:17" ht="23.25" x14ac:dyDescent="0.35">
      <c r="J40" s="153"/>
      <c r="K40" s="153"/>
      <c r="L40" s="9"/>
      <c r="M40" s="9"/>
      <c r="N40" s="9"/>
      <c r="O40" s="7"/>
      <c r="P40" s="7"/>
      <c r="Q40" s="7"/>
    </row>
    <row r="41" spans="1:17" x14ac:dyDescent="0.2">
      <c r="J41" s="7"/>
      <c r="K41" s="117"/>
      <c r="L41" s="118"/>
      <c r="M41" s="119"/>
      <c r="N41" s="120"/>
      <c r="O41" s="7"/>
      <c r="P41" s="7"/>
      <c r="Q41" s="7"/>
    </row>
    <row r="42" spans="1:17" x14ac:dyDescent="0.2">
      <c r="J42" s="121"/>
      <c r="K42" s="121"/>
      <c r="L42" s="121"/>
      <c r="M42" s="121"/>
      <c r="N42" s="121"/>
      <c r="O42" s="121"/>
      <c r="P42" s="121"/>
      <c r="Q42" s="7"/>
    </row>
    <row r="43" spans="1:17" x14ac:dyDescent="0.2">
      <c r="J43" s="121"/>
      <c r="K43" s="121"/>
      <c r="L43" s="121"/>
      <c r="M43" s="121"/>
      <c r="N43" s="121"/>
      <c r="O43" s="121"/>
      <c r="P43" s="121"/>
      <c r="Q43" s="7"/>
    </row>
    <row r="44" spans="1:17" x14ac:dyDescent="0.2">
      <c r="J44" s="121"/>
      <c r="K44" s="121"/>
      <c r="L44" s="121"/>
      <c r="M44" s="121"/>
      <c r="N44" s="121"/>
      <c r="O44" s="121"/>
      <c r="P44" s="121"/>
      <c r="Q44" s="7"/>
    </row>
    <row r="45" spans="1:17" x14ac:dyDescent="0.2">
      <c r="J45" s="121"/>
      <c r="K45" s="121"/>
      <c r="L45" s="121"/>
      <c r="M45" s="121"/>
      <c r="N45" s="121"/>
      <c r="O45" s="121"/>
      <c r="P45" s="121"/>
      <c r="Q45" s="7"/>
    </row>
    <row r="46" spans="1:17" x14ac:dyDescent="0.2">
      <c r="J46" s="121"/>
      <c r="K46" s="121"/>
      <c r="L46" s="121"/>
      <c r="M46" s="121"/>
      <c r="N46" s="121"/>
      <c r="O46" s="121"/>
      <c r="P46" s="121"/>
      <c r="Q46" s="7"/>
    </row>
    <row r="47" spans="1:17" x14ac:dyDescent="0.2">
      <c r="J47" s="121"/>
      <c r="K47" s="121"/>
      <c r="L47" s="121"/>
      <c r="M47" s="121"/>
      <c r="N47" s="121"/>
      <c r="O47" s="121"/>
      <c r="P47" s="121"/>
      <c r="Q47" s="7"/>
    </row>
    <row r="48" spans="1:17" x14ac:dyDescent="0.2">
      <c r="J48" s="121"/>
      <c r="K48" s="121"/>
      <c r="L48" s="121"/>
      <c r="M48" s="121"/>
      <c r="N48" s="121"/>
      <c r="O48" s="121"/>
      <c r="P48" s="121"/>
      <c r="Q48" s="7"/>
    </row>
    <row r="49" spans="10:17" x14ac:dyDescent="0.2">
      <c r="J49" s="121"/>
      <c r="K49" s="121"/>
      <c r="L49" s="121"/>
      <c r="M49" s="121"/>
      <c r="N49" s="121"/>
      <c r="O49" s="121"/>
      <c r="P49" s="121"/>
      <c r="Q49" s="7"/>
    </row>
    <row r="50" spans="10:17" x14ac:dyDescent="0.2">
      <c r="J50" s="121"/>
      <c r="K50" s="121"/>
      <c r="L50" s="121"/>
      <c r="M50" s="121"/>
      <c r="N50" s="121"/>
      <c r="O50" s="121"/>
      <c r="P50" s="121"/>
      <c r="Q50" s="7"/>
    </row>
    <row r="51" spans="10:17" x14ac:dyDescent="0.2">
      <c r="J51" s="121"/>
      <c r="K51" s="121"/>
      <c r="L51" s="121"/>
      <c r="M51" s="121"/>
      <c r="N51" s="121"/>
      <c r="O51" s="121"/>
      <c r="P51" s="121"/>
      <c r="Q51" s="7"/>
    </row>
    <row r="52" spans="10:17" x14ac:dyDescent="0.2">
      <c r="J52" s="121"/>
      <c r="K52" s="121"/>
      <c r="L52" s="121"/>
      <c r="M52" s="121"/>
      <c r="N52" s="121"/>
      <c r="O52" s="121"/>
      <c r="P52" s="121"/>
      <c r="Q52" s="7"/>
    </row>
  </sheetData>
  <mergeCells count="8">
    <mergeCell ref="E13:E14"/>
    <mergeCell ref="E15:E16"/>
    <mergeCell ref="E17:E18"/>
    <mergeCell ref="A1:D1"/>
    <mergeCell ref="A4:B5"/>
    <mergeCell ref="C4:D5"/>
    <mergeCell ref="J4:J5"/>
    <mergeCell ref="E11:E12"/>
  </mergeCells>
  <conditionalFormatting sqref="I19:I21">
    <cfRule type="expression" dxfId="89" priority="18">
      <formula>ISNUMBER(SEARCH(TEXT(#REF!,"ddd"),#REF!))</formula>
    </cfRule>
  </conditionalFormatting>
  <conditionalFormatting sqref="P35:P36">
    <cfRule type="expression" dxfId="88" priority="11">
      <formula>ISNUMBER(SEARCH(TEXT(#REF!,"ddd"),#REF!))</formula>
    </cfRule>
  </conditionalFormatting>
  <conditionalFormatting sqref="J28:M30 J34:M35 J36:L36">
    <cfRule type="expression" dxfId="87" priority="12">
      <formula>ISNUMBER(SEARCH(TEXT(#REF!,"ddd"),#REF!))</formula>
    </cfRule>
  </conditionalFormatting>
  <conditionalFormatting sqref="M32">
    <cfRule type="expression" dxfId="86" priority="10">
      <formula>ISNUMBER(SEARCH(TEXT(#REF!,"ddd"),#REF!))</formula>
    </cfRule>
  </conditionalFormatting>
  <conditionalFormatting sqref="J32:L32">
    <cfRule type="expression" dxfId="85" priority="7">
      <formula>ISNUMBER(SEARCH(TEXT(#REF!,"ddd"),#REF!))</formula>
    </cfRule>
  </conditionalFormatting>
  <conditionalFormatting sqref="J31:M31">
    <cfRule type="expression" dxfId="84" priority="9">
      <formula>ISNUMBER(SEARCH(TEXT(#REF!,"ddd"),#REF!))</formula>
    </cfRule>
  </conditionalFormatting>
  <conditionalFormatting sqref="J33:M33">
    <cfRule type="expression" dxfId="83" priority="8">
      <formula>ISNUMBER(SEARCH(TEXT(#REF!,"ddd"),#REF!))</formula>
    </cfRule>
  </conditionalFormatting>
  <conditionalFormatting sqref="G17:G18">
    <cfRule type="expression" dxfId="82" priority="5">
      <formula>ISNUMBER(SEARCH(TEXT(#REF!,"ddd"),#REF!))</formula>
    </cfRule>
  </conditionalFormatting>
  <conditionalFormatting sqref="A10:D12 A16:D17 A18:C18">
    <cfRule type="expression" dxfId="81" priority="6">
      <formula>ISNUMBER(SEARCH(TEXT(#REF!,"ddd"),#REF!))</formula>
    </cfRule>
  </conditionalFormatting>
  <conditionalFormatting sqref="D14">
    <cfRule type="expression" dxfId="80" priority="4">
      <formula>ISNUMBER(SEARCH(TEXT(#REF!,"ddd"),#REF!))</formula>
    </cfRule>
  </conditionalFormatting>
  <conditionalFormatting sqref="A14:C14">
    <cfRule type="expression" dxfId="79" priority="1">
      <formula>ISNUMBER(SEARCH(TEXT(#REF!,"ddd"),#REF!))</formula>
    </cfRule>
  </conditionalFormatting>
  <conditionalFormatting sqref="A13:D13">
    <cfRule type="expression" dxfId="78" priority="3">
      <formula>ISNUMBER(SEARCH(TEXT(#REF!,"ddd"),#REF!))</formula>
    </cfRule>
  </conditionalFormatting>
  <conditionalFormatting sqref="A15:D15">
    <cfRule type="expression" dxfId="77" priority="2">
      <formula>ISNUMBER(SEARCH(TEXT(#REF!,"ddd"),#REF!))</formula>
    </cfRule>
  </conditionalFormatting>
  <dataValidations count="3">
    <dataValidation type="custom" allowBlank="1" showInputMessage="1" showErrorMessage="1" sqref="L36 K28:K36 L29:L34 C18 B10:B18 C11:C16" xr:uid="{7F5C1FE0-C663-4798-BC53-014E5AAF0196}">
      <formula1>AND($B10&lt;=1,ISNUMBER($B10))</formula1>
    </dataValidation>
    <dataValidation type="custom" allowBlank="1" showInputMessage="1" showErrorMessage="1" sqref="P35:P36 G17:G18" xr:uid="{5BE149E3-9C78-4C32-9922-BF7FCCD106FD}">
      <formula1>AND($B15&lt;=1,ISNUMBER($B15))</formula1>
    </dataValidation>
    <dataValidation type="custom" allowBlank="1" showInputMessage="1" showErrorMessage="1" sqref="L28 L35 C10 C17" xr:uid="{C817E50B-7CED-4521-BCB0-25F24D0AE7DA}">
      <formula1>AND($C10&lt;=1,ISNUMBER($C10),($C10&gt;=$B10))</formula1>
    </dataValidation>
  </dataValidations>
  <pageMargins left="0.25" right="0.25"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796F-B119-488D-A12F-AEAFC77733A2}">
  <sheetPr codeName="Sheet8"/>
  <dimension ref="A1:K37"/>
  <sheetViews>
    <sheetView showGridLines="0" zoomScaleNormal="100" workbookViewId="0">
      <selection activeCell="C7" sqref="C7"/>
    </sheetView>
  </sheetViews>
  <sheetFormatPr baseColWidth="10" defaultColWidth="9" defaultRowHeight="12.75" x14ac:dyDescent="0.2"/>
  <cols>
    <col min="1" max="1" width="14.25" customWidth="1"/>
    <col min="2" max="2" width="9.25" customWidth="1"/>
    <col min="3" max="3" width="9.875" bestFit="1" customWidth="1"/>
    <col min="4" max="4" width="16.375" customWidth="1"/>
    <col min="5" max="5" width="25.875" bestFit="1"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419" t="s">
        <v>41</v>
      </c>
      <c r="B1" s="419"/>
      <c r="C1" s="419"/>
      <c r="D1" s="419"/>
      <c r="E1" s="45">
        <f>WEEKNUM(A10)</f>
        <v>6</v>
      </c>
      <c r="F1" s="46"/>
      <c r="G1" s="47"/>
      <c r="H1" s="26"/>
      <c r="J1" s="1"/>
    </row>
    <row r="2" spans="1:10" s="1" customFormat="1" ht="14.25" customHeight="1" x14ac:dyDescent="0.25">
      <c r="A2" s="38" t="s">
        <v>1</v>
      </c>
      <c r="B2" s="38"/>
      <c r="C2" s="38" t="s">
        <v>2</v>
      </c>
      <c r="D2" s="38"/>
      <c r="E2" s="44" t="s">
        <v>3</v>
      </c>
      <c r="F2" s="44" t="s">
        <v>4</v>
      </c>
      <c r="G2" s="44" t="s">
        <v>29</v>
      </c>
      <c r="H2" s="20"/>
      <c r="I2" s="13"/>
      <c r="J2" s="6"/>
    </row>
    <row r="3" spans="1:10" ht="16.5" thickBot="1" x14ac:dyDescent="0.25">
      <c r="A3" s="43">
        <f>A10</f>
        <v>43866</v>
      </c>
      <c r="B3" s="382"/>
      <c r="C3" s="43">
        <f>A18</f>
        <v>43869</v>
      </c>
      <c r="D3" s="382"/>
      <c r="E3" s="31" t="s">
        <v>6</v>
      </c>
      <c r="F3" s="35">
        <f>Sumcolor(E3,D10:D19)</f>
        <v>6.25E-2</v>
      </c>
      <c r="G3" s="36">
        <f>SUM(Først:Sist!F3)</f>
        <v>0.93402777777777768</v>
      </c>
      <c r="H3" s="22"/>
      <c r="I3" s="7"/>
      <c r="J3" s="7"/>
    </row>
    <row r="4" spans="1:10" ht="15" customHeight="1" x14ac:dyDescent="0.2">
      <c r="A4" s="420" t="s">
        <v>7</v>
      </c>
      <c r="B4" s="420"/>
      <c r="C4" s="421" t="s">
        <v>8</v>
      </c>
      <c r="D4" s="421"/>
      <c r="E4" s="32" t="s">
        <v>9</v>
      </c>
      <c r="F4" s="35">
        <f>Sumcolor(E4,D10:D19)</f>
        <v>0</v>
      </c>
      <c r="G4" s="36">
        <f>SUM(Først:Sist!F4)</f>
        <v>6.5486111111111125</v>
      </c>
      <c r="H4" s="22"/>
      <c r="I4" s="7"/>
      <c r="J4" s="399"/>
    </row>
    <row r="5" spans="1:10" ht="15.75" x14ac:dyDescent="0.2">
      <c r="A5" s="421"/>
      <c r="B5" s="421"/>
      <c r="C5" s="421"/>
      <c r="D5" s="421"/>
      <c r="E5" s="33" t="s">
        <v>10</v>
      </c>
      <c r="F5" s="35">
        <f>Sumcolor(E5,D10:D19)</f>
        <v>3.819444444444442E-2</v>
      </c>
      <c r="G5" s="36">
        <f>SUM(Først:Sist!F5)</f>
        <v>1.3368055555555545</v>
      </c>
      <c r="H5" s="22"/>
      <c r="I5" s="7"/>
      <c r="J5" s="399"/>
    </row>
    <row r="6" spans="1:10" ht="18.75" customHeight="1" thickBot="1" x14ac:dyDescent="0.25">
      <c r="A6" s="39">
        <f>SUM(D10:D19)</f>
        <v>0.26041666666666663</v>
      </c>
      <c r="B6" s="40"/>
      <c r="C6" s="41">
        <f>SUM('Først:Uke6'!A6)</f>
        <v>0.99652777777777757</v>
      </c>
      <c r="D6" s="42"/>
      <c r="E6" s="34" t="s">
        <v>11</v>
      </c>
      <c r="F6" s="37">
        <f>Sumcolor(E6,D10:D19)</f>
        <v>0.15972222222222221</v>
      </c>
      <c r="G6" s="37">
        <f>SUM(Først:Sist!F6)</f>
        <v>2.4791666666666661</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0" t="s">
        <v>15</v>
      </c>
      <c r="B9" s="30" t="s">
        <v>18</v>
      </c>
      <c r="C9" s="30" t="s">
        <v>19</v>
      </c>
      <c r="D9" s="30" t="s">
        <v>20</v>
      </c>
      <c r="E9" s="30" t="s">
        <v>21</v>
      </c>
      <c r="F9" s="30" t="s">
        <v>42</v>
      </c>
      <c r="H9" s="25"/>
    </row>
    <row r="10" spans="1:10" ht="15.75" x14ac:dyDescent="0.25">
      <c r="A10" s="48">
        <v>43866</v>
      </c>
      <c r="B10" s="49">
        <v>0.41666666666666669</v>
      </c>
      <c r="C10" s="49">
        <v>0.47916666666666669</v>
      </c>
      <c r="D10" s="224">
        <f t="shared" ref="D10" si="0">(C10-B10)</f>
        <v>6.25E-2</v>
      </c>
      <c r="E10" s="422" t="s">
        <v>43</v>
      </c>
      <c r="F10" s="52"/>
      <c r="H10" s="25"/>
    </row>
    <row r="11" spans="1:10" ht="15.75" x14ac:dyDescent="0.25">
      <c r="A11" s="214"/>
      <c r="B11" s="215"/>
      <c r="C11" s="215"/>
      <c r="D11" s="225"/>
      <c r="E11" s="423"/>
      <c r="F11" s="53"/>
      <c r="H11" s="25"/>
    </row>
    <row r="12" spans="1:10" ht="15.75" x14ac:dyDescent="0.25">
      <c r="A12" s="216">
        <v>43866</v>
      </c>
      <c r="B12" s="217">
        <v>0.5</v>
      </c>
      <c r="C12" s="217">
        <v>0.53819444444444442</v>
      </c>
      <c r="D12" s="226">
        <f>(C12-B12)</f>
        <v>3.819444444444442E-2</v>
      </c>
      <c r="E12" s="424" t="s">
        <v>44</v>
      </c>
      <c r="F12" s="53"/>
    </row>
    <row r="13" spans="1:10" ht="15.75" x14ac:dyDescent="0.25">
      <c r="A13" s="218"/>
      <c r="B13" s="219"/>
      <c r="C13" s="219"/>
      <c r="D13" s="227"/>
      <c r="E13" s="425"/>
      <c r="F13" s="53"/>
    </row>
    <row r="14" spans="1:10" ht="15.75" x14ac:dyDescent="0.25">
      <c r="A14" s="220">
        <v>43867</v>
      </c>
      <c r="B14" s="221">
        <v>0.41666666666666669</v>
      </c>
      <c r="C14" s="221">
        <v>0.48958333333333331</v>
      </c>
      <c r="D14" s="228">
        <f>(C14-B14)</f>
        <v>7.291666666666663E-2</v>
      </c>
      <c r="E14" s="426" t="s">
        <v>45</v>
      </c>
      <c r="F14" s="53"/>
    </row>
    <row r="15" spans="1:10" ht="15.75" x14ac:dyDescent="0.25">
      <c r="A15" s="222"/>
      <c r="B15" s="223"/>
      <c r="C15" s="223"/>
      <c r="D15" s="229"/>
      <c r="E15" s="427"/>
      <c r="F15" s="53"/>
    </row>
    <row r="16" spans="1:10" ht="15.75" x14ac:dyDescent="0.25">
      <c r="A16" s="220">
        <v>43868</v>
      </c>
      <c r="B16" s="221">
        <v>0.54861111111111105</v>
      </c>
      <c r="C16" s="221">
        <v>0.60416666666666663</v>
      </c>
      <c r="D16" s="228">
        <f>(C16-B16)</f>
        <v>5.555555555555558E-2</v>
      </c>
      <c r="E16" s="426" t="s">
        <v>46</v>
      </c>
      <c r="F16" s="53"/>
    </row>
    <row r="17" spans="1:11" ht="15.75" x14ac:dyDescent="0.25">
      <c r="A17" s="222"/>
      <c r="B17" s="223"/>
      <c r="C17" s="223"/>
      <c r="D17" s="230"/>
      <c r="E17" s="427"/>
      <c r="F17" s="53"/>
      <c r="G17" s="12"/>
    </row>
    <row r="18" spans="1:11" ht="15.75" x14ac:dyDescent="0.25">
      <c r="A18" s="50">
        <v>43869</v>
      </c>
      <c r="B18" s="51">
        <v>0.72916666666666663</v>
      </c>
      <c r="C18" s="51">
        <v>0.76041666666666663</v>
      </c>
      <c r="D18" s="231">
        <f>(C18-B18)</f>
        <v>3.125E-2</v>
      </c>
      <c r="E18" s="428" t="s">
        <v>47</v>
      </c>
      <c r="F18" s="53"/>
      <c r="G18" s="12"/>
    </row>
    <row r="19" spans="1:11" ht="16.5" thickBot="1" x14ac:dyDescent="0.3">
      <c r="A19" s="212"/>
      <c r="B19" s="213"/>
      <c r="C19" s="213"/>
      <c r="D19" s="232"/>
      <c r="E19" s="429"/>
      <c r="F19" s="54"/>
      <c r="I19" s="8"/>
      <c r="K19" s="8"/>
    </row>
    <row r="20" spans="1:11" x14ac:dyDescent="0.2">
      <c r="H20" s="8"/>
      <c r="I20" s="8"/>
      <c r="K20" s="8"/>
    </row>
    <row r="21" spans="1:11" ht="24" thickBot="1" x14ac:dyDescent="0.4">
      <c r="A21" s="28" t="s">
        <v>26</v>
      </c>
      <c r="B21" s="28"/>
      <c r="C21" s="27"/>
      <c r="D21" s="27"/>
      <c r="E21" s="27"/>
      <c r="F21" s="98"/>
      <c r="G21" s="98"/>
      <c r="H21" s="8"/>
      <c r="I21" s="8"/>
      <c r="K21" s="8"/>
    </row>
    <row r="22" spans="1:11" ht="13.5" thickBot="1" x14ac:dyDescent="0.25">
      <c r="A22" s="5"/>
      <c r="B22" s="15"/>
      <c r="C22" s="16"/>
      <c r="D22" s="17"/>
      <c r="E22" s="18"/>
      <c r="F22" s="5"/>
      <c r="G22" s="5"/>
      <c r="H22" s="9"/>
      <c r="I22" s="9"/>
      <c r="K22" s="8"/>
    </row>
    <row r="23" spans="1:11" ht="15.75" customHeight="1" x14ac:dyDescent="0.2">
      <c r="A23" s="430" t="s">
        <v>48</v>
      </c>
      <c r="B23" s="431"/>
      <c r="C23" s="431"/>
      <c r="D23" s="431"/>
      <c r="E23" s="431"/>
      <c r="F23" s="431"/>
      <c r="G23" s="432"/>
      <c r="H23" s="10"/>
      <c r="I23" s="10"/>
      <c r="K23" s="8"/>
    </row>
    <row r="24" spans="1:11" ht="12.75" customHeight="1" x14ac:dyDescent="0.2">
      <c r="A24" s="433"/>
      <c r="B24" s="434"/>
      <c r="C24" s="434"/>
      <c r="D24" s="434"/>
      <c r="E24" s="434"/>
      <c r="F24" s="434"/>
      <c r="G24" s="435"/>
      <c r="H24" s="29"/>
      <c r="K24" s="8"/>
    </row>
    <row r="25" spans="1:11" ht="12.75" customHeight="1" x14ac:dyDescent="0.2">
      <c r="A25" s="433"/>
      <c r="B25" s="434"/>
      <c r="C25" s="434"/>
      <c r="D25" s="434"/>
      <c r="E25" s="434"/>
      <c r="F25" s="434"/>
      <c r="G25" s="435"/>
      <c r="H25" s="29"/>
      <c r="K25" s="9"/>
    </row>
    <row r="26" spans="1:11" ht="12.75" customHeight="1" x14ac:dyDescent="0.2">
      <c r="A26" s="433"/>
      <c r="B26" s="434"/>
      <c r="C26" s="434"/>
      <c r="D26" s="434"/>
      <c r="E26" s="434"/>
      <c r="F26" s="434"/>
      <c r="G26" s="435"/>
      <c r="H26" s="29"/>
      <c r="K26" s="11"/>
    </row>
    <row r="27" spans="1:11" ht="12.75" customHeight="1" x14ac:dyDescent="0.2">
      <c r="A27" s="433"/>
      <c r="B27" s="434"/>
      <c r="C27" s="434"/>
      <c r="D27" s="434"/>
      <c r="E27" s="434"/>
      <c r="F27" s="434"/>
      <c r="G27" s="435"/>
      <c r="H27" s="29"/>
      <c r="K27" s="7"/>
    </row>
    <row r="28" spans="1:11" ht="12.75" customHeight="1" x14ac:dyDescent="0.2">
      <c r="A28" s="433"/>
      <c r="B28" s="434"/>
      <c r="C28" s="434"/>
      <c r="D28" s="434"/>
      <c r="E28" s="434"/>
      <c r="F28" s="434"/>
      <c r="G28" s="435"/>
      <c r="H28" s="29"/>
    </row>
    <row r="29" spans="1:11" ht="12.75" customHeight="1" x14ac:dyDescent="0.2">
      <c r="A29" s="433"/>
      <c r="B29" s="434"/>
      <c r="C29" s="434"/>
      <c r="D29" s="434"/>
      <c r="E29" s="434"/>
      <c r="F29" s="434"/>
      <c r="G29" s="435"/>
      <c r="H29" s="29"/>
    </row>
    <row r="30" spans="1:11" ht="12.75" customHeight="1" x14ac:dyDescent="0.2">
      <c r="A30" s="433"/>
      <c r="B30" s="434"/>
      <c r="C30" s="434"/>
      <c r="D30" s="434"/>
      <c r="E30" s="434"/>
      <c r="F30" s="434"/>
      <c r="G30" s="435"/>
      <c r="H30" s="29"/>
    </row>
    <row r="31" spans="1:11" ht="12.75" customHeight="1" x14ac:dyDescent="0.2">
      <c r="A31" s="433"/>
      <c r="B31" s="434"/>
      <c r="C31" s="434"/>
      <c r="D31" s="434"/>
      <c r="E31" s="434"/>
      <c r="F31" s="434"/>
      <c r="G31" s="435"/>
      <c r="H31" s="29"/>
    </row>
    <row r="32" spans="1:11" ht="12.75" customHeight="1" x14ac:dyDescent="0.2">
      <c r="A32" s="433"/>
      <c r="B32" s="434"/>
      <c r="C32" s="434"/>
      <c r="D32" s="434"/>
      <c r="E32" s="434"/>
      <c r="F32" s="434"/>
      <c r="G32" s="435"/>
      <c r="H32" s="29"/>
    </row>
    <row r="33" spans="1:8" ht="12.75" customHeight="1" x14ac:dyDescent="0.2">
      <c r="A33" s="433"/>
      <c r="B33" s="434"/>
      <c r="C33" s="434"/>
      <c r="D33" s="434"/>
      <c r="E33" s="434"/>
      <c r="F33" s="434"/>
      <c r="G33" s="435"/>
      <c r="H33" s="29"/>
    </row>
    <row r="34" spans="1:8" ht="12.75" customHeight="1" x14ac:dyDescent="0.2">
      <c r="A34" s="433"/>
      <c r="B34" s="434"/>
      <c r="C34" s="434"/>
      <c r="D34" s="434"/>
      <c r="E34" s="434"/>
      <c r="F34" s="434"/>
      <c r="G34" s="435"/>
      <c r="H34" s="29"/>
    </row>
    <row r="35" spans="1:8" ht="13.5" customHeight="1" thickBot="1" x14ac:dyDescent="0.25">
      <c r="A35" s="436"/>
      <c r="B35" s="437"/>
      <c r="C35" s="437"/>
      <c r="D35" s="437"/>
      <c r="E35" s="437"/>
      <c r="F35" s="437"/>
      <c r="G35" s="438"/>
    </row>
    <row r="36" spans="1:8" ht="13.5" customHeight="1" x14ac:dyDescent="0.2">
      <c r="A36" s="233"/>
      <c r="B36" s="233"/>
      <c r="C36" s="233"/>
      <c r="D36" s="233"/>
      <c r="E36" s="233"/>
      <c r="F36" s="233"/>
      <c r="G36" s="233"/>
    </row>
    <row r="37" spans="1:8" ht="13.5" customHeight="1" x14ac:dyDescent="0.2">
      <c r="A37" s="234"/>
      <c r="B37" s="234"/>
      <c r="C37" s="234"/>
      <c r="D37" s="234"/>
      <c r="E37" s="234"/>
      <c r="F37" s="234"/>
      <c r="G37" s="234"/>
    </row>
  </sheetData>
  <mergeCells count="10">
    <mergeCell ref="E12:E13"/>
    <mergeCell ref="E14:E15"/>
    <mergeCell ref="E16:E17"/>
    <mergeCell ref="E18:E19"/>
    <mergeCell ref="A23:G35"/>
    <mergeCell ref="J4:J5"/>
    <mergeCell ref="A1:D1"/>
    <mergeCell ref="A4:B5"/>
    <mergeCell ref="C4:D5"/>
    <mergeCell ref="E10:E11"/>
  </mergeCells>
  <conditionalFormatting sqref="G17:G18">
    <cfRule type="expression" dxfId="76" priority="5">
      <formula>ISNUMBER(SEARCH(TEXT(#REF!,"ddd"),#REF!))</formula>
    </cfRule>
  </conditionalFormatting>
  <conditionalFormatting sqref="H20:I21 I19">
    <cfRule type="expression" dxfId="75" priority="6">
      <formula>ISNUMBER(SEARCH(TEXT(#REF!,"ddd"),#REF!))</formula>
    </cfRule>
  </conditionalFormatting>
  <conditionalFormatting sqref="A10:D12 A16:D17 A18:C18">
    <cfRule type="expression" dxfId="74" priority="7">
      <formula>ISNUMBER(SEARCH(TEXT(#REF!,"ddd"),#REF!))</formula>
    </cfRule>
  </conditionalFormatting>
  <conditionalFormatting sqref="K19:K24">
    <cfRule type="expression" dxfId="73" priority="8">
      <formula>ISNUMBER(SEARCH(TEXT(#REF!,"ddd"),#REF!))</formula>
    </cfRule>
  </conditionalFormatting>
  <conditionalFormatting sqref="D14">
    <cfRule type="expression" dxfId="72" priority="4">
      <formula>ISNUMBER(SEARCH(TEXT(#REF!,"ddd"),#REF!))</formula>
    </cfRule>
  </conditionalFormatting>
  <conditionalFormatting sqref="A14:C14">
    <cfRule type="expression" dxfId="71" priority="1">
      <formula>ISNUMBER(SEARCH(TEXT(#REF!,"ddd"),#REF!))</formula>
    </cfRule>
  </conditionalFormatting>
  <conditionalFormatting sqref="A13:D13">
    <cfRule type="expression" dxfId="70" priority="3">
      <formula>ISNUMBER(SEARCH(TEXT(#REF!,"ddd"),#REF!))</formula>
    </cfRule>
  </conditionalFormatting>
  <conditionalFormatting sqref="A15:D15">
    <cfRule type="expression" dxfId="69" priority="2">
      <formula>ISNUMBER(SEARCH(TEXT(#REF!,"ddd"),#REF!))</formula>
    </cfRule>
  </conditionalFormatting>
  <dataValidations count="3">
    <dataValidation type="custom" allowBlank="1" showInputMessage="1" showErrorMessage="1" sqref="C10 C17" xr:uid="{2264F8A4-9B24-4DAA-BC96-07B70F271F28}">
      <formula1>AND($C10&lt;=1,ISNUMBER($C10),($C10&gt;=$B10))</formula1>
    </dataValidation>
    <dataValidation type="custom" allowBlank="1" showInputMessage="1" showErrorMessage="1" sqref="G17:G18" xr:uid="{8FAEBDEF-1AE6-403F-A6CC-D0A6ACC3E23C}">
      <formula1>AND($B15&lt;=1,ISNUMBER($B15))</formula1>
    </dataValidation>
    <dataValidation type="custom" allowBlank="1" showInputMessage="1" showErrorMessage="1" sqref="C18 B10:B18 C11:C16" xr:uid="{3ECDF657-8BF6-4E9E-86E1-7915E665494E}">
      <formula1>AND($B10&lt;=1,ISNUMBER($B10))</formula1>
    </dataValidation>
  </dataValidations>
  <pageMargins left="0.25" right="0.25"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D2587-1B57-4E8B-B946-877C5D0081E2}">
  <sheetPr codeName="Sheet12"/>
  <dimension ref="A1:P83"/>
  <sheetViews>
    <sheetView showGridLines="0" zoomScale="80" zoomScaleNormal="80" workbookViewId="0">
      <selection activeCell="C7" sqref="C7"/>
    </sheetView>
  </sheetViews>
  <sheetFormatPr baseColWidth="10" defaultColWidth="9" defaultRowHeight="12.75" x14ac:dyDescent="0.2"/>
  <cols>
    <col min="1" max="1" width="14.5" customWidth="1"/>
    <col min="2" max="2" width="8.875" customWidth="1"/>
    <col min="3" max="3" width="14.875" customWidth="1"/>
    <col min="4" max="4" width="9.37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0" ht="27" thickTop="1" x14ac:dyDescent="0.4">
      <c r="A1" s="419" t="s">
        <v>49</v>
      </c>
      <c r="B1" s="419"/>
      <c r="C1" s="419"/>
      <c r="D1" s="419"/>
      <c r="E1" s="45">
        <f>WEEKNUM(A10)</f>
        <v>7</v>
      </c>
      <c r="F1" s="46"/>
      <c r="G1" s="47"/>
      <c r="H1" s="26"/>
      <c r="J1" s="1"/>
    </row>
    <row r="2" spans="1:10" s="1" customFormat="1" ht="14.25" customHeight="1" x14ac:dyDescent="0.25">
      <c r="A2" s="38" t="s">
        <v>1</v>
      </c>
      <c r="B2" s="38"/>
      <c r="C2" s="38" t="s">
        <v>2</v>
      </c>
      <c r="D2" s="38"/>
      <c r="E2" s="250" t="s">
        <v>3</v>
      </c>
      <c r="F2" s="44" t="s">
        <v>4</v>
      </c>
      <c r="G2" s="44" t="s">
        <v>29</v>
      </c>
      <c r="H2" s="20"/>
      <c r="I2" s="13"/>
      <c r="J2" s="6"/>
    </row>
    <row r="3" spans="1:10" ht="16.5" thickBot="1" x14ac:dyDescent="0.25">
      <c r="A3" s="274">
        <f>A10</f>
        <v>43871</v>
      </c>
      <c r="B3" s="382"/>
      <c r="C3" s="274">
        <f>A40</f>
        <v>43877</v>
      </c>
      <c r="D3" s="382"/>
      <c r="E3" s="249" t="s">
        <v>6</v>
      </c>
      <c r="F3" s="261">
        <f>Sumcolor(E3,D10:D40)</f>
        <v>0</v>
      </c>
      <c r="G3" s="259">
        <f>SUM(Først:Sist!F3)</f>
        <v>0.93402777777777768</v>
      </c>
      <c r="H3" s="22"/>
      <c r="I3" s="7"/>
      <c r="J3" s="7"/>
    </row>
    <row r="4" spans="1:10" ht="15" customHeight="1" x14ac:dyDescent="0.2">
      <c r="A4" s="420" t="s">
        <v>50</v>
      </c>
      <c r="B4" s="383"/>
      <c r="C4" s="420" t="s">
        <v>51</v>
      </c>
      <c r="D4" s="384"/>
      <c r="E4" s="246" t="s">
        <v>9</v>
      </c>
      <c r="F4" s="261">
        <f>Sumcolor(E4,D10:D40)</f>
        <v>0</v>
      </c>
      <c r="G4" s="259">
        <f>SUM(Først:Sist!F4)</f>
        <v>6.5486111111111125</v>
      </c>
      <c r="H4" s="22"/>
      <c r="I4" s="7"/>
      <c r="J4" s="399"/>
    </row>
    <row r="5" spans="1:10" ht="15.75" x14ac:dyDescent="0.2">
      <c r="A5" s="447"/>
      <c r="B5" s="384"/>
      <c r="C5" s="421"/>
      <c r="D5" s="384"/>
      <c r="E5" s="247" t="s">
        <v>10</v>
      </c>
      <c r="F5" s="261">
        <f>Sumcolor(E5,D10:D40)</f>
        <v>0.34027777777777773</v>
      </c>
      <c r="G5" s="259">
        <f>SUM(Først:Sist!F5)</f>
        <v>1.3368055555555545</v>
      </c>
      <c r="H5" s="22"/>
      <c r="I5" s="7"/>
      <c r="J5" s="399"/>
    </row>
    <row r="6" spans="1:10" ht="18.75" customHeight="1" thickBot="1" x14ac:dyDescent="0.25">
      <c r="A6" s="39">
        <f>SUM(D10:D40)</f>
        <v>0.8159722222222221</v>
      </c>
      <c r="B6" s="40"/>
      <c r="C6" s="240">
        <f>SUM('Først:Uke7'!A6)</f>
        <v>1.8124999999999996</v>
      </c>
      <c r="D6" s="42"/>
      <c r="E6" s="248" t="s">
        <v>11</v>
      </c>
      <c r="F6" s="260">
        <f>Sumcolor(E6,D10:D40)</f>
        <v>0.47569444444444431</v>
      </c>
      <c r="G6" s="260">
        <f>SUM(Først:Sist!F6)</f>
        <v>2.4791666666666661</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30" t="s">
        <v>15</v>
      </c>
      <c r="B9" s="30" t="s">
        <v>18</v>
      </c>
      <c r="C9" s="30" t="s">
        <v>19</v>
      </c>
      <c r="D9" s="30" t="s">
        <v>20</v>
      </c>
      <c r="E9" s="30" t="s">
        <v>21</v>
      </c>
      <c r="G9" s="30" t="s">
        <v>42</v>
      </c>
      <c r="H9" s="25"/>
    </row>
    <row r="10" spans="1:10" ht="15.6" customHeight="1" x14ac:dyDescent="0.2">
      <c r="A10" s="262">
        <v>43871</v>
      </c>
      <c r="B10" s="237">
        <v>0.49305555555555558</v>
      </c>
      <c r="C10" s="237">
        <v>0.50694444444444442</v>
      </c>
      <c r="D10" s="237">
        <f t="shared" ref="D10" si="0">(C10-B10)</f>
        <v>1.388888888888884E-2</v>
      </c>
      <c r="E10" s="443" t="s">
        <v>52</v>
      </c>
      <c r="F10" s="443"/>
      <c r="G10" s="238"/>
      <c r="H10" s="25"/>
    </row>
    <row r="11" spans="1:10" ht="18" customHeight="1" thickBot="1" x14ac:dyDescent="0.3">
      <c r="A11" s="263"/>
      <c r="B11" s="235"/>
      <c r="C11" s="235"/>
      <c r="D11" s="235"/>
      <c r="E11" s="444"/>
      <c r="F11" s="444"/>
      <c r="G11" s="239"/>
      <c r="H11" s="25"/>
    </row>
    <row r="12" spans="1:10" ht="17.25" customHeight="1" x14ac:dyDescent="0.2">
      <c r="A12" s="264">
        <v>43871</v>
      </c>
      <c r="B12" s="241">
        <v>0.58333333333333337</v>
      </c>
      <c r="C12" s="241">
        <v>0.64583333333333337</v>
      </c>
      <c r="D12" s="242">
        <f>(C12-B12)</f>
        <v>6.25E-2</v>
      </c>
      <c r="E12" s="445" t="s">
        <v>53</v>
      </c>
      <c r="F12" s="445"/>
      <c r="G12" s="53"/>
    </row>
    <row r="13" spans="1:10" ht="15.6" customHeight="1" thickBot="1" x14ac:dyDescent="0.25">
      <c r="A13" s="265"/>
      <c r="B13" s="243"/>
      <c r="C13" s="243"/>
      <c r="D13" s="243"/>
      <c r="E13" s="446"/>
      <c r="F13" s="446"/>
      <c r="G13" s="53"/>
    </row>
    <row r="14" spans="1:10" ht="15.75" customHeight="1" x14ac:dyDescent="0.25">
      <c r="A14" s="266">
        <v>43871</v>
      </c>
      <c r="B14" s="236">
        <v>0.74305555555555547</v>
      </c>
      <c r="C14" s="236">
        <v>0.8125</v>
      </c>
      <c r="D14" s="237">
        <f>(C14-B14)</f>
        <v>6.9444444444444531E-2</v>
      </c>
      <c r="E14" s="443" t="s">
        <v>54</v>
      </c>
      <c r="F14" s="443"/>
      <c r="G14" s="53"/>
    </row>
    <row r="15" spans="1:10" ht="16.5" customHeight="1" thickBot="1" x14ac:dyDescent="0.3">
      <c r="A15" s="263"/>
      <c r="B15" s="235"/>
      <c r="C15" s="235"/>
      <c r="D15" s="235"/>
      <c r="E15" s="444"/>
      <c r="F15" s="444"/>
      <c r="G15" s="53"/>
    </row>
    <row r="16" spans="1:10" ht="15.6" customHeight="1" x14ac:dyDescent="0.2">
      <c r="A16" s="262">
        <v>43872</v>
      </c>
      <c r="B16" s="237">
        <v>0.52430555555555558</v>
      </c>
      <c r="C16" s="237">
        <v>0.56944444444444442</v>
      </c>
      <c r="D16" s="237">
        <f>(C16-B16)</f>
        <v>4.513888888888884E-2</v>
      </c>
      <c r="E16" s="443" t="s">
        <v>55</v>
      </c>
      <c r="F16" s="443"/>
      <c r="G16" s="53"/>
    </row>
    <row r="17" spans="1:11" ht="16.149999999999999" customHeight="1" thickBot="1" x14ac:dyDescent="0.3">
      <c r="A17" s="263"/>
      <c r="B17" s="235"/>
      <c r="C17" s="235"/>
      <c r="D17" s="235"/>
      <c r="E17" s="444"/>
      <c r="F17" s="444"/>
      <c r="G17" s="53"/>
    </row>
    <row r="18" spans="1:11" ht="15.6" customHeight="1" x14ac:dyDescent="0.2">
      <c r="A18" s="267">
        <v>43873</v>
      </c>
      <c r="B18" s="244">
        <v>0.41666666666666669</v>
      </c>
      <c r="C18" s="244">
        <v>0.4513888888888889</v>
      </c>
      <c r="D18" s="244">
        <f>(C18-B18)</f>
        <v>3.472222222222221E-2</v>
      </c>
      <c r="E18" s="448" t="s">
        <v>56</v>
      </c>
      <c r="F18" s="448"/>
      <c r="G18" s="53"/>
    </row>
    <row r="19" spans="1:11" ht="12" customHeight="1" thickBot="1" x14ac:dyDescent="0.25">
      <c r="A19" s="265"/>
      <c r="B19" s="243"/>
      <c r="C19" s="243"/>
      <c r="D19" s="243"/>
      <c r="E19" s="449"/>
      <c r="F19" s="449"/>
      <c r="G19" s="53"/>
      <c r="I19" s="8"/>
      <c r="K19" s="8"/>
    </row>
    <row r="20" spans="1:11" ht="15.75" customHeight="1" x14ac:dyDescent="0.2">
      <c r="A20" s="262">
        <v>43873</v>
      </c>
      <c r="B20" s="245">
        <v>0.42708333333333331</v>
      </c>
      <c r="C20" s="245">
        <v>0.50347222222222221</v>
      </c>
      <c r="D20" s="237">
        <f>(C20-B20)</f>
        <v>7.6388888888888895E-2</v>
      </c>
      <c r="E20" s="443" t="s">
        <v>57</v>
      </c>
      <c r="F20" s="443"/>
      <c r="G20" s="53"/>
      <c r="H20" s="8"/>
      <c r="I20" s="8"/>
      <c r="K20" s="8"/>
    </row>
    <row r="21" spans="1:11" ht="15.75" thickBot="1" x14ac:dyDescent="0.3">
      <c r="A21" s="263"/>
      <c r="B21" s="235"/>
      <c r="C21" s="235"/>
      <c r="D21" s="235"/>
      <c r="E21" s="444"/>
      <c r="F21" s="444"/>
      <c r="G21" s="53"/>
      <c r="I21" s="8"/>
      <c r="K21" s="8"/>
    </row>
    <row r="22" spans="1:11" ht="15.6" customHeight="1" x14ac:dyDescent="0.2">
      <c r="A22" s="262">
        <v>43873</v>
      </c>
      <c r="B22" s="245">
        <v>0.625</v>
      </c>
      <c r="C22" s="245">
        <v>0.6875</v>
      </c>
      <c r="D22" s="237">
        <f>(C22-B22)</f>
        <v>6.25E-2</v>
      </c>
      <c r="E22" s="443" t="s">
        <v>58</v>
      </c>
      <c r="F22" s="443"/>
      <c r="G22" s="53"/>
      <c r="I22" s="9"/>
      <c r="K22" s="8"/>
    </row>
    <row r="23" spans="1:11" ht="16.5" thickBot="1" x14ac:dyDescent="0.3">
      <c r="A23" s="268"/>
      <c r="B23" s="251"/>
      <c r="C23" s="251"/>
      <c r="D23" s="251"/>
      <c r="E23" s="444"/>
      <c r="F23" s="444"/>
      <c r="G23" s="53"/>
      <c r="I23" s="10"/>
      <c r="K23" s="8"/>
    </row>
    <row r="24" spans="1:11" ht="15.75" customHeight="1" x14ac:dyDescent="0.2">
      <c r="A24" s="267">
        <v>43874</v>
      </c>
      <c r="B24" s="252">
        <v>0.42708333333333331</v>
      </c>
      <c r="C24" s="252">
        <v>0.47916666666666669</v>
      </c>
      <c r="D24" s="244">
        <f>(C24-B24)</f>
        <v>5.208333333333337E-2</v>
      </c>
      <c r="E24" s="448" t="s">
        <v>59</v>
      </c>
      <c r="F24" s="448"/>
      <c r="G24" s="53"/>
      <c r="H24" s="8"/>
      <c r="K24" s="8"/>
    </row>
    <row r="25" spans="1:11" ht="13.15" customHeight="1" thickBot="1" x14ac:dyDescent="0.3">
      <c r="A25" s="269"/>
      <c r="B25" s="253"/>
      <c r="C25" s="253"/>
      <c r="D25" s="253"/>
      <c r="E25" s="449"/>
      <c r="F25" s="449"/>
      <c r="G25" s="53"/>
      <c r="H25" s="9"/>
      <c r="K25" s="9"/>
    </row>
    <row r="26" spans="1:11" ht="15.6" customHeight="1" x14ac:dyDescent="0.2">
      <c r="A26" s="262">
        <v>43874</v>
      </c>
      <c r="B26" s="245">
        <v>0.67708333333333337</v>
      </c>
      <c r="C26" s="245">
        <v>0.70833333333333337</v>
      </c>
      <c r="D26" s="237">
        <f>(C26-B26)</f>
        <v>3.125E-2</v>
      </c>
      <c r="E26" s="450" t="s">
        <v>60</v>
      </c>
      <c r="F26" s="450"/>
      <c r="G26" s="53"/>
      <c r="H26" s="10"/>
      <c r="K26" s="11"/>
    </row>
    <row r="27" spans="1:11" ht="16.5" thickBot="1" x14ac:dyDescent="0.3">
      <c r="A27" s="270"/>
      <c r="B27" s="254"/>
      <c r="C27" s="254"/>
      <c r="D27" s="254"/>
      <c r="E27" s="451"/>
      <c r="F27" s="451"/>
      <c r="G27" s="53"/>
      <c r="H27" s="29"/>
      <c r="K27" s="7"/>
    </row>
    <row r="28" spans="1:11" ht="15.6" customHeight="1" x14ac:dyDescent="0.2">
      <c r="A28" s="267">
        <v>43875</v>
      </c>
      <c r="B28" s="252">
        <v>0.4236111111111111</v>
      </c>
      <c r="C28" s="252">
        <v>0.49305555555555558</v>
      </c>
      <c r="D28" s="244">
        <f>(C28-B28)</f>
        <v>6.9444444444444475E-2</v>
      </c>
      <c r="E28" s="439" t="s">
        <v>61</v>
      </c>
      <c r="F28" s="439"/>
      <c r="G28" s="53"/>
      <c r="H28" s="29"/>
    </row>
    <row r="29" spans="1:11" ht="16.5" thickBot="1" x14ac:dyDescent="0.3">
      <c r="A29" s="271"/>
      <c r="B29" s="255"/>
      <c r="C29" s="255"/>
      <c r="D29" s="255"/>
      <c r="E29" s="440"/>
      <c r="F29" s="440"/>
      <c r="G29" s="53"/>
      <c r="H29" s="29"/>
    </row>
    <row r="30" spans="1:11" ht="12.75" customHeight="1" x14ac:dyDescent="0.2">
      <c r="A30" s="267">
        <v>43875</v>
      </c>
      <c r="B30" s="252">
        <v>0.51388888888888895</v>
      </c>
      <c r="C30" s="252">
        <v>0.54166666666666663</v>
      </c>
      <c r="D30" s="244">
        <f>(C30-B30)</f>
        <v>2.7777777777777679E-2</v>
      </c>
      <c r="E30" s="439" t="s">
        <v>62</v>
      </c>
      <c r="F30" s="439"/>
      <c r="G30" s="53"/>
      <c r="H30" s="29"/>
    </row>
    <row r="31" spans="1:11" ht="16.149999999999999" customHeight="1" thickBot="1" x14ac:dyDescent="0.3">
      <c r="A31" s="271"/>
      <c r="B31" s="255"/>
      <c r="C31" s="255"/>
      <c r="D31" s="255"/>
      <c r="E31" s="440"/>
      <c r="F31" s="440"/>
      <c r="G31" s="53"/>
      <c r="H31" s="29"/>
    </row>
    <row r="32" spans="1:11" ht="12.75" customHeight="1" x14ac:dyDescent="0.2">
      <c r="A32" s="272">
        <v>43875</v>
      </c>
      <c r="B32" s="256">
        <v>0.54166666666666663</v>
      </c>
      <c r="C32" s="256">
        <v>0.61111111111111105</v>
      </c>
      <c r="D32" s="257">
        <f>(C32-B32)</f>
        <v>6.944444444444442E-2</v>
      </c>
      <c r="E32" s="441" t="s">
        <v>63</v>
      </c>
      <c r="F32" s="441"/>
      <c r="G32" s="53"/>
      <c r="H32" s="29"/>
    </row>
    <row r="33" spans="1:8" ht="19.899999999999999" customHeight="1" thickBot="1" x14ac:dyDescent="0.3">
      <c r="A33" s="273"/>
      <c r="B33" s="258"/>
      <c r="C33" s="258"/>
      <c r="D33" s="258"/>
      <c r="E33" s="442"/>
      <c r="F33" s="442"/>
      <c r="G33" s="53"/>
      <c r="H33" s="29"/>
    </row>
    <row r="34" spans="1:8" ht="12.75" customHeight="1" x14ac:dyDescent="0.2">
      <c r="A34" s="272">
        <v>43876</v>
      </c>
      <c r="B34" s="256">
        <v>0.47916666666666669</v>
      </c>
      <c r="C34" s="256">
        <v>0.51041666666666663</v>
      </c>
      <c r="D34" s="257">
        <f>(C34-B34)</f>
        <v>3.1249999999999944E-2</v>
      </c>
      <c r="E34" s="441" t="s">
        <v>64</v>
      </c>
      <c r="F34" s="441"/>
      <c r="G34" s="53"/>
      <c r="H34" s="29"/>
    </row>
    <row r="35" spans="1:8" ht="20.45" customHeight="1" thickBot="1" x14ac:dyDescent="0.3">
      <c r="A35" s="273"/>
      <c r="B35" s="258"/>
      <c r="C35" s="258"/>
      <c r="D35" s="258"/>
      <c r="E35" s="442"/>
      <c r="F35" s="442"/>
      <c r="G35" s="53"/>
      <c r="H35" s="29"/>
    </row>
    <row r="36" spans="1:8" ht="13.5" customHeight="1" x14ac:dyDescent="0.2">
      <c r="A36" s="272">
        <v>43876</v>
      </c>
      <c r="B36" s="256">
        <v>0.5625</v>
      </c>
      <c r="C36" s="256">
        <v>0.58333333333333337</v>
      </c>
      <c r="D36" s="257">
        <f>(C36-B36)</f>
        <v>2.083333333333337E-2</v>
      </c>
      <c r="E36" s="441" t="s">
        <v>65</v>
      </c>
      <c r="F36" s="441"/>
      <c r="G36" s="53"/>
      <c r="H36" s="29"/>
    </row>
    <row r="37" spans="1:8" ht="21.6" customHeight="1" thickBot="1" x14ac:dyDescent="0.3">
      <c r="A37" s="273"/>
      <c r="B37" s="258"/>
      <c r="C37" s="258"/>
      <c r="D37" s="258"/>
      <c r="E37" s="442"/>
      <c r="F37" s="442"/>
      <c r="G37" s="53"/>
      <c r="H37" s="29"/>
    </row>
    <row r="38" spans="1:8" ht="15.6" customHeight="1" x14ac:dyDescent="0.2">
      <c r="A38" s="267">
        <v>43876</v>
      </c>
      <c r="B38" s="252">
        <v>0.58333333333333337</v>
      </c>
      <c r="C38" s="252">
        <v>0.67708333333333337</v>
      </c>
      <c r="D38" s="244">
        <f>(C38-B38)</f>
        <v>9.375E-2</v>
      </c>
      <c r="E38" s="439" t="s">
        <v>66</v>
      </c>
      <c r="F38" s="439"/>
      <c r="G38" s="53"/>
    </row>
    <row r="39" spans="1:8" ht="16.5" thickBot="1" x14ac:dyDescent="0.3">
      <c r="A39" s="271"/>
      <c r="B39" s="255"/>
      <c r="C39" s="255"/>
      <c r="D39" s="255"/>
      <c r="E39" s="440"/>
      <c r="F39" s="440"/>
      <c r="G39" s="53"/>
    </row>
    <row r="40" spans="1:8" ht="15.75" x14ac:dyDescent="0.2">
      <c r="A40" s="272">
        <v>43877</v>
      </c>
      <c r="B40" s="256">
        <v>0.75694444444444453</v>
      </c>
      <c r="C40" s="256">
        <v>0.8125</v>
      </c>
      <c r="D40" s="257">
        <f>(C40-B40)</f>
        <v>5.5555555555555469E-2</v>
      </c>
      <c r="E40" s="441" t="s">
        <v>67</v>
      </c>
      <c r="F40" s="441"/>
      <c r="G40" s="53"/>
    </row>
    <row r="41" spans="1:8" ht="16.5" thickBot="1" x14ac:dyDescent="0.3">
      <c r="A41" s="273"/>
      <c r="B41" s="258"/>
      <c r="C41" s="258"/>
      <c r="D41" s="258"/>
      <c r="E41" s="442"/>
      <c r="F41" s="442"/>
      <c r="G41" s="54"/>
    </row>
    <row r="42" spans="1:8" ht="217.9" customHeight="1" thickBot="1" x14ac:dyDescent="0.4">
      <c r="A42" s="28" t="s">
        <v>26</v>
      </c>
      <c r="B42" s="28"/>
      <c r="C42" s="27"/>
      <c r="D42" s="27"/>
      <c r="E42" s="27"/>
      <c r="F42" s="98"/>
      <c r="G42" s="98"/>
    </row>
    <row r="43" spans="1:8" ht="13.5" thickBot="1" x14ac:dyDescent="0.25">
      <c r="A43" s="5"/>
      <c r="B43" s="15"/>
      <c r="C43" s="16"/>
      <c r="D43" s="17"/>
      <c r="E43" s="18"/>
      <c r="F43" s="5"/>
      <c r="G43" s="5"/>
    </row>
    <row r="44" spans="1:8" ht="12.6" customHeight="1" x14ac:dyDescent="0.2">
      <c r="A44" s="430" t="s">
        <v>68</v>
      </c>
      <c r="B44" s="431"/>
      <c r="C44" s="431"/>
      <c r="D44" s="431"/>
      <c r="E44" s="431"/>
      <c r="F44" s="431"/>
      <c r="G44" s="432"/>
    </row>
    <row r="45" spans="1:8" ht="12.6" customHeight="1" x14ac:dyDescent="0.2">
      <c r="A45" s="433"/>
      <c r="B45" s="434"/>
      <c r="C45" s="434"/>
      <c r="D45" s="434"/>
      <c r="E45" s="434"/>
      <c r="F45" s="434"/>
      <c r="G45" s="435"/>
    </row>
    <row r="46" spans="1:8" ht="12.6" customHeight="1" x14ac:dyDescent="0.2">
      <c r="A46" s="433"/>
      <c r="B46" s="434"/>
      <c r="C46" s="434"/>
      <c r="D46" s="434"/>
      <c r="E46" s="434"/>
      <c r="F46" s="434"/>
      <c r="G46" s="435"/>
    </row>
    <row r="47" spans="1:8" ht="12.6" customHeight="1" x14ac:dyDescent="0.2">
      <c r="A47" s="433"/>
      <c r="B47" s="434"/>
      <c r="C47" s="434"/>
      <c r="D47" s="434"/>
      <c r="E47" s="434"/>
      <c r="F47" s="434"/>
      <c r="G47" s="435"/>
    </row>
    <row r="48" spans="1:8" ht="12.6" customHeight="1" x14ac:dyDescent="0.2">
      <c r="A48" s="433"/>
      <c r="B48" s="434"/>
      <c r="C48" s="434"/>
      <c r="D48" s="434"/>
      <c r="E48" s="434"/>
      <c r="F48" s="434"/>
      <c r="G48" s="435"/>
    </row>
    <row r="49" spans="1:7" ht="12.6" customHeight="1" x14ac:dyDescent="0.2">
      <c r="A49" s="433"/>
      <c r="B49" s="434"/>
      <c r="C49" s="434"/>
      <c r="D49" s="434"/>
      <c r="E49" s="434"/>
      <c r="F49" s="434"/>
      <c r="G49" s="435"/>
    </row>
    <row r="50" spans="1:7" ht="12.6" customHeight="1" x14ac:dyDescent="0.2">
      <c r="A50" s="433"/>
      <c r="B50" s="434"/>
      <c r="C50" s="434"/>
      <c r="D50" s="434"/>
      <c r="E50" s="434"/>
      <c r="F50" s="434"/>
      <c r="G50" s="435"/>
    </row>
    <row r="51" spans="1:7" ht="12.6" customHeight="1" x14ac:dyDescent="0.2">
      <c r="A51" s="433"/>
      <c r="B51" s="434"/>
      <c r="C51" s="434"/>
      <c r="D51" s="434"/>
      <c r="E51" s="434"/>
      <c r="F51" s="434"/>
      <c r="G51" s="435"/>
    </row>
    <row r="52" spans="1:7" ht="12.6" customHeight="1" x14ac:dyDescent="0.2">
      <c r="A52" s="433"/>
      <c r="B52" s="434"/>
      <c r="C52" s="434"/>
      <c r="D52" s="434"/>
      <c r="E52" s="434"/>
      <c r="F52" s="434"/>
      <c r="G52" s="435"/>
    </row>
    <row r="53" spans="1:7" ht="12.6" customHeight="1" x14ac:dyDescent="0.2">
      <c r="A53" s="433"/>
      <c r="B53" s="434"/>
      <c r="C53" s="434"/>
      <c r="D53" s="434"/>
      <c r="E53" s="434"/>
      <c r="F53" s="434"/>
      <c r="G53" s="435"/>
    </row>
    <row r="54" spans="1:7" ht="12.6" customHeight="1" x14ac:dyDescent="0.2">
      <c r="A54" s="433"/>
      <c r="B54" s="434"/>
      <c r="C54" s="434"/>
      <c r="D54" s="434"/>
      <c r="E54" s="434"/>
      <c r="F54" s="434"/>
      <c r="G54" s="435"/>
    </row>
    <row r="55" spans="1:7" ht="12.6" customHeight="1" x14ac:dyDescent="0.2">
      <c r="A55" s="433"/>
      <c r="B55" s="434"/>
      <c r="C55" s="434"/>
      <c r="D55" s="434"/>
      <c r="E55" s="434"/>
      <c r="F55" s="434"/>
      <c r="G55" s="435"/>
    </row>
    <row r="56" spans="1:7" ht="12.6" customHeight="1" x14ac:dyDescent="0.2">
      <c r="A56" s="433"/>
      <c r="B56" s="434"/>
      <c r="C56" s="434"/>
      <c r="D56" s="434"/>
      <c r="E56" s="434"/>
      <c r="F56" s="434"/>
      <c r="G56" s="435"/>
    </row>
    <row r="57" spans="1:7" ht="12.6" customHeight="1" x14ac:dyDescent="0.2">
      <c r="A57" s="433"/>
      <c r="B57" s="434"/>
      <c r="C57" s="434"/>
      <c r="D57" s="434"/>
      <c r="E57" s="434"/>
      <c r="F57" s="434"/>
      <c r="G57" s="435"/>
    </row>
    <row r="58" spans="1:7" ht="12.6" customHeight="1" x14ac:dyDescent="0.2">
      <c r="A58" s="433"/>
      <c r="B58" s="434"/>
      <c r="C58" s="434"/>
      <c r="D58" s="434"/>
      <c r="E58" s="434"/>
      <c r="F58" s="434"/>
      <c r="G58" s="435"/>
    </row>
    <row r="59" spans="1:7" ht="13.15" customHeight="1" x14ac:dyDescent="0.2">
      <c r="A59" s="433"/>
      <c r="B59" s="434"/>
      <c r="C59" s="434"/>
      <c r="D59" s="434"/>
      <c r="E59" s="434"/>
      <c r="F59" s="434"/>
      <c r="G59" s="435"/>
    </row>
    <row r="60" spans="1:7" ht="12.6" customHeight="1" x14ac:dyDescent="0.2">
      <c r="A60" s="433"/>
      <c r="B60" s="434"/>
      <c r="C60" s="434"/>
      <c r="D60" s="434"/>
      <c r="E60" s="434"/>
      <c r="F60" s="434"/>
      <c r="G60" s="435"/>
    </row>
    <row r="61" spans="1:7" ht="12.6" customHeight="1" x14ac:dyDescent="0.2">
      <c r="A61" s="433"/>
      <c r="B61" s="434"/>
      <c r="C61" s="434"/>
      <c r="D61" s="434"/>
      <c r="E61" s="434"/>
      <c r="F61" s="434"/>
      <c r="G61" s="435"/>
    </row>
    <row r="62" spans="1:7" ht="12.6" customHeight="1" x14ac:dyDescent="0.2">
      <c r="A62" s="433"/>
      <c r="B62" s="434"/>
      <c r="C62" s="434"/>
      <c r="D62" s="434"/>
      <c r="E62" s="434"/>
      <c r="F62" s="434"/>
      <c r="G62" s="435"/>
    </row>
    <row r="63" spans="1:7" ht="12.6" customHeight="1" x14ac:dyDescent="0.2">
      <c r="A63" s="433"/>
      <c r="B63" s="434"/>
      <c r="C63" s="434"/>
      <c r="D63" s="434"/>
      <c r="E63" s="434"/>
      <c r="F63" s="434"/>
      <c r="G63" s="435"/>
    </row>
    <row r="64" spans="1:7" ht="12.6" customHeight="1" x14ac:dyDescent="0.2">
      <c r="A64" s="433"/>
      <c r="B64" s="434"/>
      <c r="C64" s="434"/>
      <c r="D64" s="434"/>
      <c r="E64" s="434"/>
      <c r="F64" s="434"/>
      <c r="G64" s="435"/>
    </row>
    <row r="65" spans="1:16" ht="12.6" customHeight="1" x14ac:dyDescent="0.2">
      <c r="A65" s="433"/>
      <c r="B65" s="434"/>
      <c r="C65" s="434"/>
      <c r="D65" s="434"/>
      <c r="E65" s="434"/>
      <c r="F65" s="434"/>
      <c r="G65" s="435"/>
    </row>
    <row r="66" spans="1:16" ht="12.6" customHeight="1" x14ac:dyDescent="0.2">
      <c r="A66" s="433"/>
      <c r="B66" s="434"/>
      <c r="C66" s="434"/>
      <c r="D66" s="434"/>
      <c r="E66" s="434"/>
      <c r="F66" s="434"/>
      <c r="G66" s="435"/>
    </row>
    <row r="67" spans="1:16" ht="12.6" customHeight="1" x14ac:dyDescent="0.2">
      <c r="A67" s="433"/>
      <c r="B67" s="434"/>
      <c r="C67" s="434"/>
      <c r="D67" s="434"/>
      <c r="E67" s="434"/>
      <c r="F67" s="434"/>
      <c r="G67" s="435"/>
    </row>
    <row r="68" spans="1:16" ht="12.6" customHeight="1" x14ac:dyDescent="0.2">
      <c r="A68" s="433"/>
      <c r="B68" s="434"/>
      <c r="C68" s="434"/>
      <c r="D68" s="434"/>
      <c r="E68" s="434"/>
      <c r="F68" s="434"/>
      <c r="G68" s="435"/>
      <c r="J68" s="107"/>
      <c r="K68" s="275"/>
      <c r="L68" s="275"/>
      <c r="M68" s="275"/>
      <c r="N68" s="275"/>
      <c r="O68" s="275"/>
      <c r="P68" s="275"/>
    </row>
    <row r="69" spans="1:16" ht="13.15" customHeight="1" x14ac:dyDescent="0.2">
      <c r="A69" s="433"/>
      <c r="B69" s="434"/>
      <c r="C69" s="434"/>
      <c r="D69" s="434"/>
      <c r="E69" s="434"/>
      <c r="F69" s="434"/>
      <c r="G69" s="435"/>
      <c r="J69" s="275"/>
      <c r="K69" s="275"/>
      <c r="L69" s="275"/>
      <c r="M69" s="275"/>
      <c r="N69" s="275"/>
      <c r="O69" s="275"/>
      <c r="P69" s="275"/>
    </row>
    <row r="70" spans="1:16" ht="12.6" customHeight="1" x14ac:dyDescent="0.2">
      <c r="A70" s="433"/>
      <c r="B70" s="434"/>
      <c r="C70" s="434"/>
      <c r="D70" s="434"/>
      <c r="E70" s="434"/>
      <c r="F70" s="434"/>
      <c r="G70" s="435"/>
      <c r="J70" s="275"/>
      <c r="K70" s="275"/>
      <c r="L70" s="275"/>
      <c r="M70" s="275"/>
      <c r="N70" s="275"/>
      <c r="O70" s="275"/>
      <c r="P70" s="275"/>
    </row>
    <row r="71" spans="1:16" ht="12.6" customHeight="1" x14ac:dyDescent="0.2">
      <c r="A71" s="433"/>
      <c r="B71" s="434"/>
      <c r="C71" s="434"/>
      <c r="D71" s="434"/>
      <c r="E71" s="434"/>
      <c r="F71" s="434"/>
      <c r="G71" s="435"/>
      <c r="J71" s="275"/>
      <c r="K71" s="275"/>
      <c r="L71" s="275"/>
      <c r="M71" s="275"/>
      <c r="N71" s="275"/>
      <c r="O71" s="275"/>
      <c r="P71" s="275"/>
    </row>
    <row r="72" spans="1:16" ht="12.6" customHeight="1" x14ac:dyDescent="0.2">
      <c r="A72" s="433"/>
      <c r="B72" s="434"/>
      <c r="C72" s="434"/>
      <c r="D72" s="434"/>
      <c r="E72" s="434"/>
      <c r="F72" s="434"/>
      <c r="G72" s="435"/>
      <c r="J72" s="275"/>
      <c r="K72" s="275"/>
      <c r="L72" s="275"/>
      <c r="M72" s="275"/>
      <c r="N72" s="275"/>
      <c r="O72" s="275"/>
      <c r="P72" s="275"/>
    </row>
    <row r="73" spans="1:16" ht="12.6" customHeight="1" x14ac:dyDescent="0.2">
      <c r="A73" s="433"/>
      <c r="B73" s="434"/>
      <c r="C73" s="434"/>
      <c r="D73" s="434"/>
      <c r="E73" s="434"/>
      <c r="F73" s="434"/>
      <c r="G73" s="435"/>
      <c r="J73" s="275"/>
      <c r="K73" s="275"/>
      <c r="L73" s="275"/>
      <c r="M73" s="275"/>
      <c r="N73" s="275"/>
      <c r="O73" s="275"/>
      <c r="P73" s="275"/>
    </row>
    <row r="74" spans="1:16" ht="12.6" customHeight="1" x14ac:dyDescent="0.2">
      <c r="A74" s="433"/>
      <c r="B74" s="434"/>
      <c r="C74" s="434"/>
      <c r="D74" s="434"/>
      <c r="E74" s="434"/>
      <c r="F74" s="434"/>
      <c r="G74" s="435"/>
      <c r="J74" s="275"/>
      <c r="K74" s="275"/>
      <c r="L74" s="275"/>
      <c r="M74" s="275"/>
      <c r="N74" s="275"/>
      <c r="O74" s="275"/>
      <c r="P74" s="275"/>
    </row>
    <row r="75" spans="1:16" ht="12.6" customHeight="1" x14ac:dyDescent="0.2">
      <c r="A75" s="433"/>
      <c r="B75" s="434"/>
      <c r="C75" s="434"/>
      <c r="D75" s="434"/>
      <c r="E75" s="434"/>
      <c r="F75" s="434"/>
      <c r="G75" s="435"/>
      <c r="J75" s="275"/>
      <c r="K75" s="275"/>
      <c r="L75" s="275"/>
      <c r="M75" s="275"/>
      <c r="N75" s="275"/>
      <c r="O75" s="275"/>
      <c r="P75" s="275"/>
    </row>
    <row r="76" spans="1:16" ht="12.6" customHeight="1" x14ac:dyDescent="0.2">
      <c r="A76" s="433"/>
      <c r="B76" s="434"/>
      <c r="C76" s="434"/>
      <c r="D76" s="434"/>
      <c r="E76" s="434"/>
      <c r="F76" s="434"/>
      <c r="G76" s="435"/>
      <c r="J76" s="275"/>
      <c r="K76" s="275"/>
      <c r="L76" s="275"/>
      <c r="M76" s="275"/>
      <c r="N76" s="275"/>
      <c r="O76" s="275"/>
      <c r="P76" s="275"/>
    </row>
    <row r="77" spans="1:16" ht="12.6" customHeight="1" x14ac:dyDescent="0.2">
      <c r="A77" s="433"/>
      <c r="B77" s="434"/>
      <c r="C77" s="434"/>
      <c r="D77" s="434"/>
      <c r="E77" s="434"/>
      <c r="F77" s="434"/>
      <c r="G77" s="435"/>
      <c r="J77" s="275"/>
      <c r="K77" s="275"/>
      <c r="L77" s="275"/>
      <c r="M77" s="275"/>
      <c r="N77" s="275"/>
      <c r="O77" s="275"/>
      <c r="P77" s="275"/>
    </row>
    <row r="78" spans="1:16" ht="12.6" customHeight="1" thickBot="1" x14ac:dyDescent="0.25">
      <c r="A78" s="436"/>
      <c r="B78" s="437"/>
      <c r="C78" s="437"/>
      <c r="D78" s="437"/>
      <c r="E78" s="437"/>
      <c r="F78" s="437"/>
      <c r="G78" s="438"/>
      <c r="J78" s="275"/>
      <c r="K78" s="275"/>
      <c r="L78" s="275"/>
      <c r="M78" s="275"/>
      <c r="N78" s="275"/>
      <c r="O78" s="275"/>
      <c r="P78" s="275"/>
    </row>
    <row r="79" spans="1:16" ht="12.6" customHeight="1" x14ac:dyDescent="0.2">
      <c r="A79" s="234"/>
      <c r="B79" s="234"/>
      <c r="C79" s="234"/>
      <c r="D79" s="234"/>
      <c r="E79" s="234"/>
      <c r="F79" s="234"/>
      <c r="G79" s="234"/>
      <c r="J79" s="275"/>
      <c r="K79" s="275"/>
      <c r="L79" s="275"/>
      <c r="M79" s="275"/>
      <c r="N79" s="275"/>
      <c r="O79" s="275"/>
      <c r="P79" s="275"/>
    </row>
    <row r="80" spans="1:16" ht="12.6" customHeight="1" x14ac:dyDescent="0.2">
      <c r="A80" s="234"/>
      <c r="B80" s="234"/>
      <c r="C80" s="234"/>
      <c r="D80" s="234"/>
      <c r="E80" s="234"/>
      <c r="F80" s="234"/>
      <c r="G80" s="234"/>
      <c r="J80" s="275"/>
      <c r="K80" s="275"/>
      <c r="L80" s="275"/>
      <c r="M80" s="275"/>
      <c r="N80" s="275"/>
      <c r="O80" s="275"/>
      <c r="P80" s="275"/>
    </row>
    <row r="81" spans="1:16" ht="12.6" customHeight="1" x14ac:dyDescent="0.2">
      <c r="A81" s="234"/>
      <c r="B81" s="234"/>
      <c r="C81" s="234"/>
      <c r="D81" s="234"/>
      <c r="E81" s="234"/>
      <c r="F81" s="234"/>
      <c r="G81" s="234"/>
      <c r="J81" s="275"/>
      <c r="K81" s="275"/>
      <c r="L81" s="275"/>
      <c r="M81" s="275"/>
      <c r="N81" s="275"/>
      <c r="O81" s="275"/>
      <c r="P81" s="275"/>
    </row>
    <row r="82" spans="1:16" ht="12.6" customHeight="1" x14ac:dyDescent="0.2">
      <c r="A82" s="234"/>
      <c r="B82" s="234"/>
      <c r="C82" s="234"/>
      <c r="D82" s="234"/>
      <c r="E82" s="234"/>
      <c r="F82" s="234"/>
      <c r="G82" s="234"/>
    </row>
    <row r="83" spans="1:16" ht="13.15" customHeight="1" x14ac:dyDescent="0.2">
      <c r="A83" s="234"/>
      <c r="B83" s="234"/>
      <c r="C83" s="234"/>
      <c r="D83" s="234"/>
      <c r="E83" s="234"/>
      <c r="F83" s="234"/>
      <c r="G83" s="234"/>
    </row>
  </sheetData>
  <mergeCells count="21">
    <mergeCell ref="E24:F25"/>
    <mergeCell ref="E26:F27"/>
    <mergeCell ref="E14:F15"/>
    <mergeCell ref="E16:F17"/>
    <mergeCell ref="E18:F19"/>
    <mergeCell ref="E20:F21"/>
    <mergeCell ref="E22:F23"/>
    <mergeCell ref="J4:J5"/>
    <mergeCell ref="E10:F11"/>
    <mergeCell ref="E12:F13"/>
    <mergeCell ref="A1:D1"/>
    <mergeCell ref="A4:A5"/>
    <mergeCell ref="C4:C5"/>
    <mergeCell ref="A44:G78"/>
    <mergeCell ref="E38:F39"/>
    <mergeCell ref="E40:F41"/>
    <mergeCell ref="E28:F29"/>
    <mergeCell ref="E30:F31"/>
    <mergeCell ref="E32:F33"/>
    <mergeCell ref="E34:F35"/>
    <mergeCell ref="E36:F37"/>
  </mergeCells>
  <conditionalFormatting sqref="I19 H20:I20 I21 H24">
    <cfRule type="expression" dxfId="68" priority="6">
      <formula>ISNUMBER(SEARCH(TEXT(#REF!,"ddd"),#REF!))</formula>
    </cfRule>
  </conditionalFormatting>
  <conditionalFormatting sqref="A16:D16 A18:C18 A10:D10 A12:D12">
    <cfRule type="expression" dxfId="67" priority="7">
      <formula>ISNUMBER(SEARCH(TEXT(#REF!,"ddd"),#REF!))</formula>
    </cfRule>
  </conditionalFormatting>
  <conditionalFormatting sqref="K19:K24">
    <cfRule type="expression" dxfId="66" priority="8">
      <formula>ISNUMBER(SEARCH(TEXT(#REF!,"ddd"),#REF!))</formula>
    </cfRule>
  </conditionalFormatting>
  <conditionalFormatting sqref="D14">
    <cfRule type="expression" dxfId="65" priority="4">
      <formula>ISNUMBER(SEARCH(TEXT(#REF!,"ddd"),#REF!))</formula>
    </cfRule>
  </conditionalFormatting>
  <conditionalFormatting sqref="A14:C14">
    <cfRule type="expression" dxfId="64" priority="1">
      <formula>ISNUMBER(SEARCH(TEXT(#REF!,"ddd"),#REF!))</formula>
    </cfRule>
  </conditionalFormatting>
  <dataValidations count="2">
    <dataValidation type="custom" allowBlank="1" showInputMessage="1" showErrorMessage="1" sqref="C10" xr:uid="{B08E83F1-F3EC-4D50-A465-F4AFD32B8FAA}">
      <formula1>AND($C10&lt;=1,ISNUMBER($C10),($C10&gt;=$B10))</formula1>
    </dataValidation>
    <dataValidation type="custom" allowBlank="1" showInputMessage="1" showErrorMessage="1" sqref="B12:C12 B10 B14:C14 B18:C18 B16:C16" xr:uid="{E6F21D07-3602-4DC6-A35D-A35634055345}">
      <formula1>AND($B10&lt;=1,ISNUMBER($B10))</formula1>
    </dataValidation>
  </dataValidations>
  <pageMargins left="0.23622047244094491" right="0.23622047244094491" top="0.74803149606299213" bottom="0.74803149606299213" header="0.31496062992125984" footer="0.31496062992125984"/>
  <pageSetup paperSize="9" scale="85" fitToHeight="0"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15462-A22A-42E0-961A-F2FBFFC19F3A}">
  <sheetPr codeName="Sheet13"/>
  <dimension ref="A1:P135"/>
  <sheetViews>
    <sheetView showGridLines="0" zoomScaleNormal="100" workbookViewId="0">
      <selection activeCell="C7" sqref="C7"/>
    </sheetView>
  </sheetViews>
  <sheetFormatPr baseColWidth="10" defaultColWidth="9" defaultRowHeight="12.75" x14ac:dyDescent="0.2"/>
  <cols>
    <col min="1" max="1" width="14.125" customWidth="1"/>
    <col min="2" max="2" width="8.875" customWidth="1"/>
    <col min="3" max="3" width="12.875" customWidth="1"/>
    <col min="4" max="4" width="9.37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3" ht="27" thickTop="1" x14ac:dyDescent="0.4">
      <c r="A1" s="419" t="s">
        <v>49</v>
      </c>
      <c r="B1" s="419"/>
      <c r="C1" s="419"/>
      <c r="D1" s="419"/>
      <c r="E1" s="45">
        <f>WEEKNUM(A10)</f>
        <v>8</v>
      </c>
      <c r="F1" s="46"/>
      <c r="G1" s="47"/>
      <c r="H1" s="26"/>
      <c r="J1" s="1"/>
    </row>
    <row r="2" spans="1:13" s="1" customFormat="1" ht="14.25" customHeight="1" x14ac:dyDescent="0.25">
      <c r="A2" s="38" t="s">
        <v>1</v>
      </c>
      <c r="B2" s="38"/>
      <c r="C2" s="38" t="s">
        <v>2</v>
      </c>
      <c r="D2" s="38"/>
      <c r="E2" s="250" t="s">
        <v>3</v>
      </c>
      <c r="F2" s="44" t="s">
        <v>4</v>
      </c>
      <c r="G2" s="44" t="s">
        <v>29</v>
      </c>
      <c r="H2" s="20"/>
      <c r="I2" s="13"/>
      <c r="J2" s="6"/>
      <c r="K2" s="1" t="s">
        <v>69</v>
      </c>
    </row>
    <row r="3" spans="1:13" ht="16.5" thickBot="1" x14ac:dyDescent="0.25">
      <c r="A3" s="274">
        <f>A10</f>
        <v>43878</v>
      </c>
      <c r="B3" s="382"/>
      <c r="C3" s="274">
        <f>A44</f>
        <v>43883</v>
      </c>
      <c r="D3" s="382"/>
      <c r="E3" s="249" t="s">
        <v>6</v>
      </c>
      <c r="F3" s="261">
        <f>Sumcolor(E3,D10:D42)</f>
        <v>0.18055555555555547</v>
      </c>
      <c r="G3" s="259">
        <f>SUM(Først:Sist!F3)</f>
        <v>0.93402777777777768</v>
      </c>
      <c r="H3" s="22"/>
      <c r="I3" s="7"/>
      <c r="J3" s="7"/>
      <c r="K3" t="s">
        <v>70</v>
      </c>
    </row>
    <row r="4" spans="1:13" ht="15" customHeight="1" x14ac:dyDescent="0.2">
      <c r="A4" s="420" t="s">
        <v>50</v>
      </c>
      <c r="B4" s="383"/>
      <c r="C4" s="420" t="s">
        <v>51</v>
      </c>
      <c r="D4" s="384"/>
      <c r="E4" s="246" t="s">
        <v>9</v>
      </c>
      <c r="F4" s="261">
        <f>Sumcolor(E4,D10:D42)</f>
        <v>0.57986111111111116</v>
      </c>
      <c r="G4" s="259">
        <f>SUM(Først:Sist!F4)</f>
        <v>6.5486111111111125</v>
      </c>
      <c r="H4" s="22"/>
      <c r="I4" s="7"/>
      <c r="J4" s="399"/>
    </row>
    <row r="5" spans="1:13" ht="16.5" customHeight="1" x14ac:dyDescent="0.2">
      <c r="A5" s="447"/>
      <c r="B5" s="384"/>
      <c r="C5" s="421"/>
      <c r="D5" s="384"/>
      <c r="E5" s="247" t="s">
        <v>10</v>
      </c>
      <c r="F5" s="261">
        <f>Sumcolor(E5,D10:D42)</f>
        <v>2.4305555555555469E-2</v>
      </c>
      <c r="G5" s="259">
        <f>SUM(Først:Sist!F5)</f>
        <v>1.3368055555555545</v>
      </c>
      <c r="H5" s="22"/>
      <c r="I5" s="7"/>
      <c r="J5" s="399"/>
      <c r="K5" t="s">
        <v>71</v>
      </c>
    </row>
    <row r="6" spans="1:13" ht="18.75" customHeight="1" thickBot="1" x14ac:dyDescent="0.25">
      <c r="A6" s="39">
        <f>SUM(D10:D46)</f>
        <v>0.85069444444444453</v>
      </c>
      <c r="B6" s="40"/>
      <c r="C6" s="240">
        <f>SUM('Først:Uke8'!A6)</f>
        <v>2.6631944444444442</v>
      </c>
      <c r="D6" s="42"/>
      <c r="E6" s="248" t="s">
        <v>11</v>
      </c>
      <c r="F6" s="260">
        <f>Sumcolor(E6,D10:D46)</f>
        <v>6.597222222222221E-2</v>
      </c>
      <c r="G6" s="260">
        <f>SUM(Først:Sist!F6)</f>
        <v>2.4791666666666661</v>
      </c>
      <c r="H6" s="22"/>
      <c r="I6" s="7"/>
      <c r="J6" s="7"/>
      <c r="K6" t="s">
        <v>72</v>
      </c>
    </row>
    <row r="7" spans="1:13" ht="12.75" customHeight="1" x14ac:dyDescent="0.2">
      <c r="A7" s="19"/>
      <c r="B7" s="23"/>
      <c r="C7" s="24"/>
      <c r="D7" s="14"/>
      <c r="E7" s="23"/>
      <c r="F7" s="23"/>
      <c r="G7" s="25"/>
      <c r="H7" s="25"/>
    </row>
    <row r="8" spans="1:13" x14ac:dyDescent="0.2">
      <c r="A8" s="23"/>
      <c r="B8" s="25"/>
      <c r="C8" s="14"/>
      <c r="D8" s="25"/>
      <c r="E8" s="23"/>
      <c r="F8" s="23"/>
      <c r="G8" s="25"/>
      <c r="H8" s="25"/>
      <c r="K8" t="s">
        <v>73</v>
      </c>
    </row>
    <row r="9" spans="1:13" ht="16.5" thickBot="1" x14ac:dyDescent="0.3">
      <c r="A9" s="30" t="s">
        <v>15</v>
      </c>
      <c r="B9" s="30" t="s">
        <v>18</v>
      </c>
      <c r="C9" s="30" t="s">
        <v>19</v>
      </c>
      <c r="D9" s="30" t="s">
        <v>20</v>
      </c>
      <c r="E9" s="30" t="s">
        <v>21</v>
      </c>
      <c r="G9" s="30" t="s">
        <v>42</v>
      </c>
      <c r="H9" s="25"/>
      <c r="K9" t="s">
        <v>74</v>
      </c>
    </row>
    <row r="10" spans="1:13" ht="15.6" customHeight="1" x14ac:dyDescent="0.2">
      <c r="A10" s="276">
        <v>43878</v>
      </c>
      <c r="B10" s="277">
        <v>0.5</v>
      </c>
      <c r="C10" s="277">
        <v>0.58333333333333337</v>
      </c>
      <c r="D10" s="277">
        <f t="shared" ref="D10" si="0">(C10-B10)</f>
        <v>8.333333333333337E-2</v>
      </c>
      <c r="E10" s="462" t="s">
        <v>75</v>
      </c>
      <c r="F10" s="462"/>
      <c r="G10" s="458">
        <v>2</v>
      </c>
      <c r="H10" s="25"/>
    </row>
    <row r="11" spans="1:13" ht="18" customHeight="1" thickBot="1" x14ac:dyDescent="0.3">
      <c r="A11" s="278"/>
      <c r="B11" s="279"/>
      <c r="C11" s="279"/>
      <c r="D11" s="279"/>
      <c r="E11" s="463"/>
      <c r="F11" s="463"/>
      <c r="G11" s="459"/>
      <c r="H11" s="25"/>
      <c r="K11" t="s">
        <v>76</v>
      </c>
    </row>
    <row r="12" spans="1:13" ht="17.25" customHeight="1" x14ac:dyDescent="0.2">
      <c r="A12" s="264">
        <v>43878</v>
      </c>
      <c r="B12" s="241">
        <v>0.58680555555555558</v>
      </c>
      <c r="C12" s="241">
        <v>0.60069444444444442</v>
      </c>
      <c r="D12" s="242">
        <f>(C12-B12)</f>
        <v>1.388888888888884E-2</v>
      </c>
      <c r="E12" s="445" t="s">
        <v>77</v>
      </c>
      <c r="F12" s="445"/>
      <c r="G12" s="458"/>
      <c r="K12" t="s">
        <v>78</v>
      </c>
    </row>
    <row r="13" spans="1:13" ht="15.6" customHeight="1" thickBot="1" x14ac:dyDescent="0.25">
      <c r="A13" s="265"/>
      <c r="B13" s="243"/>
      <c r="C13" s="243"/>
      <c r="D13" s="243"/>
      <c r="E13" s="446"/>
      <c r="F13" s="446"/>
      <c r="G13" s="459"/>
    </row>
    <row r="14" spans="1:13" ht="15.75" customHeight="1" x14ac:dyDescent="0.2">
      <c r="A14" s="296">
        <v>43878</v>
      </c>
      <c r="B14" s="297">
        <v>0.60069444444444442</v>
      </c>
      <c r="C14" s="297">
        <v>0.64583333333333337</v>
      </c>
      <c r="D14" s="298">
        <f>(C14-B14)</f>
        <v>4.5138888888888951E-2</v>
      </c>
      <c r="E14" s="474" t="s">
        <v>79</v>
      </c>
      <c r="F14" s="474"/>
      <c r="G14" s="460"/>
    </row>
    <row r="15" spans="1:13" ht="16.5" customHeight="1" thickBot="1" x14ac:dyDescent="0.25">
      <c r="A15" s="299"/>
      <c r="B15" s="300"/>
      <c r="C15" s="300"/>
      <c r="D15" s="300"/>
      <c r="E15" s="475"/>
      <c r="F15" s="475"/>
      <c r="G15" s="461"/>
      <c r="K15" s="302">
        <v>0.3611111111111111</v>
      </c>
      <c r="M15" s="301">
        <f>SUM(K15:K21)/7</f>
        <v>0.38740079365079366</v>
      </c>
    </row>
    <row r="16" spans="1:13" ht="15.6" customHeight="1" x14ac:dyDescent="0.25">
      <c r="A16" s="280">
        <v>43878</v>
      </c>
      <c r="B16" s="281">
        <v>0.69444444444444453</v>
      </c>
      <c r="C16" s="281">
        <v>0.71180555555555547</v>
      </c>
      <c r="D16" s="277">
        <f>(C16-B16)</f>
        <v>1.7361111111110938E-2</v>
      </c>
      <c r="E16" s="462" t="s">
        <v>75</v>
      </c>
      <c r="F16" s="462"/>
      <c r="G16" s="458">
        <v>2</v>
      </c>
      <c r="K16" s="302">
        <v>0.22569444444444445</v>
      </c>
    </row>
    <row r="17" spans="1:11" ht="16.149999999999999" customHeight="1" thickBot="1" x14ac:dyDescent="0.3">
      <c r="A17" s="278"/>
      <c r="B17" s="279"/>
      <c r="C17" s="279"/>
      <c r="D17" s="279"/>
      <c r="E17" s="463"/>
      <c r="F17" s="463"/>
      <c r="G17" s="459"/>
      <c r="K17" s="302">
        <v>0.52777777777777779</v>
      </c>
    </row>
    <row r="18" spans="1:11" ht="15.6" customHeight="1" x14ac:dyDescent="0.2">
      <c r="A18" s="276">
        <v>43879</v>
      </c>
      <c r="B18" s="277">
        <v>0.3263888888888889</v>
      </c>
      <c r="C18" s="277">
        <v>0.37152777777777773</v>
      </c>
      <c r="D18" s="277">
        <f>(C18-B18)</f>
        <v>4.513888888888884E-2</v>
      </c>
      <c r="E18" s="462" t="s">
        <v>80</v>
      </c>
      <c r="F18" s="464"/>
      <c r="G18" s="458">
        <v>2</v>
      </c>
      <c r="K18" s="302">
        <v>0.85069444444444453</v>
      </c>
    </row>
    <row r="19" spans="1:11" ht="12" customHeight="1" thickBot="1" x14ac:dyDescent="0.3">
      <c r="A19" s="278"/>
      <c r="B19" s="279"/>
      <c r="C19" s="279"/>
      <c r="D19" s="279"/>
      <c r="E19" s="463"/>
      <c r="F19" s="465"/>
      <c r="G19" s="459"/>
      <c r="I19" s="8"/>
      <c r="K19" s="303">
        <v>0.74652777777777779</v>
      </c>
    </row>
    <row r="20" spans="1:11" ht="15.75" customHeight="1" x14ac:dyDescent="0.2">
      <c r="A20" s="282">
        <v>43879</v>
      </c>
      <c r="B20" s="283">
        <v>0.375</v>
      </c>
      <c r="C20" s="283">
        <v>0.4375</v>
      </c>
      <c r="D20" s="283">
        <f>(C20-B20)</f>
        <v>6.25E-2</v>
      </c>
      <c r="E20" s="466" t="s">
        <v>81</v>
      </c>
      <c r="F20" s="467"/>
      <c r="G20" s="460"/>
      <c r="H20" s="8"/>
      <c r="I20" s="8"/>
      <c r="K20" s="303">
        <v>0</v>
      </c>
    </row>
    <row r="21" spans="1:11" ht="15.75" customHeight="1" thickBot="1" x14ac:dyDescent="0.25">
      <c r="A21" s="284"/>
      <c r="B21" s="285"/>
      <c r="C21" s="285"/>
      <c r="D21" s="285"/>
      <c r="E21" s="468"/>
      <c r="F21" s="469"/>
      <c r="G21" s="461"/>
      <c r="I21" s="8"/>
      <c r="K21" s="304">
        <v>0</v>
      </c>
    </row>
    <row r="22" spans="1:11" ht="15.6" customHeight="1" x14ac:dyDescent="0.2">
      <c r="A22" s="272">
        <v>43880</v>
      </c>
      <c r="B22" s="256">
        <v>0.51041666666666663</v>
      </c>
      <c r="C22" s="256">
        <v>0.52777777777777779</v>
      </c>
      <c r="D22" s="257">
        <f>(C22-B22)</f>
        <v>1.736111111111116E-2</v>
      </c>
      <c r="E22" s="470" t="s">
        <v>82</v>
      </c>
      <c r="F22" s="471"/>
      <c r="G22" s="460"/>
      <c r="I22" s="9"/>
      <c r="K22" s="8"/>
    </row>
    <row r="23" spans="1:11" ht="15.75" thickBot="1" x14ac:dyDescent="0.3">
      <c r="A23" s="291"/>
      <c r="B23" s="292"/>
      <c r="C23" s="292"/>
      <c r="D23" s="292"/>
      <c r="E23" s="472"/>
      <c r="F23" s="473"/>
      <c r="G23" s="461"/>
      <c r="I23" s="10"/>
      <c r="K23" s="8"/>
    </row>
    <row r="24" spans="1:11" ht="15.75" customHeight="1" x14ac:dyDescent="0.2">
      <c r="A24" s="276">
        <v>43880</v>
      </c>
      <c r="B24" s="286">
        <v>0.54166666666666663</v>
      </c>
      <c r="C24" s="286">
        <v>0.57291666666666663</v>
      </c>
      <c r="D24" s="277">
        <f>(C24-B24)</f>
        <v>3.125E-2</v>
      </c>
      <c r="E24" s="462" t="s">
        <v>83</v>
      </c>
      <c r="F24" s="464"/>
      <c r="G24" s="460"/>
      <c r="H24" s="8"/>
      <c r="K24" s="8"/>
    </row>
    <row r="25" spans="1:11" ht="13.15" customHeight="1" thickBot="1" x14ac:dyDescent="0.3">
      <c r="A25" s="289"/>
      <c r="B25" s="290"/>
      <c r="C25" s="290"/>
      <c r="D25" s="290"/>
      <c r="E25" s="463"/>
      <c r="F25" s="465"/>
      <c r="G25" s="461"/>
      <c r="H25" s="9"/>
      <c r="K25" s="9"/>
    </row>
    <row r="26" spans="1:11" ht="15.6" customHeight="1" x14ac:dyDescent="0.2">
      <c r="A26" s="267">
        <v>43881</v>
      </c>
      <c r="B26" s="252">
        <v>0.41666666666666669</v>
      </c>
      <c r="C26" s="252">
        <v>0.42708333333333331</v>
      </c>
      <c r="D26" s="244">
        <f>(C26-B26)</f>
        <v>1.041666666666663E-2</v>
      </c>
      <c r="E26" s="448" t="s">
        <v>84</v>
      </c>
      <c r="F26" s="476"/>
      <c r="G26" s="460"/>
      <c r="H26" s="10"/>
      <c r="K26" s="11"/>
    </row>
    <row r="27" spans="1:11" ht="16.5" thickBot="1" x14ac:dyDescent="0.3">
      <c r="A27" s="269"/>
      <c r="B27" s="253"/>
      <c r="C27" s="253"/>
      <c r="D27" s="253"/>
      <c r="E27" s="449"/>
      <c r="F27" s="477"/>
      <c r="G27" s="461"/>
      <c r="H27" s="29"/>
      <c r="K27" s="7"/>
    </row>
    <row r="28" spans="1:11" ht="15.6" customHeight="1" x14ac:dyDescent="0.2">
      <c r="A28" s="276">
        <v>43881</v>
      </c>
      <c r="B28" s="286">
        <v>0.42708333333333331</v>
      </c>
      <c r="C28" s="286">
        <v>0.5</v>
      </c>
      <c r="D28" s="277">
        <f>(C28-B28)</f>
        <v>7.2916666666666685E-2</v>
      </c>
      <c r="E28" s="462" t="s">
        <v>85</v>
      </c>
      <c r="F28" s="464"/>
      <c r="G28" s="460"/>
      <c r="H28" s="29"/>
    </row>
    <row r="29" spans="1:11" ht="16.5" thickBot="1" x14ac:dyDescent="0.3">
      <c r="A29" s="287"/>
      <c r="B29" s="288"/>
      <c r="C29" s="288"/>
      <c r="D29" s="288"/>
      <c r="E29" s="463"/>
      <c r="F29" s="465"/>
      <c r="G29" s="461"/>
      <c r="H29" s="29"/>
    </row>
    <row r="30" spans="1:11" ht="12.75" customHeight="1" x14ac:dyDescent="0.2">
      <c r="A30" s="282">
        <v>43881</v>
      </c>
      <c r="B30" s="293">
        <v>0.5625</v>
      </c>
      <c r="C30" s="293">
        <v>0.68055555555555547</v>
      </c>
      <c r="D30" s="283">
        <f>(C30-B30)</f>
        <v>0.11805555555555547</v>
      </c>
      <c r="E30" s="466" t="s">
        <v>86</v>
      </c>
      <c r="F30" s="467"/>
      <c r="G30" s="460"/>
      <c r="H30" s="29"/>
    </row>
    <row r="31" spans="1:11" ht="18" customHeight="1" thickBot="1" x14ac:dyDescent="0.3">
      <c r="A31" s="294"/>
      <c r="B31" s="295"/>
      <c r="C31" s="295"/>
      <c r="D31" s="295"/>
      <c r="E31" s="468"/>
      <c r="F31" s="469"/>
      <c r="G31" s="461"/>
      <c r="H31" s="29"/>
    </row>
    <row r="32" spans="1:11" ht="12.75" customHeight="1" x14ac:dyDescent="0.2">
      <c r="A32" s="276">
        <v>43882</v>
      </c>
      <c r="B32" s="286">
        <v>0.39583333333333331</v>
      </c>
      <c r="C32" s="286">
        <v>0.43055555555555558</v>
      </c>
      <c r="D32" s="277">
        <f>(C32-B32)</f>
        <v>3.4722222222222265E-2</v>
      </c>
      <c r="E32" s="462" t="s">
        <v>87</v>
      </c>
      <c r="F32" s="464"/>
      <c r="G32" s="460"/>
      <c r="H32" s="29"/>
    </row>
    <row r="33" spans="1:8" ht="19.899999999999999" customHeight="1" thickBot="1" x14ac:dyDescent="0.3">
      <c r="A33" s="287"/>
      <c r="B33" s="288"/>
      <c r="C33" s="288"/>
      <c r="D33" s="288"/>
      <c r="E33" s="463"/>
      <c r="F33" s="465"/>
      <c r="G33" s="461"/>
      <c r="H33" s="29"/>
    </row>
    <row r="34" spans="1:8" ht="12.75" customHeight="1" x14ac:dyDescent="0.2">
      <c r="A34" s="276">
        <v>43882</v>
      </c>
      <c r="B34" s="286">
        <v>0.43055555555555558</v>
      </c>
      <c r="C34" s="286">
        <v>0.4861111111111111</v>
      </c>
      <c r="D34" s="277">
        <f>(C34-B34)</f>
        <v>5.5555555555555525E-2</v>
      </c>
      <c r="E34" s="462" t="s">
        <v>88</v>
      </c>
      <c r="F34" s="464"/>
      <c r="G34" s="458">
        <v>3</v>
      </c>
      <c r="H34" s="29"/>
    </row>
    <row r="35" spans="1:8" ht="20.45" customHeight="1" thickBot="1" x14ac:dyDescent="0.3">
      <c r="A35" s="287"/>
      <c r="B35" s="288"/>
      <c r="C35" s="288"/>
      <c r="D35" s="288"/>
      <c r="E35" s="463"/>
      <c r="F35" s="465"/>
      <c r="G35" s="459"/>
      <c r="H35" s="29"/>
    </row>
    <row r="36" spans="1:8" ht="13.5" customHeight="1" x14ac:dyDescent="0.2">
      <c r="A36" s="276">
        <v>43882</v>
      </c>
      <c r="B36" s="286">
        <v>0.53125</v>
      </c>
      <c r="C36" s="286">
        <v>0.55208333333333337</v>
      </c>
      <c r="D36" s="277">
        <f>(C36-B36)</f>
        <v>2.083333333333337E-2</v>
      </c>
      <c r="E36" s="462" t="s">
        <v>89</v>
      </c>
      <c r="F36" s="464"/>
      <c r="G36" s="458">
        <v>3</v>
      </c>
      <c r="H36" s="29"/>
    </row>
    <row r="37" spans="1:8" ht="21" customHeight="1" thickBot="1" x14ac:dyDescent="0.3">
      <c r="A37" s="287"/>
      <c r="B37" s="288"/>
      <c r="C37" s="288"/>
      <c r="D37" s="288"/>
      <c r="E37" s="463"/>
      <c r="F37" s="465"/>
      <c r="G37" s="459"/>
      <c r="H37" s="29"/>
    </row>
    <row r="38" spans="1:8" ht="15" customHeight="1" x14ac:dyDescent="0.2">
      <c r="A38" s="276">
        <v>43882</v>
      </c>
      <c r="B38" s="286">
        <v>0.59722222222222221</v>
      </c>
      <c r="C38" s="286">
        <v>0.64583333333333337</v>
      </c>
      <c r="D38" s="277">
        <f>(C38-B38)</f>
        <v>4.861111111111116E-2</v>
      </c>
      <c r="E38" s="452" t="s">
        <v>90</v>
      </c>
      <c r="F38" s="453"/>
      <c r="G38" s="458">
        <v>3</v>
      </c>
    </row>
    <row r="39" spans="1:8" ht="16.5" thickBot="1" x14ac:dyDescent="0.3">
      <c r="A39" s="287"/>
      <c r="B39" s="288"/>
      <c r="C39" s="288"/>
      <c r="D39" s="288"/>
      <c r="E39" s="454"/>
      <c r="F39" s="455"/>
      <c r="G39" s="459"/>
    </row>
    <row r="40" spans="1:8" ht="15.75" x14ac:dyDescent="0.2">
      <c r="A40" s="276">
        <v>43882</v>
      </c>
      <c r="B40" s="286">
        <v>0.71180555555555547</v>
      </c>
      <c r="C40" s="286">
        <v>0.74305555555555547</v>
      </c>
      <c r="D40" s="277">
        <f>(C40-B40)</f>
        <v>3.125E-2</v>
      </c>
      <c r="E40" s="452" t="s">
        <v>91</v>
      </c>
      <c r="F40" s="453"/>
      <c r="G40" s="458">
        <v>3</v>
      </c>
    </row>
    <row r="41" spans="1:8" ht="16.5" thickBot="1" x14ac:dyDescent="0.3">
      <c r="A41" s="287"/>
      <c r="B41" s="288"/>
      <c r="C41" s="288"/>
      <c r="D41" s="288"/>
      <c r="E41" s="454"/>
      <c r="F41" s="455"/>
      <c r="G41" s="459"/>
    </row>
    <row r="42" spans="1:8" ht="15.75" x14ac:dyDescent="0.2">
      <c r="A42" s="276">
        <v>43883</v>
      </c>
      <c r="B42" s="286">
        <v>0.42708333333333331</v>
      </c>
      <c r="C42" s="286">
        <v>0.52083333333333337</v>
      </c>
      <c r="D42" s="277">
        <f>(C42-B42)</f>
        <v>9.3750000000000056E-2</v>
      </c>
      <c r="E42" s="452" t="s">
        <v>92</v>
      </c>
      <c r="F42" s="453"/>
      <c r="G42" s="458">
        <v>3</v>
      </c>
    </row>
    <row r="43" spans="1:8" ht="16.5" thickBot="1" x14ac:dyDescent="0.3">
      <c r="A43" s="287"/>
      <c r="B43" s="288"/>
      <c r="C43" s="288"/>
      <c r="D43" s="288"/>
      <c r="E43" s="454"/>
      <c r="F43" s="455"/>
      <c r="G43" s="459"/>
    </row>
    <row r="44" spans="1:8" ht="15.75" x14ac:dyDescent="0.2">
      <c r="A44" s="272">
        <v>43883</v>
      </c>
      <c r="B44" s="256">
        <v>0.76041666666666663</v>
      </c>
      <c r="C44" s="256">
        <v>0.78472222222222221</v>
      </c>
      <c r="D44" s="257">
        <f>(C44-B44)</f>
        <v>2.430555555555558E-2</v>
      </c>
      <c r="E44" s="441" t="s">
        <v>93</v>
      </c>
      <c r="F44" s="456"/>
      <c r="G44" s="458"/>
    </row>
    <row r="45" spans="1:8" ht="16.5" thickBot="1" x14ac:dyDescent="0.3">
      <c r="A45" s="273"/>
      <c r="B45" s="258"/>
      <c r="C45" s="258"/>
      <c r="D45" s="258"/>
      <c r="E45" s="442"/>
      <c r="F45" s="457"/>
      <c r="G45" s="459"/>
    </row>
    <row r="46" spans="1:8" ht="15.75" x14ac:dyDescent="0.2">
      <c r="A46" s="272">
        <v>43884</v>
      </c>
      <c r="B46" s="256">
        <v>0.89583333333333337</v>
      </c>
      <c r="C46" s="256">
        <v>0.92013888888888884</v>
      </c>
      <c r="D46" s="257">
        <f>(C46-B46)</f>
        <v>2.4305555555555469E-2</v>
      </c>
      <c r="E46" s="441" t="s">
        <v>94</v>
      </c>
      <c r="F46" s="456"/>
      <c r="G46" s="458"/>
    </row>
    <row r="47" spans="1:8" ht="16.5" thickBot="1" x14ac:dyDescent="0.3">
      <c r="A47" s="273"/>
      <c r="B47" s="258"/>
      <c r="C47" s="258"/>
      <c r="D47" s="258"/>
      <c r="E47" s="442"/>
      <c r="F47" s="457"/>
      <c r="G47" s="459"/>
    </row>
    <row r="48" spans="1:8" ht="12.6" customHeight="1" x14ac:dyDescent="0.2">
      <c r="A48" s="5"/>
      <c r="B48" s="15"/>
      <c r="C48" s="16"/>
      <c r="D48" s="17"/>
      <c r="E48" s="18"/>
      <c r="F48" s="5"/>
      <c r="G48" s="5"/>
    </row>
    <row r="49" spans="1:7" ht="12.6" customHeight="1" x14ac:dyDescent="0.2">
      <c r="A49" s="234"/>
      <c r="B49" s="234"/>
      <c r="C49" s="234"/>
      <c r="D49" s="234"/>
      <c r="E49" s="234"/>
      <c r="F49" s="234"/>
      <c r="G49" s="234"/>
    </row>
    <row r="50" spans="1:7" ht="12.6" customHeight="1" x14ac:dyDescent="0.2">
      <c r="A50" s="234"/>
      <c r="B50" s="234"/>
      <c r="C50" s="234"/>
      <c r="D50" s="234"/>
      <c r="E50" s="234"/>
      <c r="F50" s="234"/>
      <c r="G50" s="234"/>
    </row>
    <row r="51" spans="1:7" ht="12.6" customHeight="1" x14ac:dyDescent="0.2">
      <c r="A51" s="234"/>
      <c r="B51" s="234"/>
      <c r="C51" s="234"/>
      <c r="D51" s="234"/>
      <c r="E51" s="234"/>
      <c r="F51" s="234"/>
      <c r="G51" s="234"/>
    </row>
    <row r="52" spans="1:7" ht="12.6" customHeight="1" x14ac:dyDescent="0.2">
      <c r="A52" s="234"/>
      <c r="B52" s="234"/>
      <c r="C52" s="234"/>
      <c r="D52" s="234"/>
      <c r="E52" s="234"/>
      <c r="F52" s="234"/>
      <c r="G52" s="234"/>
    </row>
    <row r="53" spans="1:7" ht="12.6" customHeight="1" x14ac:dyDescent="0.2">
      <c r="A53" s="234"/>
      <c r="B53" s="234"/>
      <c r="C53" s="234"/>
      <c r="D53" s="234"/>
      <c r="E53" s="234"/>
      <c r="F53" s="234"/>
      <c r="G53" s="234"/>
    </row>
    <row r="54" spans="1:7" ht="10.5" customHeight="1" x14ac:dyDescent="0.2">
      <c r="A54" s="234"/>
      <c r="B54" s="234"/>
      <c r="C54" s="234"/>
      <c r="D54" s="234"/>
      <c r="E54" s="234"/>
      <c r="F54" s="234"/>
      <c r="G54" s="234"/>
    </row>
    <row r="55" spans="1:7" ht="15.75" hidden="1" x14ac:dyDescent="0.2">
      <c r="A55" s="234"/>
      <c r="B55" s="234"/>
      <c r="C55" s="234"/>
      <c r="D55" s="234"/>
      <c r="E55" s="234"/>
      <c r="F55" s="234"/>
      <c r="G55" s="234"/>
    </row>
    <row r="56" spans="1:7" ht="24" thickBot="1" x14ac:dyDescent="0.4">
      <c r="A56" s="28" t="s">
        <v>26</v>
      </c>
      <c r="B56" s="28"/>
      <c r="C56" s="27"/>
      <c r="D56" s="27"/>
      <c r="E56" s="27"/>
      <c r="F56" s="98"/>
      <c r="G56" s="98"/>
    </row>
    <row r="57" spans="1:7" ht="12.6" customHeight="1" thickBot="1" x14ac:dyDescent="0.25">
      <c r="A57" s="234"/>
      <c r="B57" s="234"/>
      <c r="C57" s="234"/>
      <c r="D57" s="234"/>
      <c r="E57" s="234"/>
      <c r="F57" s="234"/>
      <c r="G57" s="234"/>
    </row>
    <row r="58" spans="1:7" ht="12.6" customHeight="1" x14ac:dyDescent="0.2">
      <c r="A58" s="430" t="s">
        <v>95</v>
      </c>
      <c r="B58" s="431"/>
      <c r="C58" s="431"/>
      <c r="D58" s="431"/>
      <c r="E58" s="431"/>
      <c r="F58" s="431"/>
      <c r="G58" s="432"/>
    </row>
    <row r="59" spans="1:7" ht="13.15" customHeight="1" x14ac:dyDescent="0.2">
      <c r="A59" s="433"/>
      <c r="B59" s="434"/>
      <c r="C59" s="434"/>
      <c r="D59" s="434"/>
      <c r="E59" s="434"/>
      <c r="F59" s="434"/>
      <c r="G59" s="435"/>
    </row>
    <row r="60" spans="1:7" ht="12.6" customHeight="1" x14ac:dyDescent="0.2">
      <c r="A60" s="433"/>
      <c r="B60" s="434"/>
      <c r="C60" s="434"/>
      <c r="D60" s="434"/>
      <c r="E60" s="434"/>
      <c r="F60" s="434"/>
      <c r="G60" s="435"/>
    </row>
    <row r="61" spans="1:7" ht="12.6" customHeight="1" x14ac:dyDescent="0.2">
      <c r="A61" s="433"/>
      <c r="B61" s="434"/>
      <c r="C61" s="434"/>
      <c r="D61" s="434"/>
      <c r="E61" s="434"/>
      <c r="F61" s="434"/>
      <c r="G61" s="435"/>
    </row>
    <row r="62" spans="1:7" ht="12.6" customHeight="1" x14ac:dyDescent="0.2">
      <c r="A62" s="433"/>
      <c r="B62" s="434"/>
      <c r="C62" s="434"/>
      <c r="D62" s="434"/>
      <c r="E62" s="434"/>
      <c r="F62" s="434"/>
      <c r="G62" s="435"/>
    </row>
    <row r="63" spans="1:7" ht="12.6" customHeight="1" x14ac:dyDescent="0.2">
      <c r="A63" s="433"/>
      <c r="B63" s="434"/>
      <c r="C63" s="434"/>
      <c r="D63" s="434"/>
      <c r="E63" s="434"/>
      <c r="F63" s="434"/>
      <c r="G63" s="435"/>
    </row>
    <row r="64" spans="1:7" ht="12.6" customHeight="1" x14ac:dyDescent="0.2">
      <c r="A64" s="433"/>
      <c r="B64" s="434"/>
      <c r="C64" s="434"/>
      <c r="D64" s="434"/>
      <c r="E64" s="434"/>
      <c r="F64" s="434"/>
      <c r="G64" s="435"/>
    </row>
    <row r="65" spans="1:16" ht="12.6" customHeight="1" x14ac:dyDescent="0.2">
      <c r="A65" s="433"/>
      <c r="B65" s="434"/>
      <c r="C65" s="434"/>
      <c r="D65" s="434"/>
      <c r="E65" s="434"/>
      <c r="F65" s="434"/>
      <c r="G65" s="435"/>
    </row>
    <row r="66" spans="1:16" ht="12.6" customHeight="1" x14ac:dyDescent="0.2">
      <c r="A66" s="433"/>
      <c r="B66" s="434"/>
      <c r="C66" s="434"/>
      <c r="D66" s="434"/>
      <c r="E66" s="434"/>
      <c r="F66" s="434"/>
      <c r="G66" s="435"/>
    </row>
    <row r="67" spans="1:16" ht="12.6" customHeight="1" x14ac:dyDescent="0.2">
      <c r="A67" s="433"/>
      <c r="B67" s="434"/>
      <c r="C67" s="434"/>
      <c r="D67" s="434"/>
      <c r="E67" s="434"/>
      <c r="F67" s="434"/>
      <c r="G67" s="435"/>
    </row>
    <row r="68" spans="1:16" ht="12.6" customHeight="1" x14ac:dyDescent="0.2">
      <c r="A68" s="433"/>
      <c r="B68" s="434"/>
      <c r="C68" s="434"/>
      <c r="D68" s="434"/>
      <c r="E68" s="434"/>
      <c r="F68" s="434"/>
      <c r="G68" s="435"/>
      <c r="J68" s="107"/>
      <c r="K68" s="275"/>
      <c r="L68" s="275"/>
      <c r="M68" s="275"/>
      <c r="N68" s="275"/>
      <c r="O68" s="275"/>
      <c r="P68" s="275"/>
    </row>
    <row r="69" spans="1:16" ht="13.15" customHeight="1" x14ac:dyDescent="0.2">
      <c r="A69" s="433"/>
      <c r="B69" s="434"/>
      <c r="C69" s="434"/>
      <c r="D69" s="434"/>
      <c r="E69" s="434"/>
      <c r="F69" s="434"/>
      <c r="G69" s="435"/>
      <c r="J69" s="275"/>
      <c r="K69" s="275"/>
      <c r="L69" s="275"/>
      <c r="M69" s="275"/>
      <c r="N69" s="275"/>
      <c r="O69" s="275"/>
      <c r="P69" s="275"/>
    </row>
    <row r="70" spans="1:16" ht="12.6" customHeight="1" x14ac:dyDescent="0.2">
      <c r="A70" s="433"/>
      <c r="B70" s="434"/>
      <c r="C70" s="434"/>
      <c r="D70" s="434"/>
      <c r="E70" s="434"/>
      <c r="F70" s="434"/>
      <c r="G70" s="435"/>
      <c r="J70" s="275"/>
      <c r="K70" s="275"/>
      <c r="L70" s="275"/>
      <c r="M70" s="275"/>
      <c r="N70" s="275"/>
      <c r="O70" s="275"/>
      <c r="P70" s="275"/>
    </row>
    <row r="71" spans="1:16" ht="12.6" customHeight="1" x14ac:dyDescent="0.2">
      <c r="A71" s="433"/>
      <c r="B71" s="434"/>
      <c r="C71" s="434"/>
      <c r="D71" s="434"/>
      <c r="E71" s="434"/>
      <c r="F71" s="434"/>
      <c r="G71" s="435"/>
      <c r="J71" s="275"/>
      <c r="K71" s="275"/>
      <c r="L71" s="275"/>
      <c r="M71" s="275"/>
      <c r="N71" s="275"/>
      <c r="O71" s="275"/>
      <c r="P71" s="275"/>
    </row>
    <row r="72" spans="1:16" ht="12.6" customHeight="1" x14ac:dyDescent="0.2">
      <c r="A72" s="433"/>
      <c r="B72" s="434"/>
      <c r="C72" s="434"/>
      <c r="D72" s="434"/>
      <c r="E72" s="434"/>
      <c r="F72" s="434"/>
      <c r="G72" s="435"/>
      <c r="J72" s="275"/>
      <c r="K72" s="275"/>
      <c r="L72" s="275"/>
      <c r="M72" s="275"/>
      <c r="N72" s="275"/>
      <c r="O72" s="275"/>
      <c r="P72" s="275"/>
    </row>
    <row r="73" spans="1:16" ht="12.6" customHeight="1" x14ac:dyDescent="0.2">
      <c r="A73" s="433"/>
      <c r="B73" s="434"/>
      <c r="C73" s="434"/>
      <c r="D73" s="434"/>
      <c r="E73" s="434"/>
      <c r="F73" s="434"/>
      <c r="G73" s="435"/>
      <c r="J73" s="275"/>
      <c r="K73" s="275"/>
      <c r="L73" s="275"/>
      <c r="M73" s="275"/>
      <c r="N73" s="275"/>
      <c r="O73" s="275"/>
      <c r="P73" s="275"/>
    </row>
    <row r="74" spans="1:16" ht="12.6" customHeight="1" x14ac:dyDescent="0.2">
      <c r="A74" s="433"/>
      <c r="B74" s="434"/>
      <c r="C74" s="434"/>
      <c r="D74" s="434"/>
      <c r="E74" s="434"/>
      <c r="F74" s="434"/>
      <c r="G74" s="435"/>
      <c r="J74" s="275"/>
      <c r="K74" s="275"/>
      <c r="L74" s="275"/>
      <c r="M74" s="275"/>
      <c r="N74" s="275"/>
      <c r="O74" s="275"/>
      <c r="P74" s="275"/>
    </row>
    <row r="75" spans="1:16" ht="12.6" customHeight="1" x14ac:dyDescent="0.2">
      <c r="A75" s="433"/>
      <c r="B75" s="434"/>
      <c r="C75" s="434"/>
      <c r="D75" s="434"/>
      <c r="E75" s="434"/>
      <c r="F75" s="434"/>
      <c r="G75" s="435"/>
      <c r="J75" s="275"/>
      <c r="K75" s="275"/>
      <c r="L75" s="275"/>
      <c r="M75" s="275"/>
      <c r="N75" s="275"/>
      <c r="O75" s="275"/>
      <c r="P75" s="275"/>
    </row>
    <row r="76" spans="1:16" ht="12.6" customHeight="1" x14ac:dyDescent="0.2">
      <c r="A76" s="433"/>
      <c r="B76" s="434"/>
      <c r="C76" s="434"/>
      <c r="D76" s="434"/>
      <c r="E76" s="434"/>
      <c r="F76" s="434"/>
      <c r="G76" s="435"/>
      <c r="J76" s="275"/>
      <c r="K76" s="275"/>
      <c r="L76" s="275"/>
      <c r="M76" s="275"/>
      <c r="N76" s="275"/>
      <c r="O76" s="275"/>
      <c r="P76" s="275"/>
    </row>
    <row r="77" spans="1:16" ht="12.6" customHeight="1" x14ac:dyDescent="0.2">
      <c r="A77" s="433"/>
      <c r="B77" s="434"/>
      <c r="C77" s="434"/>
      <c r="D77" s="434"/>
      <c r="E77" s="434"/>
      <c r="F77" s="434"/>
      <c r="G77" s="435"/>
      <c r="J77" s="275"/>
      <c r="K77" s="275"/>
      <c r="L77" s="275"/>
      <c r="M77" s="275"/>
      <c r="N77" s="275"/>
      <c r="O77" s="275"/>
      <c r="P77" s="275"/>
    </row>
    <row r="78" spans="1:16" ht="12.6" customHeight="1" x14ac:dyDescent="0.2">
      <c r="A78" s="433"/>
      <c r="B78" s="434"/>
      <c r="C78" s="434"/>
      <c r="D78" s="434"/>
      <c r="E78" s="434"/>
      <c r="F78" s="434"/>
      <c r="G78" s="435"/>
      <c r="J78" s="275"/>
      <c r="K78" s="275"/>
      <c r="L78" s="275"/>
      <c r="M78" s="275"/>
      <c r="N78" s="275"/>
      <c r="O78" s="275"/>
      <c r="P78" s="275"/>
    </row>
    <row r="79" spans="1:16" ht="12.6" customHeight="1" x14ac:dyDescent="0.2">
      <c r="A79" s="433"/>
      <c r="B79" s="434"/>
      <c r="C79" s="434"/>
      <c r="D79" s="434"/>
      <c r="E79" s="434"/>
      <c r="F79" s="434"/>
      <c r="G79" s="435"/>
      <c r="J79" s="275"/>
      <c r="K79" s="275"/>
      <c r="L79" s="275"/>
      <c r="M79" s="275"/>
      <c r="N79" s="275"/>
      <c r="O79" s="275"/>
      <c r="P79" s="275"/>
    </row>
    <row r="80" spans="1:16" ht="12.6" customHeight="1" x14ac:dyDescent="0.2">
      <c r="A80" s="433"/>
      <c r="B80" s="434"/>
      <c r="C80" s="434"/>
      <c r="D80" s="434"/>
      <c r="E80" s="434"/>
      <c r="F80" s="434"/>
      <c r="G80" s="435"/>
      <c r="J80" s="275"/>
      <c r="K80" s="275"/>
      <c r="L80" s="275"/>
      <c r="M80" s="275"/>
      <c r="N80" s="275"/>
      <c r="O80" s="275"/>
      <c r="P80" s="275"/>
    </row>
    <row r="81" spans="1:16" ht="12.6" customHeight="1" x14ac:dyDescent="0.2">
      <c r="A81" s="433"/>
      <c r="B81" s="434"/>
      <c r="C81" s="434"/>
      <c r="D81" s="434"/>
      <c r="E81" s="434"/>
      <c r="F81" s="434"/>
      <c r="G81" s="435"/>
      <c r="J81" s="275"/>
      <c r="K81" s="275"/>
      <c r="L81" s="275"/>
      <c r="M81" s="275"/>
      <c r="N81" s="275"/>
      <c r="O81" s="275"/>
      <c r="P81" s="275"/>
    </row>
    <row r="82" spans="1:16" ht="12.6" customHeight="1" x14ac:dyDescent="0.2">
      <c r="A82" s="433"/>
      <c r="B82" s="434"/>
      <c r="C82" s="434"/>
      <c r="D82" s="434"/>
      <c r="E82" s="434"/>
      <c r="F82" s="434"/>
      <c r="G82" s="435"/>
    </row>
    <row r="83" spans="1:16" ht="13.15" customHeight="1" x14ac:dyDescent="0.2">
      <c r="A83" s="433"/>
      <c r="B83" s="434"/>
      <c r="C83" s="434"/>
      <c r="D83" s="434"/>
      <c r="E83" s="434"/>
      <c r="F83" s="434"/>
      <c r="G83" s="435"/>
    </row>
    <row r="84" spans="1:16" ht="12.75" customHeight="1" x14ac:dyDescent="0.2">
      <c r="A84" s="433"/>
      <c r="B84" s="434"/>
      <c r="C84" s="434"/>
      <c r="D84" s="434"/>
      <c r="E84" s="434"/>
      <c r="F84" s="434"/>
      <c r="G84" s="435"/>
    </row>
    <row r="85" spans="1:16" ht="12.75" customHeight="1" x14ac:dyDescent="0.2">
      <c r="A85" s="433"/>
      <c r="B85" s="434"/>
      <c r="C85" s="434"/>
      <c r="D85" s="434"/>
      <c r="E85" s="434"/>
      <c r="F85" s="434"/>
      <c r="G85" s="435"/>
    </row>
    <row r="86" spans="1:16" ht="12.75" customHeight="1" x14ac:dyDescent="0.2">
      <c r="A86" s="433"/>
      <c r="B86" s="434"/>
      <c r="C86" s="434"/>
      <c r="D86" s="434"/>
      <c r="E86" s="434"/>
      <c r="F86" s="434"/>
      <c r="G86" s="435"/>
    </row>
    <row r="87" spans="1:16" ht="12.75" customHeight="1" x14ac:dyDescent="0.2">
      <c r="A87" s="433"/>
      <c r="B87" s="434"/>
      <c r="C87" s="434"/>
      <c r="D87" s="434"/>
      <c r="E87" s="434"/>
      <c r="F87" s="434"/>
      <c r="G87" s="435"/>
    </row>
    <row r="88" spans="1:16" ht="12.75" customHeight="1" x14ac:dyDescent="0.2">
      <c r="A88" s="433"/>
      <c r="B88" s="434"/>
      <c r="C88" s="434"/>
      <c r="D88" s="434"/>
      <c r="E88" s="434"/>
      <c r="F88" s="434"/>
      <c r="G88" s="435"/>
    </row>
    <row r="89" spans="1:16" ht="12.75" customHeight="1" x14ac:dyDescent="0.2">
      <c r="A89" s="433"/>
      <c r="B89" s="434"/>
      <c r="C89" s="434"/>
      <c r="D89" s="434"/>
      <c r="E89" s="434"/>
      <c r="F89" s="434"/>
      <c r="G89" s="435"/>
    </row>
    <row r="90" spans="1:16" ht="12.75" customHeight="1" x14ac:dyDescent="0.2">
      <c r="A90" s="433"/>
      <c r="B90" s="434"/>
      <c r="C90" s="434"/>
      <c r="D90" s="434"/>
      <c r="E90" s="434"/>
      <c r="F90" s="434"/>
      <c r="G90" s="435"/>
    </row>
    <row r="91" spans="1:16" ht="12.75" customHeight="1" x14ac:dyDescent="0.2">
      <c r="A91" s="433"/>
      <c r="B91" s="434"/>
      <c r="C91" s="434"/>
      <c r="D91" s="434"/>
      <c r="E91" s="434"/>
      <c r="F91" s="434"/>
      <c r="G91" s="435"/>
    </row>
    <row r="92" spans="1:16" ht="12.75" customHeight="1" x14ac:dyDescent="0.2">
      <c r="A92" s="433"/>
      <c r="B92" s="434"/>
      <c r="C92" s="434"/>
      <c r="D92" s="434"/>
      <c r="E92" s="434"/>
      <c r="F92" s="434"/>
      <c r="G92" s="435"/>
    </row>
    <row r="93" spans="1:16" ht="12.75" customHeight="1" x14ac:dyDescent="0.2">
      <c r="A93" s="433"/>
      <c r="B93" s="434"/>
      <c r="C93" s="434"/>
      <c r="D93" s="434"/>
      <c r="E93" s="434"/>
      <c r="F93" s="434"/>
      <c r="G93" s="435"/>
    </row>
    <row r="94" spans="1:16" ht="12.75" customHeight="1" x14ac:dyDescent="0.2">
      <c r="A94" s="433"/>
      <c r="B94" s="434"/>
      <c r="C94" s="434"/>
      <c r="D94" s="434"/>
      <c r="E94" s="434"/>
      <c r="F94" s="434"/>
      <c r="G94" s="435"/>
    </row>
    <row r="95" spans="1:16" ht="12.75" customHeight="1" x14ac:dyDescent="0.2">
      <c r="A95" s="433"/>
      <c r="B95" s="434"/>
      <c r="C95" s="434"/>
      <c r="D95" s="434"/>
      <c r="E95" s="434"/>
      <c r="F95" s="434"/>
      <c r="G95" s="435"/>
    </row>
    <row r="96" spans="1:16" ht="12.75" customHeight="1" x14ac:dyDescent="0.2">
      <c r="A96" s="433"/>
      <c r="B96" s="434"/>
      <c r="C96" s="434"/>
      <c r="D96" s="434"/>
      <c r="E96" s="434"/>
      <c r="F96" s="434"/>
      <c r="G96" s="435"/>
    </row>
    <row r="97" spans="1:8" ht="12.75" customHeight="1" x14ac:dyDescent="0.2">
      <c r="A97" s="433"/>
      <c r="B97" s="434"/>
      <c r="C97" s="434"/>
      <c r="D97" s="434"/>
      <c r="E97" s="434"/>
      <c r="F97" s="434"/>
      <c r="G97" s="435"/>
    </row>
    <row r="98" spans="1:8" ht="12.75" customHeight="1" x14ac:dyDescent="0.2">
      <c r="A98" s="433"/>
      <c r="B98" s="434"/>
      <c r="C98" s="434"/>
      <c r="D98" s="434"/>
      <c r="E98" s="434"/>
      <c r="F98" s="434"/>
      <c r="G98" s="435"/>
    </row>
    <row r="99" spans="1:8" ht="12.75" customHeight="1" x14ac:dyDescent="0.2">
      <c r="A99" s="433"/>
      <c r="B99" s="434"/>
      <c r="C99" s="434"/>
      <c r="D99" s="434"/>
      <c r="E99" s="434"/>
      <c r="F99" s="434"/>
      <c r="G99" s="435"/>
    </row>
    <row r="100" spans="1:8" ht="12.75" customHeight="1" x14ac:dyDescent="0.2">
      <c r="A100" s="433"/>
      <c r="B100" s="434"/>
      <c r="C100" s="434"/>
      <c r="D100" s="434"/>
      <c r="E100" s="434"/>
      <c r="F100" s="434"/>
      <c r="G100" s="435"/>
    </row>
    <row r="101" spans="1:8" ht="12.75" customHeight="1" x14ac:dyDescent="0.2">
      <c r="A101" s="433"/>
      <c r="B101" s="434"/>
      <c r="C101" s="434"/>
      <c r="D101" s="434"/>
      <c r="E101" s="434"/>
      <c r="F101" s="434"/>
      <c r="G101" s="435"/>
      <c r="H101" s="5"/>
    </row>
    <row r="102" spans="1:8" ht="12.75" customHeight="1" x14ac:dyDescent="0.2">
      <c r="A102" s="433"/>
      <c r="B102" s="434"/>
      <c r="C102" s="434"/>
      <c r="D102" s="434"/>
      <c r="E102" s="434"/>
      <c r="F102" s="434"/>
      <c r="G102" s="435"/>
      <c r="H102" s="5"/>
    </row>
    <row r="103" spans="1:8" ht="12.75" customHeight="1" x14ac:dyDescent="0.2">
      <c r="A103" s="433"/>
      <c r="B103" s="434"/>
      <c r="C103" s="434"/>
      <c r="D103" s="434"/>
      <c r="E103" s="434"/>
      <c r="F103" s="434"/>
      <c r="G103" s="435"/>
      <c r="H103" s="5"/>
    </row>
    <row r="104" spans="1:8" ht="12.75" customHeight="1" x14ac:dyDescent="0.2">
      <c r="A104" s="433"/>
      <c r="B104" s="434"/>
      <c r="C104" s="434"/>
      <c r="D104" s="434"/>
      <c r="E104" s="434"/>
      <c r="F104" s="434"/>
      <c r="G104" s="435"/>
      <c r="H104" s="5"/>
    </row>
    <row r="105" spans="1:8" ht="12.75" customHeight="1" x14ac:dyDescent="0.2">
      <c r="A105" s="433"/>
      <c r="B105" s="434"/>
      <c r="C105" s="434"/>
      <c r="D105" s="434"/>
      <c r="E105" s="434"/>
      <c r="F105" s="434"/>
      <c r="G105" s="435"/>
      <c r="H105" s="5"/>
    </row>
    <row r="106" spans="1:8" ht="12.75" customHeight="1" x14ac:dyDescent="0.2">
      <c r="A106" s="433"/>
      <c r="B106" s="434"/>
      <c r="C106" s="434"/>
      <c r="D106" s="434"/>
      <c r="E106" s="434"/>
      <c r="F106" s="434"/>
      <c r="G106" s="435"/>
      <c r="H106" s="5"/>
    </row>
    <row r="107" spans="1:8" ht="12.75" customHeight="1" x14ac:dyDescent="0.2">
      <c r="A107" s="433"/>
      <c r="B107" s="434"/>
      <c r="C107" s="434"/>
      <c r="D107" s="434"/>
      <c r="E107" s="434"/>
      <c r="F107" s="434"/>
      <c r="G107" s="435"/>
      <c r="H107" s="5"/>
    </row>
    <row r="108" spans="1:8" ht="12.75" customHeight="1" x14ac:dyDescent="0.2">
      <c r="A108" s="433"/>
      <c r="B108" s="434"/>
      <c r="C108" s="434"/>
      <c r="D108" s="434"/>
      <c r="E108" s="434"/>
      <c r="F108" s="434"/>
      <c r="G108" s="435"/>
      <c r="H108" s="5"/>
    </row>
    <row r="109" spans="1:8" ht="12.75" customHeight="1" x14ac:dyDescent="0.2">
      <c r="A109" s="433"/>
      <c r="B109" s="434"/>
      <c r="C109" s="434"/>
      <c r="D109" s="434"/>
      <c r="E109" s="434"/>
      <c r="F109" s="434"/>
      <c r="G109" s="435"/>
      <c r="H109" s="5"/>
    </row>
    <row r="110" spans="1:8" ht="12.75" customHeight="1" x14ac:dyDescent="0.2">
      <c r="A110" s="433"/>
      <c r="B110" s="434"/>
      <c r="C110" s="434"/>
      <c r="D110" s="434"/>
      <c r="E110" s="434"/>
      <c r="F110" s="434"/>
      <c r="G110" s="435"/>
      <c r="H110" s="5"/>
    </row>
    <row r="111" spans="1:8" ht="12.75" customHeight="1" x14ac:dyDescent="0.2">
      <c r="A111" s="433"/>
      <c r="B111" s="434"/>
      <c r="C111" s="434"/>
      <c r="D111" s="434"/>
      <c r="E111" s="434"/>
      <c r="F111" s="434"/>
      <c r="G111" s="435"/>
      <c r="H111" s="5"/>
    </row>
    <row r="112" spans="1:8" ht="12.75" customHeight="1" x14ac:dyDescent="0.2">
      <c r="A112" s="433"/>
      <c r="B112" s="434"/>
      <c r="C112" s="434"/>
      <c r="D112" s="434"/>
      <c r="E112" s="434"/>
      <c r="F112" s="434"/>
      <c r="G112" s="435"/>
      <c r="H112" s="5"/>
    </row>
    <row r="113" spans="1:8" ht="12.75" customHeight="1" x14ac:dyDescent="0.2">
      <c r="A113" s="433"/>
      <c r="B113" s="434"/>
      <c r="C113" s="434"/>
      <c r="D113" s="434"/>
      <c r="E113" s="434"/>
      <c r="F113" s="434"/>
      <c r="G113" s="435"/>
      <c r="H113" s="5"/>
    </row>
    <row r="114" spans="1:8" ht="12.75" customHeight="1" x14ac:dyDescent="0.2">
      <c r="A114" s="433"/>
      <c r="B114" s="434"/>
      <c r="C114" s="434"/>
      <c r="D114" s="434"/>
      <c r="E114" s="434"/>
      <c r="F114" s="434"/>
      <c r="G114" s="435"/>
      <c r="H114" s="5"/>
    </row>
    <row r="115" spans="1:8" ht="12.75" customHeight="1" x14ac:dyDescent="0.2">
      <c r="A115" s="433"/>
      <c r="B115" s="434"/>
      <c r="C115" s="434"/>
      <c r="D115" s="434"/>
      <c r="E115" s="434"/>
      <c r="F115" s="434"/>
      <c r="G115" s="435"/>
      <c r="H115" s="5"/>
    </row>
    <row r="116" spans="1:8" ht="12.75" customHeight="1" x14ac:dyDescent="0.2">
      <c r="A116" s="433"/>
      <c r="B116" s="434"/>
      <c r="C116" s="434"/>
      <c r="D116" s="434"/>
      <c r="E116" s="434"/>
      <c r="F116" s="434"/>
      <c r="G116" s="435"/>
      <c r="H116" s="5"/>
    </row>
    <row r="117" spans="1:8" ht="13.5" customHeight="1" x14ac:dyDescent="0.2">
      <c r="A117" s="433"/>
      <c r="B117" s="434"/>
      <c r="C117" s="434"/>
      <c r="D117" s="434"/>
      <c r="E117" s="434"/>
      <c r="F117" s="434"/>
      <c r="G117" s="435"/>
      <c r="H117" s="5"/>
    </row>
    <row r="118" spans="1:8" ht="12.75" customHeight="1" x14ac:dyDescent="0.2">
      <c r="A118" s="433"/>
      <c r="B118" s="434"/>
      <c r="C118" s="434"/>
      <c r="D118" s="434"/>
      <c r="E118" s="434"/>
      <c r="F118" s="434"/>
      <c r="G118" s="435"/>
      <c r="H118" s="5"/>
    </row>
    <row r="119" spans="1:8" ht="12.75" customHeight="1" x14ac:dyDescent="0.2">
      <c r="A119" s="433"/>
      <c r="B119" s="434"/>
      <c r="C119" s="434"/>
      <c r="D119" s="434"/>
      <c r="E119" s="434"/>
      <c r="F119" s="434"/>
      <c r="G119" s="435"/>
      <c r="H119" s="5"/>
    </row>
    <row r="120" spans="1:8" ht="12.75" customHeight="1" thickBot="1" x14ac:dyDescent="0.25">
      <c r="A120" s="436"/>
      <c r="B120" s="437"/>
      <c r="C120" s="437"/>
      <c r="D120" s="437"/>
      <c r="E120" s="437"/>
      <c r="F120" s="437"/>
      <c r="G120" s="438"/>
      <c r="H120" s="5"/>
    </row>
    <row r="121" spans="1:8" ht="12.75" customHeight="1" x14ac:dyDescent="0.2">
      <c r="A121" s="234"/>
      <c r="B121" s="234"/>
      <c r="C121" s="234"/>
      <c r="D121" s="234"/>
      <c r="E121" s="234"/>
      <c r="F121" s="234"/>
      <c r="G121" s="234"/>
      <c r="H121" s="5"/>
    </row>
    <row r="122" spans="1:8" ht="12.75" customHeight="1" x14ac:dyDescent="0.2">
      <c r="A122" s="234"/>
      <c r="B122" s="234"/>
      <c r="C122" s="234"/>
      <c r="D122" s="234"/>
      <c r="E122" s="234"/>
      <c r="F122" s="234"/>
      <c r="G122" s="234"/>
      <c r="H122" s="5"/>
    </row>
    <row r="123" spans="1:8" ht="12.75" customHeight="1" x14ac:dyDescent="0.2">
      <c r="A123" s="234"/>
      <c r="B123" s="234"/>
      <c r="C123" s="234"/>
      <c r="D123" s="234"/>
      <c r="E123" s="234"/>
      <c r="F123" s="234"/>
      <c r="G123" s="234"/>
      <c r="H123" s="5"/>
    </row>
    <row r="124" spans="1:8" ht="12.75" customHeight="1" x14ac:dyDescent="0.2">
      <c r="A124" s="234"/>
      <c r="B124" s="234"/>
      <c r="C124" s="234"/>
      <c r="D124" s="234"/>
      <c r="E124" s="234"/>
      <c r="F124" s="234"/>
      <c r="G124" s="234"/>
      <c r="H124" s="5"/>
    </row>
    <row r="125" spans="1:8" ht="12.75" customHeight="1" x14ac:dyDescent="0.2">
      <c r="A125" s="234"/>
      <c r="B125" s="234"/>
      <c r="C125" s="234"/>
      <c r="D125" s="234"/>
      <c r="E125" s="234"/>
      <c r="F125" s="234"/>
      <c r="G125" s="234"/>
      <c r="H125" s="5"/>
    </row>
    <row r="126" spans="1:8" ht="12.75" customHeight="1" x14ac:dyDescent="0.2">
      <c r="A126" s="234"/>
      <c r="B126" s="234"/>
      <c r="C126" s="234"/>
      <c r="D126" s="234"/>
      <c r="E126" s="234"/>
      <c r="F126" s="234"/>
      <c r="G126" s="234"/>
      <c r="H126" s="5"/>
    </row>
    <row r="127" spans="1:8" ht="12.75" customHeight="1" x14ac:dyDescent="0.2">
      <c r="A127" s="234"/>
      <c r="B127" s="234"/>
      <c r="C127" s="234"/>
      <c r="D127" s="234"/>
      <c r="E127" s="234"/>
      <c r="F127" s="234"/>
      <c r="G127" s="234"/>
      <c r="H127" s="5"/>
    </row>
    <row r="128" spans="1:8" ht="12.75" customHeight="1" x14ac:dyDescent="0.2">
      <c r="A128" s="234"/>
      <c r="B128" s="234"/>
      <c r="C128" s="234"/>
      <c r="D128" s="234"/>
      <c r="E128" s="234"/>
      <c r="F128" s="234"/>
      <c r="G128" s="234"/>
      <c r="H128" s="5"/>
    </row>
    <row r="129" spans="1:8" ht="12.75" customHeight="1" x14ac:dyDescent="0.2">
      <c r="A129" s="234"/>
      <c r="B129" s="234"/>
      <c r="C129" s="234"/>
      <c r="D129" s="234"/>
      <c r="E129" s="234"/>
      <c r="F129" s="234"/>
      <c r="G129" s="234"/>
      <c r="H129" s="5"/>
    </row>
    <row r="130" spans="1:8" ht="12.75" customHeight="1" x14ac:dyDescent="0.2">
      <c r="A130" s="234"/>
      <c r="B130" s="234"/>
      <c r="C130" s="234"/>
      <c r="D130" s="234"/>
      <c r="E130" s="234"/>
      <c r="F130" s="234"/>
      <c r="G130" s="234"/>
      <c r="H130" s="5"/>
    </row>
    <row r="131" spans="1:8" ht="12.75" customHeight="1" x14ac:dyDescent="0.2">
      <c r="A131" s="234"/>
      <c r="B131" s="234"/>
      <c r="C131" s="234"/>
      <c r="D131" s="234"/>
      <c r="E131" s="234"/>
      <c r="F131" s="234"/>
      <c r="G131" s="234"/>
      <c r="H131" s="5"/>
    </row>
    <row r="132" spans="1:8" ht="12.75" customHeight="1" x14ac:dyDescent="0.2">
      <c r="A132" s="234"/>
      <c r="B132" s="234"/>
      <c r="C132" s="234"/>
      <c r="D132" s="234"/>
      <c r="E132" s="234"/>
      <c r="F132" s="234"/>
      <c r="G132" s="234"/>
      <c r="H132" s="5"/>
    </row>
    <row r="133" spans="1:8" ht="12.75" customHeight="1" x14ac:dyDescent="0.2">
      <c r="A133" s="234"/>
      <c r="B133" s="234"/>
      <c r="C133" s="234"/>
      <c r="D133" s="234"/>
      <c r="E133" s="234"/>
      <c r="F133" s="234"/>
      <c r="G133" s="234"/>
      <c r="H133" s="5"/>
    </row>
    <row r="134" spans="1:8" ht="13.5" customHeight="1" x14ac:dyDescent="0.2">
      <c r="A134" s="234"/>
      <c r="B134" s="234"/>
      <c r="C134" s="234"/>
      <c r="D134" s="234"/>
      <c r="E134" s="234"/>
      <c r="F134" s="234"/>
      <c r="G134" s="234"/>
      <c r="H134" s="5"/>
    </row>
    <row r="135" spans="1:8" x14ac:dyDescent="0.2">
      <c r="A135" s="5"/>
      <c r="B135" s="5"/>
      <c r="C135" s="5"/>
      <c r="D135" s="5"/>
      <c r="E135" s="5"/>
      <c r="F135" s="5"/>
      <c r="G135" s="5"/>
      <c r="H135" s="5"/>
    </row>
  </sheetData>
  <mergeCells count="43">
    <mergeCell ref="G40:G41"/>
    <mergeCell ref="G38:G39"/>
    <mergeCell ref="G36:G37"/>
    <mergeCell ref="E40:F41"/>
    <mergeCell ref="E26:F27"/>
    <mergeCell ref="E28:F29"/>
    <mergeCell ref="E30:F31"/>
    <mergeCell ref="E32:F33"/>
    <mergeCell ref="E34:F35"/>
    <mergeCell ref="E36:F37"/>
    <mergeCell ref="E38:F39"/>
    <mergeCell ref="G34:G35"/>
    <mergeCell ref="G28:G29"/>
    <mergeCell ref="G26:G27"/>
    <mergeCell ref="G30:G31"/>
    <mergeCell ref="G32:G33"/>
    <mergeCell ref="A1:D1"/>
    <mergeCell ref="A4:A5"/>
    <mergeCell ref="C4:C5"/>
    <mergeCell ref="E16:F17"/>
    <mergeCell ref="E14:F15"/>
    <mergeCell ref="E24:F25"/>
    <mergeCell ref="G16:G17"/>
    <mergeCell ref="G18:G19"/>
    <mergeCell ref="G20:G21"/>
    <mergeCell ref="G22:G23"/>
    <mergeCell ref="E18:F19"/>
    <mergeCell ref="E20:F21"/>
    <mergeCell ref="E22:F23"/>
    <mergeCell ref="G24:G25"/>
    <mergeCell ref="G14:G15"/>
    <mergeCell ref="J4:J5"/>
    <mergeCell ref="E10:F11"/>
    <mergeCell ref="G10:G11"/>
    <mergeCell ref="E12:F13"/>
    <mergeCell ref="G12:G13"/>
    <mergeCell ref="E42:F43"/>
    <mergeCell ref="A58:G120"/>
    <mergeCell ref="E46:F47"/>
    <mergeCell ref="G46:G47"/>
    <mergeCell ref="E44:F45"/>
    <mergeCell ref="G44:G45"/>
    <mergeCell ref="G42:G43"/>
  </mergeCells>
  <phoneticPr fontId="33" type="noConversion"/>
  <conditionalFormatting sqref="I19 H20:I20 I21 H24">
    <cfRule type="expression" dxfId="63" priority="3">
      <formula>ISNUMBER(SEARCH(TEXT(#REF!,"ddd"),#REF!))</formula>
    </cfRule>
  </conditionalFormatting>
  <conditionalFormatting sqref="A18:D18 A10:D10 A12:D12 A20:C20 A14:D14">
    <cfRule type="expression" dxfId="62" priority="4">
      <formula>ISNUMBER(SEARCH(TEXT(#REF!,"ddd"),#REF!))</formula>
    </cfRule>
  </conditionalFormatting>
  <conditionalFormatting sqref="K19:K24">
    <cfRule type="expression" dxfId="61" priority="5">
      <formula>ISNUMBER(SEARCH(TEXT(#REF!,"ddd"),#REF!))</formula>
    </cfRule>
  </conditionalFormatting>
  <conditionalFormatting sqref="D16">
    <cfRule type="expression" dxfId="60" priority="2">
      <formula>ISNUMBER(SEARCH(TEXT(#REF!,"ddd"),#REF!))</formula>
    </cfRule>
  </conditionalFormatting>
  <conditionalFormatting sqref="A16:C16">
    <cfRule type="expression" dxfId="59" priority="1">
      <formula>ISNUMBER(SEARCH(TEXT(#REF!,"ddd"),#REF!))</formula>
    </cfRule>
  </conditionalFormatting>
  <dataValidations count="2">
    <dataValidation type="custom" allowBlank="1" showInputMessage="1" showErrorMessage="1" sqref="B12:C12 B10 B18:C18 B20:C20 B16:C16 B14:C14" xr:uid="{6F0E82FF-AFA1-4CA0-A875-4F8FB0C2CE90}">
      <formula1>AND($B10&lt;=1,ISNUMBER($B10))</formula1>
    </dataValidation>
    <dataValidation type="custom" allowBlank="1" showInputMessage="1" showErrorMessage="1" sqref="C10" xr:uid="{07B3402D-A83F-4567-B32F-144945E647AB}">
      <formula1>AND($C10&lt;=1,ISNUMBER($C10),($C10&gt;=$B10))</formula1>
    </dataValidation>
  </dataValidations>
  <pageMargins left="0.23622047244094491" right="0.23622047244094491" top="0.74803149606299213" bottom="0.74803149606299213" header="0.31496062992125984" footer="0.31496062992125984"/>
  <pageSetup paperSize="9" scale="85" fitToHeight="0"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64F2F-F063-493B-ACB0-8FB42B28D0AF}">
  <sheetPr codeName="Sheet16"/>
  <dimension ref="A1:P212"/>
  <sheetViews>
    <sheetView showGridLines="0" zoomScaleNormal="100" workbookViewId="0">
      <selection activeCell="C7" sqref="C7"/>
    </sheetView>
  </sheetViews>
  <sheetFormatPr baseColWidth="10" defaultColWidth="9" defaultRowHeight="12.75" x14ac:dyDescent="0.2"/>
  <cols>
    <col min="1" max="1" width="14.875" customWidth="1"/>
    <col min="2" max="2" width="8.875" customWidth="1"/>
    <col min="3" max="3" width="12.875" customWidth="1"/>
    <col min="4" max="4" width="9.37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3" ht="27" thickTop="1" x14ac:dyDescent="0.4">
      <c r="A1" s="419" t="s">
        <v>49</v>
      </c>
      <c r="B1" s="419"/>
      <c r="C1" s="419"/>
      <c r="D1" s="419"/>
      <c r="E1" s="45">
        <f>WEEKNUM(A14)</f>
        <v>9</v>
      </c>
      <c r="F1" s="46"/>
      <c r="G1" s="47"/>
      <c r="H1" s="26"/>
      <c r="J1" s="1"/>
    </row>
    <row r="2" spans="1:13" s="1" customFormat="1" ht="14.25" customHeight="1" x14ac:dyDescent="0.25">
      <c r="A2" s="38" t="s">
        <v>1</v>
      </c>
      <c r="B2" s="38"/>
      <c r="C2" s="38" t="s">
        <v>2</v>
      </c>
      <c r="D2" s="38"/>
      <c r="E2" s="250" t="s">
        <v>3</v>
      </c>
      <c r="F2" s="44" t="s">
        <v>4</v>
      </c>
      <c r="G2" s="44" t="s">
        <v>29</v>
      </c>
      <c r="H2" s="20"/>
      <c r="I2" s="13"/>
      <c r="J2" s="6"/>
      <c r="K2" s="1" t="s">
        <v>69</v>
      </c>
    </row>
    <row r="3" spans="1:13" ht="16.5" thickBot="1" x14ac:dyDescent="0.25">
      <c r="A3" s="274">
        <f>A14</f>
        <v>43885</v>
      </c>
      <c r="B3" s="382"/>
      <c r="C3" s="274">
        <f>A58</f>
        <v>43891</v>
      </c>
      <c r="D3" s="382"/>
      <c r="E3" s="249" t="s">
        <v>6</v>
      </c>
      <c r="F3" s="261">
        <f>Sumcolor(E3,D10:D60)</f>
        <v>0</v>
      </c>
      <c r="G3" s="259">
        <f>SUM(Først:Sist!F3)</f>
        <v>0.93402777777777768</v>
      </c>
      <c r="H3" s="22"/>
      <c r="I3" s="7"/>
      <c r="J3" s="7"/>
      <c r="K3" t="s">
        <v>70</v>
      </c>
    </row>
    <row r="4" spans="1:13" ht="15" customHeight="1" x14ac:dyDescent="0.2">
      <c r="A4" s="420" t="s">
        <v>96</v>
      </c>
      <c r="B4" s="383"/>
      <c r="C4" s="420" t="s">
        <v>51</v>
      </c>
      <c r="D4" s="384"/>
      <c r="E4" s="246" t="s">
        <v>9</v>
      </c>
      <c r="F4" s="261">
        <f>Sumcolor(E4,D10:D60)</f>
        <v>0.24305555555555569</v>
      </c>
      <c r="G4" s="259">
        <f>SUM(Først:Sist!F4)</f>
        <v>6.5486111111111125</v>
      </c>
      <c r="H4" s="22"/>
      <c r="I4" s="7"/>
      <c r="J4" s="399"/>
    </row>
    <row r="5" spans="1:13" ht="15.75" x14ac:dyDescent="0.2">
      <c r="A5" s="447"/>
      <c r="B5" s="384"/>
      <c r="C5" s="421"/>
      <c r="D5" s="384"/>
      <c r="E5" s="247" t="s">
        <v>10</v>
      </c>
      <c r="F5" s="261">
        <f>Sumcolor(E5,D10:D60)</f>
        <v>0.12847222222222232</v>
      </c>
      <c r="G5" s="259">
        <f>SUM(Først:Sist!F5)</f>
        <v>1.3368055555555545</v>
      </c>
      <c r="H5" s="22"/>
      <c r="I5" s="7"/>
      <c r="J5" s="399"/>
      <c r="K5" t="s">
        <v>71</v>
      </c>
    </row>
    <row r="6" spans="1:13" ht="18.75" customHeight="1" thickBot="1" x14ac:dyDescent="0.25">
      <c r="A6" s="39">
        <f>SUM(D10:D60)</f>
        <v>0.96527777777777779</v>
      </c>
      <c r="B6" s="40"/>
      <c r="C6" s="240">
        <f>SUM('Først:Uke9'!A6)</f>
        <v>3.6284722222222219</v>
      </c>
      <c r="D6" s="42"/>
      <c r="E6" s="248" t="s">
        <v>11</v>
      </c>
      <c r="F6" s="260">
        <f>Sumcolor(E6,D10:D60)</f>
        <v>0.59374999999999967</v>
      </c>
      <c r="G6" s="260">
        <f>SUM(Først:Sist!F6)</f>
        <v>2.4791666666666661</v>
      </c>
      <c r="H6" s="22"/>
      <c r="I6" s="7"/>
      <c r="J6" s="7"/>
      <c r="K6" t="s">
        <v>72</v>
      </c>
    </row>
    <row r="7" spans="1:13" ht="12.75" customHeight="1" x14ac:dyDescent="0.2">
      <c r="A7" s="19"/>
      <c r="B7" s="23"/>
      <c r="C7" s="24"/>
      <c r="D7" s="14"/>
      <c r="E7" s="23"/>
      <c r="F7" s="23"/>
      <c r="G7" s="25"/>
      <c r="H7" s="25"/>
    </row>
    <row r="8" spans="1:13" x14ac:dyDescent="0.2">
      <c r="A8" s="23"/>
      <c r="B8" s="25"/>
      <c r="C8" s="14"/>
      <c r="D8" s="25"/>
      <c r="E8" s="23"/>
      <c r="F8" s="23"/>
      <c r="G8" s="25"/>
      <c r="H8" s="25"/>
      <c r="K8" t="s">
        <v>73</v>
      </c>
    </row>
    <row r="9" spans="1:13" ht="16.5" thickBot="1" x14ac:dyDescent="0.3">
      <c r="A9" s="30" t="s">
        <v>15</v>
      </c>
      <c r="B9" s="30" t="s">
        <v>18</v>
      </c>
      <c r="C9" s="30" t="s">
        <v>19</v>
      </c>
      <c r="D9" s="30" t="s">
        <v>20</v>
      </c>
      <c r="E9" s="30" t="s">
        <v>21</v>
      </c>
      <c r="G9" s="30" t="s">
        <v>42</v>
      </c>
      <c r="H9" s="25"/>
      <c r="K9" t="s">
        <v>74</v>
      </c>
    </row>
    <row r="10" spans="1:13" ht="15.6" customHeight="1" x14ac:dyDescent="0.25">
      <c r="A10" s="311">
        <v>43885</v>
      </c>
      <c r="B10" s="312">
        <v>0.4375</v>
      </c>
      <c r="C10" s="312">
        <v>0.52777777777777779</v>
      </c>
      <c r="D10" s="313">
        <f>(C10-B10)</f>
        <v>9.027777777777779E-2</v>
      </c>
      <c r="E10" s="482" t="s">
        <v>97</v>
      </c>
      <c r="F10" s="483"/>
      <c r="G10" s="458">
        <v>3</v>
      </c>
      <c r="H10" s="25"/>
    </row>
    <row r="11" spans="1:13" ht="18" customHeight="1" thickBot="1" x14ac:dyDescent="0.3">
      <c r="A11" s="316"/>
      <c r="B11" s="317"/>
      <c r="C11" s="317"/>
      <c r="D11" s="315"/>
      <c r="E11" s="484"/>
      <c r="F11" s="485"/>
      <c r="G11" s="459"/>
      <c r="H11" s="25"/>
      <c r="K11" t="s">
        <v>76</v>
      </c>
    </row>
    <row r="12" spans="1:13" ht="17.25" customHeight="1" x14ac:dyDescent="0.25">
      <c r="A12" s="311">
        <v>43885</v>
      </c>
      <c r="B12" s="312">
        <v>0.54166666666666663</v>
      </c>
      <c r="C12" s="312">
        <v>0.59722222222222221</v>
      </c>
      <c r="D12" s="313">
        <f>(C12-B12)</f>
        <v>5.555555555555558E-2</v>
      </c>
      <c r="E12" s="482" t="s">
        <v>97</v>
      </c>
      <c r="F12" s="483"/>
      <c r="G12" s="458">
        <v>3</v>
      </c>
      <c r="K12" t="s">
        <v>78</v>
      </c>
    </row>
    <row r="13" spans="1:13" ht="15.6" customHeight="1" thickBot="1" x14ac:dyDescent="0.3">
      <c r="A13" s="314"/>
      <c r="B13" s="315"/>
      <c r="C13" s="315"/>
      <c r="D13" s="315"/>
      <c r="E13" s="484"/>
      <c r="F13" s="485"/>
      <c r="G13" s="459"/>
    </row>
    <row r="14" spans="1:13" ht="15.75" customHeight="1" x14ac:dyDescent="0.2">
      <c r="A14" s="267">
        <v>43885</v>
      </c>
      <c r="B14" s="244">
        <v>0.61458333333333337</v>
      </c>
      <c r="C14" s="244">
        <v>0.625</v>
      </c>
      <c r="D14" s="244">
        <f t="shared" ref="D14" si="0">(C14-B14)</f>
        <v>1.041666666666663E-2</v>
      </c>
      <c r="E14" s="439" t="s">
        <v>98</v>
      </c>
      <c r="F14" s="448"/>
      <c r="G14" s="458"/>
    </row>
    <row r="15" spans="1:13" ht="16.5" customHeight="1" thickBot="1" x14ac:dyDescent="0.3">
      <c r="A15" s="305"/>
      <c r="B15" s="306"/>
      <c r="C15" s="306"/>
      <c r="D15" s="306"/>
      <c r="E15" s="449"/>
      <c r="F15" s="449"/>
      <c r="G15" s="459"/>
      <c r="K15" s="302">
        <v>0.66666666666666663</v>
      </c>
      <c r="M15" s="301">
        <f>SUM(K15:K21)/7</f>
        <v>0.63095238095238082</v>
      </c>
    </row>
    <row r="16" spans="1:13" ht="15.6" customHeight="1" x14ac:dyDescent="0.2">
      <c r="A16" s="296">
        <v>43885</v>
      </c>
      <c r="B16" s="297">
        <v>0.625</v>
      </c>
      <c r="C16" s="297">
        <v>0.65625</v>
      </c>
      <c r="D16" s="298">
        <f>(C16-B16)</f>
        <v>3.125E-2</v>
      </c>
      <c r="E16" s="486" t="s">
        <v>99</v>
      </c>
      <c r="F16" s="474"/>
      <c r="G16" s="458">
        <v>3</v>
      </c>
      <c r="K16" s="302">
        <v>0.96527777777777779</v>
      </c>
    </row>
    <row r="17" spans="1:11" ht="16.149999999999999" customHeight="1" thickBot="1" x14ac:dyDescent="0.25">
      <c r="A17" s="299"/>
      <c r="B17" s="300"/>
      <c r="C17" s="300"/>
      <c r="D17" s="300"/>
      <c r="E17" s="475"/>
      <c r="F17" s="475"/>
      <c r="G17" s="459"/>
      <c r="K17" s="302">
        <v>0.69791666666666663</v>
      </c>
    </row>
    <row r="18" spans="1:11" ht="15.75" x14ac:dyDescent="0.2">
      <c r="A18" s="296">
        <v>43885</v>
      </c>
      <c r="B18" s="297">
        <v>0.67708333333333337</v>
      </c>
      <c r="C18" s="297">
        <v>0.70833333333333337</v>
      </c>
      <c r="D18" s="298">
        <f>(C18-B18)</f>
        <v>3.125E-2</v>
      </c>
      <c r="E18" s="486" t="s">
        <v>99</v>
      </c>
      <c r="F18" s="487"/>
      <c r="G18" s="458">
        <v>3</v>
      </c>
      <c r="K18" s="302">
        <v>0.99305555555555547</v>
      </c>
    </row>
    <row r="19" spans="1:11" ht="15.75" customHeight="1" thickBot="1" x14ac:dyDescent="0.25">
      <c r="A19" s="299"/>
      <c r="B19" s="300"/>
      <c r="C19" s="300"/>
      <c r="D19" s="300"/>
      <c r="E19" s="488"/>
      <c r="F19" s="489"/>
      <c r="G19" s="459"/>
      <c r="I19" s="8"/>
      <c r="K19" s="303">
        <v>0.72222222222222221</v>
      </c>
    </row>
    <row r="20" spans="1:11" ht="15.75" customHeight="1" x14ac:dyDescent="0.25">
      <c r="A20" s="307">
        <v>43885</v>
      </c>
      <c r="B20" s="308">
        <v>0.72916666666666663</v>
      </c>
      <c r="C20" s="308">
        <v>0.76388888888888884</v>
      </c>
      <c r="D20" s="257">
        <f>(C20-B20)</f>
        <v>3.472222222222221E-2</v>
      </c>
      <c r="E20" s="470" t="s">
        <v>100</v>
      </c>
      <c r="F20" s="471"/>
      <c r="G20" s="458"/>
      <c r="H20" s="8"/>
      <c r="I20" s="8"/>
      <c r="K20" s="303">
        <v>0.37152777777777773</v>
      </c>
    </row>
    <row r="21" spans="1:11" ht="15.75" customHeight="1" thickBot="1" x14ac:dyDescent="0.3">
      <c r="A21" s="291"/>
      <c r="B21" s="292"/>
      <c r="C21" s="292"/>
      <c r="D21" s="292"/>
      <c r="E21" s="472"/>
      <c r="F21" s="473"/>
      <c r="G21" s="459"/>
      <c r="I21" s="8"/>
      <c r="K21" s="304"/>
    </row>
    <row r="22" spans="1:11" ht="15.6" customHeight="1" x14ac:dyDescent="0.2">
      <c r="A22" s="272">
        <v>43886</v>
      </c>
      <c r="B22" s="257">
        <v>0.4375</v>
      </c>
      <c r="C22" s="257">
        <v>0.47916666666666669</v>
      </c>
      <c r="D22" s="257">
        <f>(C22-B22)</f>
        <v>4.1666666666666685E-2</v>
      </c>
      <c r="E22" s="470" t="s">
        <v>101</v>
      </c>
      <c r="F22" s="471"/>
      <c r="G22" s="458"/>
      <c r="I22" s="9"/>
      <c r="K22" s="8"/>
    </row>
    <row r="23" spans="1:11" ht="18.75" customHeight="1" thickBot="1" x14ac:dyDescent="0.3">
      <c r="A23" s="291"/>
      <c r="B23" s="292"/>
      <c r="C23" s="292"/>
      <c r="D23" s="292"/>
      <c r="E23" s="472"/>
      <c r="F23" s="473"/>
      <c r="G23" s="459"/>
      <c r="I23" s="10"/>
      <c r="K23" s="8"/>
    </row>
    <row r="24" spans="1:11" ht="15.75" x14ac:dyDescent="0.2">
      <c r="A24" s="272">
        <v>43886</v>
      </c>
      <c r="B24" s="257">
        <v>0.53819444444444442</v>
      </c>
      <c r="C24" s="257">
        <v>0.56944444444444442</v>
      </c>
      <c r="D24" s="257">
        <f>(C24-B24)</f>
        <v>3.125E-2</v>
      </c>
      <c r="E24" s="470" t="s">
        <v>101</v>
      </c>
      <c r="F24" s="471"/>
      <c r="G24" s="480"/>
      <c r="H24" s="8"/>
      <c r="K24" s="8"/>
    </row>
    <row r="25" spans="1:11" ht="18" customHeight="1" thickBot="1" x14ac:dyDescent="0.25">
      <c r="A25" s="309"/>
      <c r="B25" s="310"/>
      <c r="C25" s="310"/>
      <c r="D25" s="310"/>
      <c r="E25" s="472"/>
      <c r="F25" s="473"/>
      <c r="G25" s="481"/>
      <c r="H25" s="9"/>
      <c r="K25" s="9"/>
    </row>
    <row r="26" spans="1:11" ht="15.6" customHeight="1" x14ac:dyDescent="0.2">
      <c r="A26" s="272">
        <v>43886</v>
      </c>
      <c r="B26" s="256">
        <v>0.58333333333333337</v>
      </c>
      <c r="C26" s="256">
        <v>0.60069444444444442</v>
      </c>
      <c r="D26" s="257">
        <f>(C26-B26)</f>
        <v>1.7361111111111049E-2</v>
      </c>
      <c r="E26" s="470" t="s">
        <v>102</v>
      </c>
      <c r="F26" s="471"/>
      <c r="G26" s="480"/>
      <c r="H26" s="10"/>
      <c r="K26" s="11"/>
    </row>
    <row r="27" spans="1:11" ht="15.75" thickBot="1" x14ac:dyDescent="0.3">
      <c r="A27" s="291"/>
      <c r="B27" s="292"/>
      <c r="C27" s="292"/>
      <c r="D27" s="292"/>
      <c r="E27" s="472"/>
      <c r="F27" s="473"/>
      <c r="G27" s="481"/>
      <c r="H27" s="29"/>
      <c r="K27" s="7"/>
    </row>
    <row r="28" spans="1:11" ht="15.6" customHeight="1" x14ac:dyDescent="0.2">
      <c r="A28" s="276">
        <v>43886</v>
      </c>
      <c r="B28" s="286">
        <v>0.60069444444444442</v>
      </c>
      <c r="C28" s="286">
        <v>0.61458333333333337</v>
      </c>
      <c r="D28" s="277">
        <f>(C28-B28)</f>
        <v>1.3888888888888951E-2</v>
      </c>
      <c r="E28" s="462" t="s">
        <v>103</v>
      </c>
      <c r="F28" s="464"/>
      <c r="G28" s="458">
        <v>3</v>
      </c>
      <c r="H28" s="29"/>
    </row>
    <row r="29" spans="1:11" ht="16.5" thickBot="1" x14ac:dyDescent="0.3">
      <c r="A29" s="289"/>
      <c r="B29" s="290"/>
      <c r="C29" s="290"/>
      <c r="D29" s="290"/>
      <c r="E29" s="463"/>
      <c r="F29" s="465"/>
      <c r="G29" s="459"/>
      <c r="H29" s="29"/>
    </row>
    <row r="30" spans="1:11" ht="12.75" customHeight="1" x14ac:dyDescent="0.2">
      <c r="A30" s="272">
        <v>43886</v>
      </c>
      <c r="B30" s="256">
        <v>0.6875</v>
      </c>
      <c r="C30" s="256">
        <v>0.75347222222222221</v>
      </c>
      <c r="D30" s="257">
        <f>(C30-B30)</f>
        <v>6.597222222222221E-2</v>
      </c>
      <c r="E30" s="470" t="s">
        <v>104</v>
      </c>
      <c r="F30" s="471"/>
      <c r="G30" s="480"/>
      <c r="H30" s="29"/>
    </row>
    <row r="31" spans="1:11" ht="21.75" customHeight="1" thickBot="1" x14ac:dyDescent="0.3">
      <c r="A31" s="318"/>
      <c r="B31" s="319"/>
      <c r="C31" s="319"/>
      <c r="D31" s="319"/>
      <c r="E31" s="472"/>
      <c r="F31" s="473"/>
      <c r="G31" s="481"/>
      <c r="H31" s="29"/>
    </row>
    <row r="32" spans="1:11" ht="12.75" customHeight="1" x14ac:dyDescent="0.2">
      <c r="A32" s="267">
        <v>43887</v>
      </c>
      <c r="B32" s="252">
        <v>0.42708333333333331</v>
      </c>
      <c r="C32" s="252">
        <v>0.4513888888888889</v>
      </c>
      <c r="D32" s="244">
        <f>(C32-B32)</f>
        <v>2.430555555555558E-2</v>
      </c>
      <c r="E32" s="448" t="s">
        <v>105</v>
      </c>
      <c r="F32" s="476"/>
      <c r="G32" s="480"/>
      <c r="H32" s="29"/>
    </row>
    <row r="33" spans="1:8" ht="19.899999999999999" customHeight="1" thickBot="1" x14ac:dyDescent="0.3">
      <c r="A33" s="271"/>
      <c r="B33" s="255"/>
      <c r="C33" s="255"/>
      <c r="D33" s="255"/>
      <c r="E33" s="449"/>
      <c r="F33" s="477"/>
      <c r="G33" s="481"/>
      <c r="H33" s="29"/>
    </row>
    <row r="34" spans="1:8" ht="12.75" customHeight="1" x14ac:dyDescent="0.2">
      <c r="A34" s="272">
        <v>43887</v>
      </c>
      <c r="B34" s="256">
        <v>0.4861111111111111</v>
      </c>
      <c r="C34" s="256">
        <v>0.56944444444444442</v>
      </c>
      <c r="D34" s="257">
        <f>(C34-B34)</f>
        <v>8.3333333333333315E-2</v>
      </c>
      <c r="E34" s="470" t="s">
        <v>106</v>
      </c>
      <c r="F34" s="471"/>
      <c r="G34" s="480"/>
      <c r="H34" s="29"/>
    </row>
    <row r="35" spans="1:8" ht="20.45" customHeight="1" thickBot="1" x14ac:dyDescent="0.3">
      <c r="A35" s="273"/>
      <c r="B35" s="258"/>
      <c r="C35" s="258"/>
      <c r="D35" s="258"/>
      <c r="E35" s="472"/>
      <c r="F35" s="473"/>
      <c r="G35" s="481"/>
      <c r="H35" s="29"/>
    </row>
    <row r="36" spans="1:8" ht="13.5" customHeight="1" x14ac:dyDescent="0.2">
      <c r="A36" s="272">
        <v>43887</v>
      </c>
      <c r="B36" s="256">
        <v>0.59722222222222221</v>
      </c>
      <c r="C36" s="256">
        <v>0.63194444444444442</v>
      </c>
      <c r="D36" s="257">
        <f>(C36-B36)</f>
        <v>3.472222222222221E-2</v>
      </c>
      <c r="E36" s="470" t="s">
        <v>107</v>
      </c>
      <c r="F36" s="471"/>
      <c r="G36" s="480"/>
      <c r="H36" s="29"/>
    </row>
    <row r="37" spans="1:8" ht="21" customHeight="1" thickBot="1" x14ac:dyDescent="0.3">
      <c r="A37" s="273"/>
      <c r="B37" s="258"/>
      <c r="C37" s="258"/>
      <c r="D37" s="258"/>
      <c r="E37" s="472"/>
      <c r="F37" s="473"/>
      <c r="G37" s="481"/>
      <c r="H37" s="29"/>
    </row>
    <row r="38" spans="1:8" ht="15" customHeight="1" x14ac:dyDescent="0.2">
      <c r="A38" s="272">
        <v>43887</v>
      </c>
      <c r="B38" s="256">
        <v>0.64583333333333337</v>
      </c>
      <c r="C38" s="256">
        <v>0.66666666666666663</v>
      </c>
      <c r="D38" s="257">
        <f>(C38-B38)</f>
        <v>2.0833333333333259E-2</v>
      </c>
      <c r="E38" s="470" t="s">
        <v>108</v>
      </c>
      <c r="F38" s="471"/>
      <c r="G38" s="458"/>
    </row>
    <row r="39" spans="1:8" ht="16.5" thickBot="1" x14ac:dyDescent="0.3">
      <c r="A39" s="273"/>
      <c r="B39" s="258"/>
      <c r="C39" s="258"/>
      <c r="D39" s="258"/>
      <c r="E39" s="472"/>
      <c r="F39" s="473"/>
      <c r="G39" s="459"/>
    </row>
    <row r="40" spans="1:8" ht="15.75" x14ac:dyDescent="0.2">
      <c r="A40" s="267">
        <v>43888</v>
      </c>
      <c r="B40" s="252">
        <v>0.41666666666666669</v>
      </c>
      <c r="C40" s="252">
        <v>0.42708333333333331</v>
      </c>
      <c r="D40" s="244">
        <f>(C40-B40)</f>
        <v>1.041666666666663E-2</v>
      </c>
      <c r="E40" s="448" t="s">
        <v>109</v>
      </c>
      <c r="F40" s="476"/>
      <c r="G40" s="458"/>
    </row>
    <row r="41" spans="1:8" ht="16.5" thickBot="1" x14ac:dyDescent="0.3">
      <c r="A41" s="271"/>
      <c r="B41" s="255"/>
      <c r="C41" s="255"/>
      <c r="D41" s="255"/>
      <c r="E41" s="449"/>
      <c r="F41" s="477"/>
      <c r="G41" s="459"/>
    </row>
    <row r="42" spans="1:8" ht="15.75" x14ac:dyDescent="0.2">
      <c r="A42" s="272">
        <v>43888</v>
      </c>
      <c r="B42" s="256">
        <v>0.4375</v>
      </c>
      <c r="C42" s="256">
        <v>0.47222222222222227</v>
      </c>
      <c r="D42" s="257">
        <f>(C42-B42)</f>
        <v>3.4722222222222265E-2</v>
      </c>
      <c r="E42" s="441" t="s">
        <v>110</v>
      </c>
      <c r="F42" s="456"/>
      <c r="G42" s="458"/>
    </row>
    <row r="43" spans="1:8" ht="16.5" thickBot="1" x14ac:dyDescent="0.3">
      <c r="A43" s="273"/>
      <c r="B43" s="258"/>
      <c r="C43" s="258"/>
      <c r="D43" s="258"/>
      <c r="E43" s="442"/>
      <c r="F43" s="457"/>
      <c r="G43" s="459"/>
    </row>
    <row r="44" spans="1:8" ht="15.75" x14ac:dyDescent="0.2">
      <c r="A44" s="276">
        <v>43888</v>
      </c>
      <c r="B44" s="286">
        <v>0.52430555555555558</v>
      </c>
      <c r="C44" s="286">
        <v>0.54513888888888895</v>
      </c>
      <c r="D44" s="277">
        <f>(C44-B44)</f>
        <v>2.083333333333337E-2</v>
      </c>
      <c r="E44" s="452" t="s">
        <v>111</v>
      </c>
      <c r="F44" s="453"/>
      <c r="G44" s="458">
        <v>6</v>
      </c>
    </row>
    <row r="45" spans="1:8" ht="16.5" thickBot="1" x14ac:dyDescent="0.3">
      <c r="A45" s="287"/>
      <c r="B45" s="288"/>
      <c r="C45" s="288"/>
      <c r="D45" s="288"/>
      <c r="E45" s="454"/>
      <c r="F45" s="455"/>
      <c r="G45" s="459"/>
    </row>
    <row r="46" spans="1:8" ht="15.75" x14ac:dyDescent="0.2">
      <c r="A46" s="272">
        <v>43888</v>
      </c>
      <c r="B46" s="256">
        <v>0.55208333333333337</v>
      </c>
      <c r="C46" s="256">
        <v>0.5625</v>
      </c>
      <c r="D46" s="257">
        <f>(C46-B46)</f>
        <v>1.041666666666663E-2</v>
      </c>
      <c r="E46" s="441" t="s">
        <v>112</v>
      </c>
      <c r="F46" s="456"/>
      <c r="G46" s="458"/>
    </row>
    <row r="47" spans="1:8" ht="16.5" thickBot="1" x14ac:dyDescent="0.3">
      <c r="A47" s="273"/>
      <c r="B47" s="258"/>
      <c r="C47" s="258"/>
      <c r="D47" s="258"/>
      <c r="E47" s="442"/>
      <c r="F47" s="457"/>
      <c r="G47" s="459"/>
    </row>
    <row r="48" spans="1:8" ht="15.75" x14ac:dyDescent="0.2">
      <c r="A48" s="272">
        <v>43888</v>
      </c>
      <c r="B48" s="256">
        <v>0.5625</v>
      </c>
      <c r="C48" s="256">
        <v>0.60416666666666663</v>
      </c>
      <c r="D48" s="257">
        <f>(C48-B48)</f>
        <v>4.166666666666663E-2</v>
      </c>
      <c r="E48" s="441" t="s">
        <v>113</v>
      </c>
      <c r="F48" s="456"/>
      <c r="G48" s="458"/>
    </row>
    <row r="49" spans="1:7" ht="16.5" thickBot="1" x14ac:dyDescent="0.3">
      <c r="A49" s="273"/>
      <c r="B49" s="258"/>
      <c r="C49" s="258"/>
      <c r="D49" s="258"/>
      <c r="E49" s="442"/>
      <c r="F49" s="457"/>
      <c r="G49" s="459"/>
    </row>
    <row r="50" spans="1:7" ht="15.75" x14ac:dyDescent="0.2">
      <c r="A50" s="267">
        <v>43889</v>
      </c>
      <c r="B50" s="252">
        <v>0.50694444444444442</v>
      </c>
      <c r="C50" s="252">
        <v>0.52083333333333337</v>
      </c>
      <c r="D50" s="244">
        <f>(C50-B50)</f>
        <v>1.3888888888888951E-2</v>
      </c>
      <c r="E50" s="439" t="s">
        <v>114</v>
      </c>
      <c r="F50" s="478"/>
      <c r="G50" s="458"/>
    </row>
    <row r="51" spans="1:7" ht="16.5" thickBot="1" x14ac:dyDescent="0.3">
      <c r="A51" s="271"/>
      <c r="B51" s="255"/>
      <c r="C51" s="255"/>
      <c r="D51" s="255"/>
      <c r="E51" s="440"/>
      <c r="F51" s="479"/>
      <c r="G51" s="459"/>
    </row>
    <row r="52" spans="1:7" ht="15.75" x14ac:dyDescent="0.2">
      <c r="A52" s="272">
        <v>43890</v>
      </c>
      <c r="B52" s="256">
        <v>0.52083333333333337</v>
      </c>
      <c r="C52" s="256">
        <v>0.58333333333333337</v>
      </c>
      <c r="D52" s="257">
        <f>(C52-B52)</f>
        <v>6.25E-2</v>
      </c>
      <c r="E52" s="441" t="s">
        <v>115</v>
      </c>
      <c r="F52" s="456"/>
      <c r="G52" s="458"/>
    </row>
    <row r="53" spans="1:7" ht="16.5" thickBot="1" x14ac:dyDescent="0.3">
      <c r="A53" s="273"/>
      <c r="B53" s="258"/>
      <c r="C53" s="258"/>
      <c r="D53" s="258"/>
      <c r="E53" s="442"/>
      <c r="F53" s="457"/>
      <c r="G53" s="459"/>
    </row>
    <row r="54" spans="1:7" ht="15.75" customHeight="1" x14ac:dyDescent="0.2">
      <c r="A54" s="272">
        <v>43890</v>
      </c>
      <c r="B54" s="256">
        <v>0.58333333333333337</v>
      </c>
      <c r="C54" s="256">
        <v>0.625</v>
      </c>
      <c r="D54" s="257">
        <f>(C54-B54)</f>
        <v>4.166666666666663E-2</v>
      </c>
      <c r="E54" s="441" t="s">
        <v>116</v>
      </c>
      <c r="F54" s="456"/>
      <c r="G54" s="458"/>
    </row>
    <row r="55" spans="1:7" ht="16.5" thickBot="1" x14ac:dyDescent="0.3">
      <c r="A55" s="273"/>
      <c r="B55" s="258"/>
      <c r="C55" s="258"/>
      <c r="D55" s="258"/>
      <c r="E55" s="442"/>
      <c r="F55" s="457"/>
      <c r="G55" s="459"/>
    </row>
    <row r="56" spans="1:7" ht="15.75" x14ac:dyDescent="0.2">
      <c r="A56" s="272">
        <v>43890</v>
      </c>
      <c r="B56" s="256">
        <v>0.64583333333333337</v>
      </c>
      <c r="C56" s="256">
        <v>0.68055555555555547</v>
      </c>
      <c r="D56" s="257">
        <f>(C56-B56)</f>
        <v>3.4722222222222099E-2</v>
      </c>
      <c r="E56" s="441" t="s">
        <v>117</v>
      </c>
      <c r="F56" s="456"/>
      <c r="G56" s="458"/>
    </row>
    <row r="57" spans="1:7" ht="13.15" customHeight="1" thickBot="1" x14ac:dyDescent="0.3">
      <c r="A57" s="273"/>
      <c r="B57" s="258"/>
      <c r="C57" s="258"/>
      <c r="D57" s="258"/>
      <c r="E57" s="442"/>
      <c r="F57" s="457"/>
      <c r="G57" s="459"/>
    </row>
    <row r="58" spans="1:7" ht="15.75" x14ac:dyDescent="0.2">
      <c r="A58" s="267">
        <v>43891</v>
      </c>
      <c r="B58" s="252">
        <v>0.68055555555555547</v>
      </c>
      <c r="C58" s="252">
        <v>0.75</v>
      </c>
      <c r="D58" s="244">
        <f>(C58-B58)</f>
        <v>6.9444444444444531E-2</v>
      </c>
      <c r="E58" s="439" t="s">
        <v>118</v>
      </c>
      <c r="F58" s="478"/>
      <c r="G58" s="458"/>
    </row>
    <row r="59" spans="1:7" ht="12.6" customHeight="1" thickBot="1" x14ac:dyDescent="0.3">
      <c r="A59" s="271"/>
      <c r="B59" s="255"/>
      <c r="C59" s="255"/>
      <c r="D59" s="255"/>
      <c r="E59" s="440"/>
      <c r="F59" s="479"/>
      <c r="G59" s="459"/>
    </row>
    <row r="60" spans="1:7" ht="15.75" x14ac:dyDescent="0.2">
      <c r="A60" s="272">
        <v>43892</v>
      </c>
      <c r="B60" s="256">
        <v>0.78125</v>
      </c>
      <c r="C60" s="256">
        <v>0.81944444444444453</v>
      </c>
      <c r="D60" s="257">
        <f>(C60-B60)</f>
        <v>3.8194444444444531E-2</v>
      </c>
      <c r="E60" s="441" t="s">
        <v>119</v>
      </c>
      <c r="F60" s="456"/>
      <c r="G60" s="458"/>
    </row>
    <row r="61" spans="1:7" ht="12.6" customHeight="1" thickBot="1" x14ac:dyDescent="0.3">
      <c r="A61" s="273"/>
      <c r="B61" s="258"/>
      <c r="C61" s="258"/>
      <c r="D61" s="258"/>
      <c r="E61" s="442"/>
      <c r="F61" s="457"/>
      <c r="G61" s="459"/>
    </row>
    <row r="64" spans="1:7" ht="24" thickBot="1" x14ac:dyDescent="0.4">
      <c r="A64" s="28" t="s">
        <v>26</v>
      </c>
      <c r="B64" s="28"/>
      <c r="C64" s="27"/>
      <c r="D64" s="27"/>
      <c r="E64" s="27"/>
      <c r="F64" s="98"/>
      <c r="G64" s="98"/>
    </row>
    <row r="65" spans="1:16" ht="16.5" thickBot="1" x14ac:dyDescent="0.25">
      <c r="A65" s="234"/>
      <c r="B65" s="234"/>
      <c r="C65" s="234"/>
      <c r="D65" s="234"/>
      <c r="E65" s="234"/>
      <c r="F65" s="234"/>
      <c r="G65" s="234"/>
    </row>
    <row r="66" spans="1:16" ht="12.6" customHeight="1" x14ac:dyDescent="0.2">
      <c r="A66" s="430" t="s">
        <v>120</v>
      </c>
      <c r="B66" s="431"/>
      <c r="C66" s="431"/>
      <c r="D66" s="431"/>
      <c r="E66" s="431"/>
      <c r="F66" s="431"/>
      <c r="G66" s="432"/>
      <c r="J66" s="107"/>
      <c r="K66" s="275"/>
      <c r="L66" s="275"/>
      <c r="M66" s="275"/>
      <c r="N66" s="275"/>
      <c r="O66" s="275"/>
      <c r="P66" s="275"/>
    </row>
    <row r="67" spans="1:16" ht="13.15" customHeight="1" x14ac:dyDescent="0.2">
      <c r="A67" s="433"/>
      <c r="B67" s="434"/>
      <c r="C67" s="434"/>
      <c r="D67" s="434"/>
      <c r="E67" s="434"/>
      <c r="F67" s="434"/>
      <c r="G67" s="435"/>
      <c r="J67" s="275"/>
      <c r="K67" s="275"/>
      <c r="L67" s="275"/>
      <c r="M67" s="275"/>
      <c r="N67" s="275"/>
      <c r="O67" s="275"/>
      <c r="P67" s="275"/>
    </row>
    <row r="68" spans="1:16" ht="12.6" customHeight="1" x14ac:dyDescent="0.2">
      <c r="A68" s="433"/>
      <c r="B68" s="434"/>
      <c r="C68" s="434"/>
      <c r="D68" s="434"/>
      <c r="E68" s="434"/>
      <c r="F68" s="434"/>
      <c r="G68" s="435"/>
      <c r="J68" s="275"/>
      <c r="K68" s="275"/>
      <c r="L68" s="275"/>
      <c r="M68" s="275"/>
      <c r="N68" s="275"/>
      <c r="O68" s="275"/>
      <c r="P68" s="275"/>
    </row>
    <row r="69" spans="1:16" ht="12.6" customHeight="1" x14ac:dyDescent="0.2">
      <c r="A69" s="433"/>
      <c r="B69" s="434"/>
      <c r="C69" s="434"/>
      <c r="D69" s="434"/>
      <c r="E69" s="434"/>
      <c r="F69" s="434"/>
      <c r="G69" s="435"/>
      <c r="J69" s="275"/>
      <c r="K69" s="275"/>
      <c r="L69" s="275"/>
      <c r="M69" s="275"/>
      <c r="N69" s="275"/>
      <c r="O69" s="275"/>
      <c r="P69" s="275"/>
    </row>
    <row r="70" spans="1:16" ht="12.6" customHeight="1" x14ac:dyDescent="0.2">
      <c r="A70" s="433"/>
      <c r="B70" s="434"/>
      <c r="C70" s="434"/>
      <c r="D70" s="434"/>
      <c r="E70" s="434"/>
      <c r="F70" s="434"/>
      <c r="G70" s="435"/>
      <c r="J70" s="275"/>
      <c r="K70" s="275"/>
      <c r="L70" s="275"/>
      <c r="M70" s="275"/>
      <c r="N70" s="275"/>
      <c r="O70" s="275"/>
      <c r="P70" s="275"/>
    </row>
    <row r="71" spans="1:16" ht="12.6" customHeight="1" x14ac:dyDescent="0.2">
      <c r="A71" s="433"/>
      <c r="B71" s="434"/>
      <c r="C71" s="434"/>
      <c r="D71" s="434"/>
      <c r="E71" s="434"/>
      <c r="F71" s="434"/>
      <c r="G71" s="435"/>
      <c r="J71" s="275"/>
      <c r="K71" s="275"/>
      <c r="L71" s="275"/>
      <c r="M71" s="275"/>
      <c r="N71" s="275"/>
      <c r="O71" s="275"/>
      <c r="P71" s="275"/>
    </row>
    <row r="72" spans="1:16" ht="12.6" customHeight="1" x14ac:dyDescent="0.2">
      <c r="A72" s="433"/>
      <c r="B72" s="434"/>
      <c r="C72" s="434"/>
      <c r="D72" s="434"/>
      <c r="E72" s="434"/>
      <c r="F72" s="434"/>
      <c r="G72" s="435"/>
      <c r="J72" s="275"/>
      <c r="K72" s="275"/>
      <c r="L72" s="275"/>
      <c r="M72" s="275"/>
      <c r="N72" s="275"/>
      <c r="O72" s="275"/>
      <c r="P72" s="275"/>
    </row>
    <row r="73" spans="1:16" ht="12.6" customHeight="1" x14ac:dyDescent="0.2">
      <c r="A73" s="433"/>
      <c r="B73" s="434"/>
      <c r="C73" s="434"/>
      <c r="D73" s="434"/>
      <c r="E73" s="434"/>
      <c r="F73" s="434"/>
      <c r="G73" s="435"/>
      <c r="J73" s="275"/>
      <c r="K73" s="275"/>
      <c r="L73" s="275"/>
      <c r="M73" s="275"/>
      <c r="N73" s="275"/>
      <c r="O73" s="275"/>
      <c r="P73" s="275"/>
    </row>
    <row r="74" spans="1:16" ht="12.6" customHeight="1" x14ac:dyDescent="0.2">
      <c r="A74" s="433"/>
      <c r="B74" s="434"/>
      <c r="C74" s="434"/>
      <c r="D74" s="434"/>
      <c r="E74" s="434"/>
      <c r="F74" s="434"/>
      <c r="G74" s="435"/>
      <c r="J74" s="275"/>
      <c r="K74" s="275"/>
      <c r="L74" s="275"/>
      <c r="M74" s="275"/>
      <c r="N74" s="275"/>
      <c r="O74" s="275"/>
      <c r="P74" s="275"/>
    </row>
    <row r="75" spans="1:16" ht="12.6" customHeight="1" x14ac:dyDescent="0.2">
      <c r="A75" s="433"/>
      <c r="B75" s="434"/>
      <c r="C75" s="434"/>
      <c r="D75" s="434"/>
      <c r="E75" s="434"/>
      <c r="F75" s="434"/>
      <c r="G75" s="435"/>
      <c r="J75" s="275"/>
      <c r="K75" s="275"/>
      <c r="L75" s="275"/>
      <c r="M75" s="275"/>
      <c r="N75" s="275"/>
      <c r="O75" s="275"/>
      <c r="P75" s="275"/>
    </row>
    <row r="76" spans="1:16" ht="12.6" customHeight="1" x14ac:dyDescent="0.2">
      <c r="A76" s="433"/>
      <c r="B76" s="434"/>
      <c r="C76" s="434"/>
      <c r="D76" s="434"/>
      <c r="E76" s="434"/>
      <c r="F76" s="434"/>
      <c r="G76" s="435"/>
      <c r="J76" s="275"/>
      <c r="K76" s="275"/>
      <c r="L76" s="275"/>
      <c r="M76" s="275"/>
      <c r="N76" s="275"/>
      <c r="O76" s="275"/>
      <c r="P76" s="275"/>
    </row>
    <row r="77" spans="1:16" ht="12.6" customHeight="1" x14ac:dyDescent="0.2">
      <c r="A77" s="433"/>
      <c r="B77" s="434"/>
      <c r="C77" s="434"/>
      <c r="D77" s="434"/>
      <c r="E77" s="434"/>
      <c r="F77" s="434"/>
      <c r="G77" s="435"/>
      <c r="J77" s="275"/>
      <c r="K77" s="275"/>
      <c r="L77" s="275"/>
      <c r="M77" s="275"/>
      <c r="N77" s="275"/>
      <c r="O77" s="275"/>
      <c r="P77" s="275"/>
    </row>
    <row r="78" spans="1:16" ht="12.6" customHeight="1" x14ac:dyDescent="0.2">
      <c r="A78" s="433"/>
      <c r="B78" s="434"/>
      <c r="C78" s="434"/>
      <c r="D78" s="434"/>
      <c r="E78" s="434"/>
      <c r="F78" s="434"/>
      <c r="G78" s="435"/>
      <c r="J78" s="275"/>
      <c r="K78" s="275"/>
      <c r="L78" s="275"/>
      <c r="M78" s="275"/>
      <c r="N78" s="275"/>
      <c r="O78" s="275"/>
      <c r="P78" s="275"/>
    </row>
    <row r="79" spans="1:16" ht="12.6" customHeight="1" x14ac:dyDescent="0.2">
      <c r="A79" s="433"/>
      <c r="B79" s="434"/>
      <c r="C79" s="434"/>
      <c r="D79" s="434"/>
      <c r="E79" s="434"/>
      <c r="F79" s="434"/>
      <c r="G79" s="435"/>
      <c r="J79" s="275"/>
      <c r="K79" s="275"/>
      <c r="L79" s="275"/>
      <c r="M79" s="275"/>
      <c r="N79" s="275"/>
      <c r="O79" s="275"/>
      <c r="P79" s="275"/>
    </row>
    <row r="80" spans="1:16" ht="12.6" customHeight="1" x14ac:dyDescent="0.2">
      <c r="A80" s="433"/>
      <c r="B80" s="434"/>
      <c r="C80" s="434"/>
      <c r="D80" s="434"/>
      <c r="E80" s="434"/>
      <c r="F80" s="434"/>
      <c r="G80" s="435"/>
    </row>
    <row r="81" spans="1:7" ht="13.15" customHeight="1" x14ac:dyDescent="0.2">
      <c r="A81" s="433"/>
      <c r="B81" s="434"/>
      <c r="C81" s="434"/>
      <c r="D81" s="434"/>
      <c r="E81" s="434"/>
      <c r="F81" s="434"/>
      <c r="G81" s="435"/>
    </row>
    <row r="82" spans="1:7" ht="12.75" customHeight="1" x14ac:dyDescent="0.2">
      <c r="A82" s="433"/>
      <c r="B82" s="434"/>
      <c r="C82" s="434"/>
      <c r="D82" s="434"/>
      <c r="E82" s="434"/>
      <c r="F82" s="434"/>
      <c r="G82" s="435"/>
    </row>
    <row r="83" spans="1:7" ht="12.75" customHeight="1" x14ac:dyDescent="0.2">
      <c r="A83" s="433"/>
      <c r="B83" s="434"/>
      <c r="C83" s="434"/>
      <c r="D83" s="434"/>
      <c r="E83" s="434"/>
      <c r="F83" s="434"/>
      <c r="G83" s="435"/>
    </row>
    <row r="84" spans="1:7" ht="12.75" customHeight="1" x14ac:dyDescent="0.2">
      <c r="A84" s="433"/>
      <c r="B84" s="434"/>
      <c r="C84" s="434"/>
      <c r="D84" s="434"/>
      <c r="E84" s="434"/>
      <c r="F84" s="434"/>
      <c r="G84" s="435"/>
    </row>
    <row r="85" spans="1:7" ht="12.75" customHeight="1" x14ac:dyDescent="0.2">
      <c r="A85" s="433"/>
      <c r="B85" s="434"/>
      <c r="C85" s="434"/>
      <c r="D85" s="434"/>
      <c r="E85" s="434"/>
      <c r="F85" s="434"/>
      <c r="G85" s="435"/>
    </row>
    <row r="86" spans="1:7" ht="12.75" customHeight="1" x14ac:dyDescent="0.2">
      <c r="A86" s="433"/>
      <c r="B86" s="434"/>
      <c r="C86" s="434"/>
      <c r="D86" s="434"/>
      <c r="E86" s="434"/>
      <c r="F86" s="434"/>
      <c r="G86" s="435"/>
    </row>
    <row r="87" spans="1:7" ht="12.75" customHeight="1" x14ac:dyDescent="0.2">
      <c r="A87" s="433"/>
      <c r="B87" s="434"/>
      <c r="C87" s="434"/>
      <c r="D87" s="434"/>
      <c r="E87" s="434"/>
      <c r="F87" s="434"/>
      <c r="G87" s="435"/>
    </row>
    <row r="88" spans="1:7" ht="12.75" customHeight="1" x14ac:dyDescent="0.2">
      <c r="A88" s="433"/>
      <c r="B88" s="434"/>
      <c r="C88" s="434"/>
      <c r="D88" s="434"/>
      <c r="E88" s="434"/>
      <c r="F88" s="434"/>
      <c r="G88" s="435"/>
    </row>
    <row r="89" spans="1:7" ht="12.75" customHeight="1" x14ac:dyDescent="0.2">
      <c r="A89" s="433"/>
      <c r="B89" s="434"/>
      <c r="C89" s="434"/>
      <c r="D89" s="434"/>
      <c r="E89" s="434"/>
      <c r="F89" s="434"/>
      <c r="G89" s="435"/>
    </row>
    <row r="90" spans="1:7" ht="12.75" customHeight="1" x14ac:dyDescent="0.2">
      <c r="A90" s="433"/>
      <c r="B90" s="434"/>
      <c r="C90" s="434"/>
      <c r="D90" s="434"/>
      <c r="E90" s="434"/>
      <c r="F90" s="434"/>
      <c r="G90" s="435"/>
    </row>
    <row r="91" spans="1:7" ht="12.75" customHeight="1" x14ac:dyDescent="0.2">
      <c r="A91" s="433"/>
      <c r="B91" s="434"/>
      <c r="C91" s="434"/>
      <c r="D91" s="434"/>
      <c r="E91" s="434"/>
      <c r="F91" s="434"/>
      <c r="G91" s="435"/>
    </row>
    <row r="92" spans="1:7" ht="12.75" customHeight="1" x14ac:dyDescent="0.2">
      <c r="A92" s="433"/>
      <c r="B92" s="434"/>
      <c r="C92" s="434"/>
      <c r="D92" s="434"/>
      <c r="E92" s="434"/>
      <c r="F92" s="434"/>
      <c r="G92" s="435"/>
    </row>
    <row r="93" spans="1:7" ht="12.75" customHeight="1" x14ac:dyDescent="0.2">
      <c r="A93" s="433"/>
      <c r="B93" s="434"/>
      <c r="C93" s="434"/>
      <c r="D93" s="434"/>
      <c r="E93" s="434"/>
      <c r="F93" s="434"/>
      <c r="G93" s="435"/>
    </row>
    <row r="94" spans="1:7" ht="12.75" customHeight="1" x14ac:dyDescent="0.2">
      <c r="A94" s="433"/>
      <c r="B94" s="434"/>
      <c r="C94" s="434"/>
      <c r="D94" s="434"/>
      <c r="E94" s="434"/>
      <c r="F94" s="434"/>
      <c r="G94" s="435"/>
    </row>
    <row r="95" spans="1:7" ht="12.75" customHeight="1" x14ac:dyDescent="0.2">
      <c r="A95" s="433"/>
      <c r="B95" s="434"/>
      <c r="C95" s="434"/>
      <c r="D95" s="434"/>
      <c r="E95" s="434"/>
      <c r="F95" s="434"/>
      <c r="G95" s="435"/>
    </row>
    <row r="96" spans="1:7" ht="12.75" customHeight="1" x14ac:dyDescent="0.2">
      <c r="A96" s="433"/>
      <c r="B96" s="434"/>
      <c r="C96" s="434"/>
      <c r="D96" s="434"/>
      <c r="E96" s="434"/>
      <c r="F96" s="434"/>
      <c r="G96" s="435"/>
    </row>
    <row r="97" spans="1:8" ht="12.75" customHeight="1" x14ac:dyDescent="0.2">
      <c r="A97" s="433"/>
      <c r="B97" s="434"/>
      <c r="C97" s="434"/>
      <c r="D97" s="434"/>
      <c r="E97" s="434"/>
      <c r="F97" s="434"/>
      <c r="G97" s="435"/>
    </row>
    <row r="98" spans="1:8" ht="12.75" customHeight="1" x14ac:dyDescent="0.2">
      <c r="A98" s="433"/>
      <c r="B98" s="434"/>
      <c r="C98" s="434"/>
      <c r="D98" s="434"/>
      <c r="E98" s="434"/>
      <c r="F98" s="434"/>
      <c r="G98" s="435"/>
    </row>
    <row r="99" spans="1:8" ht="12.75" customHeight="1" x14ac:dyDescent="0.2">
      <c r="A99" s="433"/>
      <c r="B99" s="434"/>
      <c r="C99" s="434"/>
      <c r="D99" s="434"/>
      <c r="E99" s="434"/>
      <c r="F99" s="434"/>
      <c r="G99" s="435"/>
      <c r="H99" s="5"/>
    </row>
    <row r="100" spans="1:8" ht="12.75" customHeight="1" x14ac:dyDescent="0.2">
      <c r="A100" s="433"/>
      <c r="B100" s="434"/>
      <c r="C100" s="434"/>
      <c r="D100" s="434"/>
      <c r="E100" s="434"/>
      <c r="F100" s="434"/>
      <c r="G100" s="435"/>
      <c r="H100" s="5"/>
    </row>
    <row r="101" spans="1:8" ht="12.75" customHeight="1" x14ac:dyDescent="0.2">
      <c r="A101" s="433"/>
      <c r="B101" s="434"/>
      <c r="C101" s="434"/>
      <c r="D101" s="434"/>
      <c r="E101" s="434"/>
      <c r="F101" s="434"/>
      <c r="G101" s="435"/>
      <c r="H101" s="5"/>
    </row>
    <row r="102" spans="1:8" ht="12.75" customHeight="1" x14ac:dyDescent="0.2">
      <c r="A102" s="433"/>
      <c r="B102" s="434"/>
      <c r="C102" s="434"/>
      <c r="D102" s="434"/>
      <c r="E102" s="434"/>
      <c r="F102" s="434"/>
      <c r="G102" s="435"/>
      <c r="H102" s="5"/>
    </row>
    <row r="103" spans="1:8" ht="12.75" customHeight="1" x14ac:dyDescent="0.2">
      <c r="A103" s="433"/>
      <c r="B103" s="434"/>
      <c r="C103" s="434"/>
      <c r="D103" s="434"/>
      <c r="E103" s="434"/>
      <c r="F103" s="434"/>
      <c r="G103" s="435"/>
      <c r="H103" s="5"/>
    </row>
    <row r="104" spans="1:8" ht="12.75" customHeight="1" x14ac:dyDescent="0.2">
      <c r="A104" s="433"/>
      <c r="B104" s="434"/>
      <c r="C104" s="434"/>
      <c r="D104" s="434"/>
      <c r="E104" s="434"/>
      <c r="F104" s="434"/>
      <c r="G104" s="435"/>
      <c r="H104" s="5"/>
    </row>
    <row r="105" spans="1:8" ht="12.75" customHeight="1" x14ac:dyDescent="0.2">
      <c r="A105" s="433"/>
      <c r="B105" s="434"/>
      <c r="C105" s="434"/>
      <c r="D105" s="434"/>
      <c r="E105" s="434"/>
      <c r="F105" s="434"/>
      <c r="G105" s="435"/>
      <c r="H105" s="5"/>
    </row>
    <row r="106" spans="1:8" ht="12.75" customHeight="1" x14ac:dyDescent="0.2">
      <c r="A106" s="433"/>
      <c r="B106" s="434"/>
      <c r="C106" s="434"/>
      <c r="D106" s="434"/>
      <c r="E106" s="434"/>
      <c r="F106" s="434"/>
      <c r="G106" s="435"/>
      <c r="H106" s="5"/>
    </row>
    <row r="107" spans="1:8" ht="12.75" customHeight="1" x14ac:dyDescent="0.2">
      <c r="A107" s="433"/>
      <c r="B107" s="434"/>
      <c r="C107" s="434"/>
      <c r="D107" s="434"/>
      <c r="E107" s="434"/>
      <c r="F107" s="434"/>
      <c r="G107" s="435"/>
      <c r="H107" s="5"/>
    </row>
    <row r="108" spans="1:8" ht="12.75" customHeight="1" x14ac:dyDescent="0.2">
      <c r="A108" s="433"/>
      <c r="B108" s="434"/>
      <c r="C108" s="434"/>
      <c r="D108" s="434"/>
      <c r="E108" s="434"/>
      <c r="F108" s="434"/>
      <c r="G108" s="435"/>
      <c r="H108" s="5"/>
    </row>
    <row r="109" spans="1:8" ht="12.75" customHeight="1" x14ac:dyDescent="0.2">
      <c r="A109" s="433"/>
      <c r="B109" s="434"/>
      <c r="C109" s="434"/>
      <c r="D109" s="434"/>
      <c r="E109" s="434"/>
      <c r="F109" s="434"/>
      <c r="G109" s="435"/>
      <c r="H109" s="5"/>
    </row>
    <row r="110" spans="1:8" ht="12.75" customHeight="1" x14ac:dyDescent="0.2">
      <c r="A110" s="433"/>
      <c r="B110" s="434"/>
      <c r="C110" s="434"/>
      <c r="D110" s="434"/>
      <c r="E110" s="434"/>
      <c r="F110" s="434"/>
      <c r="G110" s="435"/>
      <c r="H110" s="5"/>
    </row>
    <row r="111" spans="1:8" ht="12.75" customHeight="1" x14ac:dyDescent="0.2">
      <c r="A111" s="433"/>
      <c r="B111" s="434"/>
      <c r="C111" s="434"/>
      <c r="D111" s="434"/>
      <c r="E111" s="434"/>
      <c r="F111" s="434"/>
      <c r="G111" s="435"/>
      <c r="H111" s="5"/>
    </row>
    <row r="112" spans="1:8" ht="12.75" customHeight="1" x14ac:dyDescent="0.2">
      <c r="A112" s="433"/>
      <c r="B112" s="434"/>
      <c r="C112" s="434"/>
      <c r="D112" s="434"/>
      <c r="E112" s="434"/>
      <c r="F112" s="434"/>
      <c r="G112" s="435"/>
      <c r="H112" s="5"/>
    </row>
    <row r="113" spans="1:8" ht="12.75" customHeight="1" x14ac:dyDescent="0.2">
      <c r="A113" s="433"/>
      <c r="B113" s="434"/>
      <c r="C113" s="434"/>
      <c r="D113" s="434"/>
      <c r="E113" s="434"/>
      <c r="F113" s="434"/>
      <c r="G113" s="435"/>
      <c r="H113" s="5"/>
    </row>
    <row r="114" spans="1:8" ht="12.75" customHeight="1" x14ac:dyDescent="0.2">
      <c r="A114" s="433"/>
      <c r="B114" s="434"/>
      <c r="C114" s="434"/>
      <c r="D114" s="434"/>
      <c r="E114" s="434"/>
      <c r="F114" s="434"/>
      <c r="G114" s="435"/>
      <c r="H114" s="5"/>
    </row>
    <row r="115" spans="1:8" ht="13.5" customHeight="1" x14ac:dyDescent="0.2">
      <c r="A115" s="433"/>
      <c r="B115" s="434"/>
      <c r="C115" s="434"/>
      <c r="D115" s="434"/>
      <c r="E115" s="434"/>
      <c r="F115" s="434"/>
      <c r="G115" s="435"/>
      <c r="H115" s="5"/>
    </row>
    <row r="116" spans="1:8" ht="12.75" customHeight="1" x14ac:dyDescent="0.2">
      <c r="A116" s="433"/>
      <c r="B116" s="434"/>
      <c r="C116" s="434"/>
      <c r="D116" s="434"/>
      <c r="E116" s="434"/>
      <c r="F116" s="434"/>
      <c r="G116" s="435"/>
      <c r="H116" s="5"/>
    </row>
    <row r="117" spans="1:8" ht="12.75" customHeight="1" thickBot="1" x14ac:dyDescent="0.25">
      <c r="A117" s="436"/>
      <c r="B117" s="437"/>
      <c r="C117" s="437"/>
      <c r="D117" s="437"/>
      <c r="E117" s="437"/>
      <c r="F117" s="437"/>
      <c r="G117" s="438"/>
      <c r="H117" s="5"/>
    </row>
    <row r="118" spans="1:8" ht="12.75" customHeight="1" x14ac:dyDescent="0.2">
      <c r="H118" s="5"/>
    </row>
    <row r="119" spans="1:8" ht="12.75" customHeight="1" x14ac:dyDescent="0.2">
      <c r="A119" s="234"/>
      <c r="B119" s="234"/>
      <c r="C119" s="234"/>
      <c r="D119" s="234"/>
      <c r="E119" s="234"/>
      <c r="F119" s="234"/>
      <c r="G119" s="234"/>
      <c r="H119" s="5"/>
    </row>
    <row r="120" spans="1:8" ht="12.75" customHeight="1" x14ac:dyDescent="0.2">
      <c r="H120" s="5"/>
    </row>
    <row r="121" spans="1:8" ht="12.75" customHeight="1" x14ac:dyDescent="0.2">
      <c r="H121" s="5"/>
    </row>
    <row r="122" spans="1:8" ht="12.75" customHeight="1" x14ac:dyDescent="0.2">
      <c r="H122" s="5"/>
    </row>
    <row r="123" spans="1:8" ht="12.75" customHeight="1" x14ac:dyDescent="0.2">
      <c r="H123" s="5"/>
    </row>
    <row r="124" spans="1:8" ht="12.75" customHeight="1" x14ac:dyDescent="0.2">
      <c r="H124" s="5"/>
    </row>
    <row r="125" spans="1:8" ht="12.75" customHeight="1" x14ac:dyDescent="0.2">
      <c r="H125" s="5"/>
    </row>
    <row r="126" spans="1:8" ht="12.75" customHeight="1" x14ac:dyDescent="0.2">
      <c r="H126" s="5"/>
    </row>
    <row r="127" spans="1:8" ht="12.75" customHeight="1" x14ac:dyDescent="0.2">
      <c r="H127" s="5"/>
    </row>
    <row r="128" spans="1:8" ht="12.75" customHeight="1" x14ac:dyDescent="0.2">
      <c r="H128" s="5"/>
    </row>
    <row r="129" spans="8:8" ht="12.75" customHeight="1" x14ac:dyDescent="0.2">
      <c r="H129" s="5"/>
    </row>
    <row r="130" spans="8:8" ht="12.75" customHeight="1" x14ac:dyDescent="0.2">
      <c r="H130" s="5"/>
    </row>
    <row r="131" spans="8:8" ht="12.75" customHeight="1" x14ac:dyDescent="0.2">
      <c r="H131" s="5"/>
    </row>
    <row r="132" spans="8:8" ht="13.5" customHeight="1" x14ac:dyDescent="0.2">
      <c r="H132" s="5"/>
    </row>
    <row r="133" spans="8:8" x14ac:dyDescent="0.2">
      <c r="H133" s="5"/>
    </row>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57">
    <mergeCell ref="G16:G17"/>
    <mergeCell ref="E18:F19"/>
    <mergeCell ref="G18:G19"/>
    <mergeCell ref="E20:F21"/>
    <mergeCell ref="G20:G21"/>
    <mergeCell ref="A1:D1"/>
    <mergeCell ref="A4:A5"/>
    <mergeCell ref="C4:C5"/>
    <mergeCell ref="E16:F17"/>
    <mergeCell ref="E22:F23"/>
    <mergeCell ref="J4:J5"/>
    <mergeCell ref="E14:F15"/>
    <mergeCell ref="G14:G15"/>
    <mergeCell ref="E10:F11"/>
    <mergeCell ref="E12:F13"/>
    <mergeCell ref="G10:G11"/>
    <mergeCell ref="G12:G13"/>
    <mergeCell ref="G22:G23"/>
    <mergeCell ref="E24:F25"/>
    <mergeCell ref="G24:G25"/>
    <mergeCell ref="E26:F27"/>
    <mergeCell ref="G26:G27"/>
    <mergeCell ref="E48:F49"/>
    <mergeCell ref="E46:F47"/>
    <mergeCell ref="G28:G29"/>
    <mergeCell ref="E30:F31"/>
    <mergeCell ref="G30:G31"/>
    <mergeCell ref="E32:F33"/>
    <mergeCell ref="G32:G33"/>
    <mergeCell ref="E44:F45"/>
    <mergeCell ref="E42:F43"/>
    <mergeCell ref="E28:F29"/>
    <mergeCell ref="E40:F41"/>
    <mergeCell ref="G42:G43"/>
    <mergeCell ref="G44:G45"/>
    <mergeCell ref="G46:G47"/>
    <mergeCell ref="G48:G49"/>
    <mergeCell ref="G40:G41"/>
    <mergeCell ref="E34:F35"/>
    <mergeCell ref="G34:G35"/>
    <mergeCell ref="E36:F37"/>
    <mergeCell ref="G36:G37"/>
    <mergeCell ref="E38:F39"/>
    <mergeCell ref="G38:G39"/>
    <mergeCell ref="A66:G117"/>
    <mergeCell ref="E60:F61"/>
    <mergeCell ref="G60:G61"/>
    <mergeCell ref="E50:F51"/>
    <mergeCell ref="G50:G51"/>
    <mergeCell ref="E54:F55"/>
    <mergeCell ref="G54:G55"/>
    <mergeCell ref="E56:F57"/>
    <mergeCell ref="G56:G57"/>
    <mergeCell ref="E52:F53"/>
    <mergeCell ref="E58:F59"/>
    <mergeCell ref="G58:G59"/>
    <mergeCell ref="G52:G53"/>
  </mergeCells>
  <phoneticPr fontId="33" type="noConversion"/>
  <conditionalFormatting sqref="I19 H20:I20 I21 H24">
    <cfRule type="expression" dxfId="58" priority="3">
      <formula>ISNUMBER(SEARCH(TEXT(#REF!,"ddd"),#REF!))</formula>
    </cfRule>
  </conditionalFormatting>
  <conditionalFormatting sqref="A22:D22 A14:D14 A16:D16 A24:C24 A18:D18">
    <cfRule type="expression" dxfId="57" priority="4">
      <formula>ISNUMBER(SEARCH(TEXT(#REF!,"ddd"),#REF!))</formula>
    </cfRule>
  </conditionalFormatting>
  <conditionalFormatting sqref="K19:K24">
    <cfRule type="expression" dxfId="56" priority="5">
      <formula>ISNUMBER(SEARCH(TEXT(#REF!,"ddd"),#REF!))</formula>
    </cfRule>
  </conditionalFormatting>
  <conditionalFormatting sqref="D20">
    <cfRule type="expression" dxfId="55" priority="2">
      <formula>ISNUMBER(SEARCH(TEXT(#REF!,"ddd"),#REF!))</formula>
    </cfRule>
  </conditionalFormatting>
  <conditionalFormatting sqref="A20:C20">
    <cfRule type="expression" dxfId="54" priority="1">
      <formula>ISNUMBER(SEARCH(TEXT(#REF!,"ddd"),#REF!))</formula>
    </cfRule>
  </conditionalFormatting>
  <dataValidations count="2">
    <dataValidation type="custom" allowBlank="1" showInputMessage="1" showErrorMessage="1" sqref="C14" xr:uid="{596C0D7E-8F6D-46B2-BDB5-E5B82A47B523}">
      <formula1>AND($C14&lt;=1,ISNUMBER($C14),($C14&gt;=$B14))</formula1>
    </dataValidation>
    <dataValidation type="custom" allowBlank="1" showInputMessage="1" showErrorMessage="1" sqref="B16:C16 B18:C18 B20:C20 B24:C24 B22:C22 B14" xr:uid="{F7A4DC6F-384A-445B-921C-5493FA77F964}">
      <formula1>AND($B14&lt;=1,ISNUMBER($B14))</formula1>
    </dataValidation>
  </dataValidations>
  <pageMargins left="0.23622047244094491" right="0.23622047244094491" top="0.74803149606299213" bottom="0.74803149606299213" header="0.31496062992125984" footer="0.31496062992125984"/>
  <pageSetup paperSize="9" scale="80" fitToHeight="0" orientation="portrait" horizontalDpi="4294967293" vertic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30600-548C-42AB-A08D-0282D90A3C6B}">
  <sheetPr codeName="Sheet14"/>
  <dimension ref="A1:M110"/>
  <sheetViews>
    <sheetView showGridLines="0" zoomScaleNormal="100" workbookViewId="0">
      <selection activeCell="C6" sqref="C6"/>
    </sheetView>
  </sheetViews>
  <sheetFormatPr baseColWidth="10" defaultColWidth="9" defaultRowHeight="12.75" x14ac:dyDescent="0.2"/>
  <cols>
    <col min="1" max="1" width="15.875" customWidth="1"/>
    <col min="2" max="2" width="8.875" customWidth="1"/>
    <col min="3" max="3" width="10" customWidth="1"/>
    <col min="4" max="4" width="9.37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419" t="s">
        <v>49</v>
      </c>
      <c r="B1" s="419"/>
      <c r="C1" s="419"/>
      <c r="D1" s="419"/>
      <c r="E1" s="45">
        <f>WEEKNUM(A10)</f>
        <v>10</v>
      </c>
      <c r="F1" s="46"/>
      <c r="G1" s="47"/>
      <c r="H1" s="26"/>
      <c r="J1" s="1"/>
    </row>
    <row r="2" spans="1:13" s="1" customFormat="1" ht="14.25" customHeight="1" x14ac:dyDescent="0.25">
      <c r="A2" s="38" t="s">
        <v>1</v>
      </c>
      <c r="B2" s="38"/>
      <c r="C2" s="38" t="s">
        <v>2</v>
      </c>
      <c r="D2" s="38"/>
      <c r="E2" s="250" t="s">
        <v>3</v>
      </c>
      <c r="F2" s="44" t="s">
        <v>4</v>
      </c>
      <c r="G2" s="44" t="s">
        <v>29</v>
      </c>
      <c r="H2" s="20"/>
      <c r="I2" s="13"/>
      <c r="J2" s="6"/>
    </row>
    <row r="3" spans="1:13" ht="16.5" thickBot="1" x14ac:dyDescent="0.25">
      <c r="A3" s="274">
        <f>A10</f>
        <v>43892</v>
      </c>
      <c r="B3" s="382"/>
      <c r="C3" s="274">
        <f>A24</f>
        <v>43898</v>
      </c>
      <c r="D3" s="382"/>
      <c r="E3" s="249" t="s">
        <v>6</v>
      </c>
      <c r="F3" s="261">
        <f>Sumcolor(E3,D10:D27)</f>
        <v>0</v>
      </c>
      <c r="G3" s="259">
        <f>SUM(Først:Sist!F3)</f>
        <v>0.93402777777777768</v>
      </c>
      <c r="H3" s="22"/>
      <c r="I3" s="7"/>
      <c r="J3" s="7"/>
    </row>
    <row r="4" spans="1:13" ht="15" customHeight="1" x14ac:dyDescent="0.2">
      <c r="A4" s="420" t="s">
        <v>50</v>
      </c>
      <c r="B4" s="383"/>
      <c r="C4" s="420" t="s">
        <v>51</v>
      </c>
      <c r="D4" s="384"/>
      <c r="E4" s="246" t="s">
        <v>9</v>
      </c>
      <c r="F4" s="261">
        <f>Sumcolor(E4,D10:D27)</f>
        <v>0.27430555555555541</v>
      </c>
      <c r="G4" s="259">
        <f>SUM(Først:Sist!F4)</f>
        <v>6.5486111111111125</v>
      </c>
      <c r="H4" s="22"/>
      <c r="I4" s="7"/>
      <c r="J4" s="399"/>
    </row>
    <row r="5" spans="1:13" ht="15.75" x14ac:dyDescent="0.2">
      <c r="A5" s="447"/>
      <c r="B5" s="384"/>
      <c r="C5" s="421"/>
      <c r="D5" s="384"/>
      <c r="E5" s="247" t="s">
        <v>10</v>
      </c>
      <c r="F5" s="261">
        <f>Sumcolor(E5,D10:D27)</f>
        <v>6.597222222222221E-2</v>
      </c>
      <c r="G5" s="259">
        <f>SUM(Først:Sist!F5)</f>
        <v>1.3368055555555545</v>
      </c>
      <c r="H5" s="22"/>
      <c r="I5" s="7"/>
      <c r="J5" s="399"/>
    </row>
    <row r="6" spans="1:13" ht="18.75" customHeight="1" thickBot="1" x14ac:dyDescent="0.25">
      <c r="A6" s="39">
        <f>SUM(D10:D28)</f>
        <v>0.47569444444444436</v>
      </c>
      <c r="B6" s="40"/>
      <c r="C6" s="240">
        <f>SUM('Først:Uke10'!A6)</f>
        <v>4.1041666666666661</v>
      </c>
      <c r="D6" s="42"/>
      <c r="E6" s="248" t="s">
        <v>11</v>
      </c>
      <c r="F6" s="260">
        <f>Sumcolor(E6,D10:D28)</f>
        <v>0.13541666666666674</v>
      </c>
      <c r="G6" s="260">
        <f>SUM(Først:Sist!F6)</f>
        <v>2.4791666666666661</v>
      </c>
      <c r="H6" s="22"/>
      <c r="I6" s="7"/>
      <c r="J6" s="7"/>
    </row>
    <row r="7" spans="1:13" ht="12.75" customHeight="1" x14ac:dyDescent="0.2">
      <c r="A7" s="19"/>
      <c r="B7" s="23"/>
      <c r="C7" s="24"/>
      <c r="D7" s="14"/>
      <c r="E7" s="23"/>
      <c r="F7" s="23"/>
      <c r="G7" s="25"/>
      <c r="H7" s="25"/>
    </row>
    <row r="8" spans="1:13" x14ac:dyDescent="0.2">
      <c r="A8" s="23"/>
      <c r="B8" s="25"/>
      <c r="C8" s="14"/>
      <c r="D8" s="25"/>
      <c r="E8" s="23"/>
      <c r="F8" s="23"/>
      <c r="G8" s="25"/>
      <c r="H8" s="25"/>
    </row>
    <row r="9" spans="1:13" ht="16.5" thickBot="1" x14ac:dyDescent="0.3">
      <c r="A9" s="30" t="s">
        <v>15</v>
      </c>
      <c r="B9" s="30" t="s">
        <v>18</v>
      </c>
      <c r="C9" s="30" t="s">
        <v>19</v>
      </c>
      <c r="D9" s="30" t="s">
        <v>20</v>
      </c>
      <c r="E9" s="30" t="s">
        <v>21</v>
      </c>
      <c r="G9" s="30" t="s">
        <v>42</v>
      </c>
      <c r="H9" s="25"/>
    </row>
    <row r="10" spans="1:13" ht="15.75" x14ac:dyDescent="0.2">
      <c r="A10" s="267">
        <v>43892</v>
      </c>
      <c r="B10" s="244">
        <v>0.58333333333333337</v>
      </c>
      <c r="C10" s="244">
        <v>0.60763888888888895</v>
      </c>
      <c r="D10" s="244">
        <f t="shared" ref="D10" si="0">(C10-B10)</f>
        <v>2.430555555555558E-2</v>
      </c>
      <c r="E10" s="448" t="s">
        <v>121</v>
      </c>
      <c r="F10" s="448"/>
      <c r="G10" s="490"/>
      <c r="H10" s="25"/>
    </row>
    <row r="11" spans="1:13" ht="15.75" thickBot="1" x14ac:dyDescent="0.3">
      <c r="A11" s="305"/>
      <c r="B11" s="306"/>
      <c r="C11" s="306"/>
      <c r="D11" s="306"/>
      <c r="E11" s="449"/>
      <c r="F11" s="449"/>
      <c r="G11" s="491"/>
      <c r="H11" s="25"/>
    </row>
    <row r="12" spans="1:13" ht="17.25" customHeight="1" x14ac:dyDescent="0.2">
      <c r="A12" s="264">
        <v>43894</v>
      </c>
      <c r="B12" s="241">
        <v>0.51388888888888895</v>
      </c>
      <c r="C12" s="241">
        <v>0.53472222222222221</v>
      </c>
      <c r="D12" s="242">
        <f>(C12-B12)</f>
        <v>2.0833333333333259E-2</v>
      </c>
      <c r="E12" s="445" t="s">
        <v>77</v>
      </c>
      <c r="F12" s="445"/>
      <c r="G12" s="490"/>
    </row>
    <row r="13" spans="1:13" ht="13.5" thickBot="1" x14ac:dyDescent="0.25">
      <c r="A13" s="265"/>
      <c r="B13" s="243"/>
      <c r="C13" s="243"/>
      <c r="D13" s="243"/>
      <c r="E13" s="446"/>
      <c r="F13" s="446"/>
      <c r="G13" s="491"/>
    </row>
    <row r="14" spans="1:13" ht="15.75" customHeight="1" x14ac:dyDescent="0.25">
      <c r="A14" s="320">
        <v>43894</v>
      </c>
      <c r="B14" s="321">
        <v>0.53472222222222221</v>
      </c>
      <c r="C14" s="321">
        <v>0.55555555555555558</v>
      </c>
      <c r="D14" s="244">
        <f>(C14-B14)</f>
        <v>2.083333333333337E-2</v>
      </c>
      <c r="E14" s="448" t="s">
        <v>122</v>
      </c>
      <c r="F14" s="448"/>
      <c r="G14" s="490"/>
    </row>
    <row r="15" spans="1:13" ht="15.75" thickBot="1" x14ac:dyDescent="0.3">
      <c r="A15" s="305"/>
      <c r="B15" s="306"/>
      <c r="C15" s="306"/>
      <c r="D15" s="306"/>
      <c r="E15" s="449"/>
      <c r="F15" s="449"/>
      <c r="G15" s="491"/>
    </row>
    <row r="16" spans="1:13" ht="15" customHeight="1" x14ac:dyDescent="0.2">
      <c r="A16" s="276">
        <v>43895</v>
      </c>
      <c r="B16" s="277">
        <v>0.4826388888888889</v>
      </c>
      <c r="C16" s="277">
        <v>0.54166666666666663</v>
      </c>
      <c r="D16" s="277">
        <f>(C16-B16)</f>
        <v>5.9027777777777735E-2</v>
      </c>
      <c r="E16" s="452" t="s">
        <v>123</v>
      </c>
      <c r="F16" s="462"/>
      <c r="G16" s="492" t="s">
        <v>124</v>
      </c>
      <c r="M16" s="21"/>
    </row>
    <row r="17" spans="1:11" ht="15.75" thickBot="1" x14ac:dyDescent="0.3">
      <c r="A17" s="278"/>
      <c r="B17" s="279"/>
      <c r="C17" s="279"/>
      <c r="D17" s="279"/>
      <c r="E17" s="463"/>
      <c r="F17" s="463"/>
      <c r="G17" s="493"/>
    </row>
    <row r="18" spans="1:11" ht="15" customHeight="1" x14ac:dyDescent="0.2">
      <c r="A18" s="276">
        <v>43895</v>
      </c>
      <c r="B18" s="277">
        <v>0.5625</v>
      </c>
      <c r="C18" s="277">
        <v>0.64236111111111105</v>
      </c>
      <c r="D18" s="277">
        <f>(C18-B18)</f>
        <v>7.9861111111111049E-2</v>
      </c>
      <c r="E18" s="452" t="s">
        <v>123</v>
      </c>
      <c r="F18" s="462"/>
      <c r="G18" s="492" t="s">
        <v>124</v>
      </c>
    </row>
    <row r="19" spans="1:11" ht="15" customHeight="1" thickBot="1" x14ac:dyDescent="0.25">
      <c r="A19" s="299"/>
      <c r="B19" s="300"/>
      <c r="C19" s="300"/>
      <c r="D19" s="300"/>
      <c r="E19" s="463"/>
      <c r="F19" s="463"/>
      <c r="G19" s="493"/>
      <c r="I19" s="8"/>
      <c r="K19" s="8"/>
    </row>
    <row r="20" spans="1:11" ht="15.75" customHeight="1" x14ac:dyDescent="0.2">
      <c r="A20" s="276">
        <v>43896</v>
      </c>
      <c r="B20" s="286">
        <v>0.52777777777777779</v>
      </c>
      <c r="C20" s="286">
        <v>0.61805555555555558</v>
      </c>
      <c r="D20" s="277">
        <f>(C20-B20)</f>
        <v>9.027777777777779E-2</v>
      </c>
      <c r="E20" s="452" t="s">
        <v>125</v>
      </c>
      <c r="F20" s="462"/>
      <c r="G20" s="492" t="s">
        <v>124</v>
      </c>
      <c r="H20" s="8"/>
      <c r="I20" s="8"/>
      <c r="K20" s="8"/>
    </row>
    <row r="21" spans="1:11" ht="15.75" thickBot="1" x14ac:dyDescent="0.3">
      <c r="A21" s="278"/>
      <c r="B21" s="279"/>
      <c r="C21" s="279"/>
      <c r="D21" s="279"/>
      <c r="E21" s="463"/>
      <c r="F21" s="463"/>
      <c r="G21" s="493"/>
      <c r="I21" s="8"/>
      <c r="K21" s="8"/>
    </row>
    <row r="22" spans="1:11" ht="15.6" customHeight="1" x14ac:dyDescent="0.2">
      <c r="A22" s="276">
        <v>43897</v>
      </c>
      <c r="B22" s="286">
        <v>0.76041666666666663</v>
      </c>
      <c r="C22" s="286">
        <v>0.80555555555555547</v>
      </c>
      <c r="D22" s="277">
        <f>(C22-B22)</f>
        <v>4.513888888888884E-2</v>
      </c>
      <c r="E22" s="462" t="s">
        <v>126</v>
      </c>
      <c r="F22" s="462"/>
      <c r="G22" s="492" t="s">
        <v>124</v>
      </c>
      <c r="I22" s="9"/>
      <c r="K22" s="8"/>
    </row>
    <row r="23" spans="1:11" ht="16.5" thickBot="1" x14ac:dyDescent="0.3">
      <c r="A23" s="289"/>
      <c r="B23" s="290"/>
      <c r="C23" s="290"/>
      <c r="D23" s="290"/>
      <c r="E23" s="463"/>
      <c r="F23" s="463"/>
      <c r="G23" s="493"/>
      <c r="I23" s="10"/>
      <c r="K23" s="8"/>
    </row>
    <row r="24" spans="1:11" ht="15.75" customHeight="1" x14ac:dyDescent="0.2">
      <c r="A24" s="272">
        <v>43898</v>
      </c>
      <c r="B24" s="256">
        <v>0.54166666666666663</v>
      </c>
      <c r="C24" s="256">
        <v>0.63541666666666663</v>
      </c>
      <c r="D24" s="257">
        <f>(C24-B24)</f>
        <v>9.375E-2</v>
      </c>
      <c r="E24" s="441" t="s">
        <v>127</v>
      </c>
      <c r="F24" s="470"/>
      <c r="G24" s="490"/>
      <c r="H24" s="8"/>
      <c r="K24" s="8"/>
    </row>
    <row r="25" spans="1:11" ht="13.15" customHeight="1" thickBot="1" x14ac:dyDescent="0.3">
      <c r="A25" s="318"/>
      <c r="B25" s="319"/>
      <c r="C25" s="319"/>
      <c r="D25" s="319"/>
      <c r="E25" s="472"/>
      <c r="F25" s="472"/>
      <c r="G25" s="491"/>
      <c r="H25" s="9"/>
      <c r="K25" s="9"/>
    </row>
    <row r="26" spans="1:11" ht="15.6" customHeight="1" x14ac:dyDescent="0.2">
      <c r="A26" s="272">
        <v>43898</v>
      </c>
      <c r="B26" s="256">
        <v>0.65625</v>
      </c>
      <c r="C26" s="256">
        <v>0.67708333333333337</v>
      </c>
      <c r="D26" s="257">
        <f>(C26-B26)</f>
        <v>2.083333333333337E-2</v>
      </c>
      <c r="E26" s="441" t="s">
        <v>128</v>
      </c>
      <c r="F26" s="441"/>
      <c r="G26" s="490"/>
      <c r="H26" s="10"/>
      <c r="K26" s="11"/>
    </row>
    <row r="27" spans="1:11" ht="16.5" thickBot="1" x14ac:dyDescent="0.3">
      <c r="A27" s="273"/>
      <c r="B27" s="258"/>
      <c r="C27" s="258"/>
      <c r="D27" s="258"/>
      <c r="E27" s="442"/>
      <c r="F27" s="442"/>
      <c r="G27" s="491"/>
      <c r="H27" s="29"/>
      <c r="K27" s="7"/>
    </row>
    <row r="28" spans="1:11" ht="15.75" x14ac:dyDescent="0.2">
      <c r="A28" s="272">
        <v>43899</v>
      </c>
      <c r="B28" s="256">
        <v>0.91666666666666663</v>
      </c>
      <c r="C28" s="256">
        <v>0.9375</v>
      </c>
      <c r="D28" s="257">
        <f>(C28-B28)</f>
        <v>2.083333333333337E-2</v>
      </c>
      <c r="E28" s="441" t="s">
        <v>129</v>
      </c>
      <c r="F28" s="441"/>
      <c r="G28" s="490"/>
    </row>
    <row r="29" spans="1:11" ht="16.5" thickBot="1" x14ac:dyDescent="0.3">
      <c r="A29" s="273"/>
      <c r="B29" s="258"/>
      <c r="C29" s="258"/>
      <c r="D29" s="258"/>
      <c r="E29" s="442"/>
      <c r="F29" s="442"/>
      <c r="G29" s="491"/>
    </row>
    <row r="30" spans="1:11" ht="12.6" customHeight="1" x14ac:dyDescent="0.2"/>
    <row r="31" spans="1:11" ht="12.6" customHeight="1" x14ac:dyDescent="0.2"/>
    <row r="32" spans="1:11" ht="12.6" customHeight="1" x14ac:dyDescent="0.2"/>
    <row r="33" ht="12.6" customHeight="1" x14ac:dyDescent="0.2"/>
    <row r="34" ht="12.6" customHeight="1" x14ac:dyDescent="0.2"/>
    <row r="35" ht="12.6" customHeight="1" x14ac:dyDescent="0.2"/>
    <row r="36" ht="12.6" customHeight="1" x14ac:dyDescent="0.2"/>
    <row r="37" ht="12.6" customHeight="1" x14ac:dyDescent="0.2"/>
    <row r="38" ht="12.6" customHeight="1" x14ac:dyDescent="0.2"/>
    <row r="39" ht="12.6" customHeight="1" x14ac:dyDescent="0.2"/>
    <row r="40" ht="12.6" customHeight="1" x14ac:dyDescent="0.2"/>
    <row r="41" ht="12.6" customHeight="1" x14ac:dyDescent="0.2"/>
    <row r="42" ht="12.6" customHeight="1" x14ac:dyDescent="0.2"/>
    <row r="43" ht="12.6" customHeight="1" x14ac:dyDescent="0.2"/>
    <row r="44" ht="12.6" customHeight="1" x14ac:dyDescent="0.2"/>
    <row r="45" ht="13.15" customHeight="1" x14ac:dyDescent="0.2"/>
    <row r="46" ht="12.6" customHeight="1" x14ac:dyDescent="0.2"/>
    <row r="47" ht="12.6" customHeight="1" x14ac:dyDescent="0.2"/>
    <row r="48" ht="12.6" customHeight="1" x14ac:dyDescent="0.2"/>
    <row r="49" spans="1:10" ht="12.6" customHeight="1" x14ac:dyDescent="0.2"/>
    <row r="50" spans="1:10" ht="12.6" customHeight="1" x14ac:dyDescent="0.2"/>
    <row r="51" spans="1:10" ht="12.6" customHeight="1" x14ac:dyDescent="0.2"/>
    <row r="52" spans="1:10" ht="12.6" customHeight="1" x14ac:dyDescent="0.2"/>
    <row r="53" spans="1:10" ht="12.6" customHeight="1" x14ac:dyDescent="0.2"/>
    <row r="54" spans="1:10" ht="12.6" customHeight="1" x14ac:dyDescent="0.2">
      <c r="J54" s="107"/>
    </row>
    <row r="55" spans="1:10" ht="13.15" customHeight="1" x14ac:dyDescent="0.2">
      <c r="J55" s="275"/>
    </row>
    <row r="56" spans="1:10" ht="12.6" customHeight="1" x14ac:dyDescent="0.2">
      <c r="J56" s="275"/>
    </row>
    <row r="57" spans="1:10" ht="12.6" customHeight="1" x14ac:dyDescent="0.2">
      <c r="J57" s="275"/>
    </row>
    <row r="58" spans="1:10" ht="12.6" customHeight="1" x14ac:dyDescent="0.2">
      <c r="J58" s="275"/>
    </row>
    <row r="59" spans="1:10" ht="24" thickBot="1" x14ac:dyDescent="0.4">
      <c r="A59" s="28" t="s">
        <v>26</v>
      </c>
      <c r="B59" s="28"/>
      <c r="C59" s="27"/>
      <c r="D59" s="27"/>
      <c r="E59" s="27"/>
      <c r="F59" s="98"/>
      <c r="G59" s="98"/>
      <c r="J59" s="275"/>
    </row>
    <row r="60" spans="1:10" ht="12.6" customHeight="1" thickBot="1" x14ac:dyDescent="0.25">
      <c r="A60" s="5"/>
      <c r="B60" s="15"/>
      <c r="C60" s="16"/>
      <c r="D60" s="17"/>
      <c r="E60" s="18"/>
      <c r="F60" s="5"/>
      <c r="G60" s="5"/>
      <c r="J60" s="275"/>
    </row>
    <row r="61" spans="1:10" ht="12.6" customHeight="1" x14ac:dyDescent="0.2">
      <c r="A61" s="430" t="s">
        <v>130</v>
      </c>
      <c r="B61" s="431"/>
      <c r="C61" s="431"/>
      <c r="D61" s="431"/>
      <c r="E61" s="431"/>
      <c r="F61" s="431"/>
      <c r="G61" s="432"/>
      <c r="J61" s="275"/>
    </row>
    <row r="62" spans="1:10" ht="12.6" customHeight="1" x14ac:dyDescent="0.2">
      <c r="A62" s="433"/>
      <c r="B62" s="434"/>
      <c r="C62" s="434"/>
      <c r="D62" s="434"/>
      <c r="E62" s="434"/>
      <c r="F62" s="434"/>
      <c r="G62" s="435"/>
      <c r="J62" s="275"/>
    </row>
    <row r="63" spans="1:10" ht="12.6" customHeight="1" x14ac:dyDescent="0.2">
      <c r="A63" s="433"/>
      <c r="B63" s="434"/>
      <c r="C63" s="434"/>
      <c r="D63" s="434"/>
      <c r="E63" s="434"/>
      <c r="F63" s="434"/>
      <c r="G63" s="435"/>
      <c r="J63" s="275"/>
    </row>
    <row r="64" spans="1:10" ht="12.6" customHeight="1" x14ac:dyDescent="0.2">
      <c r="A64" s="433"/>
      <c r="B64" s="434"/>
      <c r="C64" s="434"/>
      <c r="D64" s="434"/>
      <c r="E64" s="434"/>
      <c r="F64" s="434"/>
      <c r="G64" s="435"/>
      <c r="J64" s="275"/>
    </row>
    <row r="65" spans="1:10" ht="12.6" customHeight="1" x14ac:dyDescent="0.2">
      <c r="A65" s="433"/>
      <c r="B65" s="434"/>
      <c r="C65" s="434"/>
      <c r="D65" s="434"/>
      <c r="E65" s="434"/>
      <c r="F65" s="434"/>
      <c r="G65" s="435"/>
      <c r="J65" s="275"/>
    </row>
    <row r="66" spans="1:10" ht="12.6" customHeight="1" x14ac:dyDescent="0.2">
      <c r="A66" s="433"/>
      <c r="B66" s="434"/>
      <c r="C66" s="434"/>
      <c r="D66" s="434"/>
      <c r="E66" s="434"/>
      <c r="F66" s="434"/>
      <c r="G66" s="435"/>
      <c r="J66" s="275"/>
    </row>
    <row r="67" spans="1:10" ht="12.6" customHeight="1" x14ac:dyDescent="0.2">
      <c r="A67" s="433"/>
      <c r="B67" s="434"/>
      <c r="C67" s="434"/>
      <c r="D67" s="434"/>
      <c r="E67" s="434"/>
      <c r="F67" s="434"/>
      <c r="G67" s="435"/>
      <c r="J67" s="275"/>
    </row>
    <row r="68" spans="1:10" ht="12.6" customHeight="1" x14ac:dyDescent="0.2">
      <c r="A68" s="433"/>
      <c r="B68" s="434"/>
      <c r="C68" s="434"/>
      <c r="D68" s="434"/>
      <c r="E68" s="434"/>
      <c r="F68" s="434"/>
      <c r="G68" s="435"/>
    </row>
    <row r="69" spans="1:10" ht="13.15" customHeight="1" x14ac:dyDescent="0.2">
      <c r="A69" s="433"/>
      <c r="B69" s="434"/>
      <c r="C69" s="434"/>
      <c r="D69" s="434"/>
      <c r="E69" s="434"/>
      <c r="F69" s="434"/>
      <c r="G69" s="435"/>
    </row>
    <row r="70" spans="1:10" ht="12.6" customHeight="1" x14ac:dyDescent="0.2">
      <c r="A70" s="433"/>
      <c r="B70" s="434"/>
      <c r="C70" s="434"/>
      <c r="D70" s="434"/>
      <c r="E70" s="434"/>
      <c r="F70" s="434"/>
      <c r="G70" s="435"/>
    </row>
    <row r="71" spans="1:10" ht="12.6" customHeight="1" x14ac:dyDescent="0.2">
      <c r="A71" s="433"/>
      <c r="B71" s="434"/>
      <c r="C71" s="434"/>
      <c r="D71" s="434"/>
      <c r="E71" s="434"/>
      <c r="F71" s="434"/>
      <c r="G71" s="435"/>
    </row>
    <row r="72" spans="1:10" ht="12.6" customHeight="1" x14ac:dyDescent="0.2">
      <c r="A72" s="433"/>
      <c r="B72" s="434"/>
      <c r="C72" s="434"/>
      <c r="D72" s="434"/>
      <c r="E72" s="434"/>
      <c r="F72" s="434"/>
      <c r="G72" s="435"/>
    </row>
    <row r="73" spans="1:10" ht="12.6" customHeight="1" x14ac:dyDescent="0.2">
      <c r="A73" s="433"/>
      <c r="B73" s="434"/>
      <c r="C73" s="434"/>
      <c r="D73" s="434"/>
      <c r="E73" s="434"/>
      <c r="F73" s="434"/>
      <c r="G73" s="435"/>
    </row>
    <row r="74" spans="1:10" ht="12.6" customHeight="1" x14ac:dyDescent="0.2">
      <c r="A74" s="433"/>
      <c r="B74" s="434"/>
      <c r="C74" s="434"/>
      <c r="D74" s="434"/>
      <c r="E74" s="434"/>
      <c r="F74" s="434"/>
      <c r="G74" s="435"/>
    </row>
    <row r="75" spans="1:10" ht="12.6" customHeight="1" x14ac:dyDescent="0.2">
      <c r="A75" s="433"/>
      <c r="B75" s="434"/>
      <c r="C75" s="434"/>
      <c r="D75" s="434"/>
      <c r="E75" s="434"/>
      <c r="F75" s="434"/>
      <c r="G75" s="435"/>
    </row>
    <row r="76" spans="1:10" ht="12.6" customHeight="1" x14ac:dyDescent="0.2">
      <c r="A76" s="433"/>
      <c r="B76" s="434"/>
      <c r="C76" s="434"/>
      <c r="D76" s="434"/>
      <c r="E76" s="434"/>
      <c r="F76" s="434"/>
      <c r="G76" s="435"/>
    </row>
    <row r="77" spans="1:10" ht="12.6" customHeight="1" x14ac:dyDescent="0.2">
      <c r="A77" s="433"/>
      <c r="B77" s="434"/>
      <c r="C77" s="434"/>
      <c r="D77" s="434"/>
      <c r="E77" s="434"/>
      <c r="F77" s="434"/>
      <c r="G77" s="435"/>
    </row>
    <row r="78" spans="1:10" ht="12.6" customHeight="1" x14ac:dyDescent="0.2">
      <c r="A78" s="433"/>
      <c r="B78" s="434"/>
      <c r="C78" s="434"/>
      <c r="D78" s="434"/>
      <c r="E78" s="434"/>
      <c r="F78" s="434"/>
      <c r="G78" s="435"/>
    </row>
    <row r="79" spans="1:10" ht="12.6" customHeight="1" x14ac:dyDescent="0.2">
      <c r="A79" s="433"/>
      <c r="B79" s="434"/>
      <c r="C79" s="434"/>
      <c r="D79" s="434"/>
      <c r="E79" s="434"/>
      <c r="F79" s="434"/>
      <c r="G79" s="435"/>
      <c r="J79" s="5"/>
    </row>
    <row r="80" spans="1:10" ht="12.6" customHeight="1" x14ac:dyDescent="0.2">
      <c r="A80" s="433"/>
      <c r="B80" s="434"/>
      <c r="C80" s="434"/>
      <c r="D80" s="434"/>
      <c r="E80" s="434"/>
      <c r="F80" s="434"/>
      <c r="G80" s="435"/>
    </row>
    <row r="81" spans="1:7" ht="12.6" customHeight="1" x14ac:dyDescent="0.2">
      <c r="A81" s="433"/>
      <c r="B81" s="434"/>
      <c r="C81" s="434"/>
      <c r="D81" s="434"/>
      <c r="E81" s="434"/>
      <c r="F81" s="434"/>
      <c r="G81" s="435"/>
    </row>
    <row r="82" spans="1:7" ht="12.6" customHeight="1" x14ac:dyDescent="0.2">
      <c r="A82" s="433"/>
      <c r="B82" s="434"/>
      <c r="C82" s="434"/>
      <c r="D82" s="434"/>
      <c r="E82" s="434"/>
      <c r="F82" s="434"/>
      <c r="G82" s="435"/>
    </row>
    <row r="83" spans="1:7" ht="12.6" customHeight="1" x14ac:dyDescent="0.2">
      <c r="A83" s="433"/>
      <c r="B83" s="434"/>
      <c r="C83" s="434"/>
      <c r="D83" s="434"/>
      <c r="E83" s="434"/>
      <c r="F83" s="434"/>
      <c r="G83" s="435"/>
    </row>
    <row r="84" spans="1:7" ht="12.6" customHeight="1" x14ac:dyDescent="0.2">
      <c r="A84" s="433"/>
      <c r="B84" s="434"/>
      <c r="C84" s="434"/>
      <c r="D84" s="434"/>
      <c r="E84" s="434"/>
      <c r="F84" s="434"/>
      <c r="G84" s="435"/>
    </row>
    <row r="85" spans="1:7" ht="12.6" customHeight="1" x14ac:dyDescent="0.2">
      <c r="A85" s="433"/>
      <c r="B85" s="434"/>
      <c r="C85" s="434"/>
      <c r="D85" s="434"/>
      <c r="E85" s="434"/>
      <c r="F85" s="434"/>
      <c r="G85" s="435"/>
    </row>
    <row r="86" spans="1:7" ht="12.6" customHeight="1" x14ac:dyDescent="0.2">
      <c r="A86" s="433"/>
      <c r="B86" s="434"/>
      <c r="C86" s="434"/>
      <c r="D86" s="434"/>
      <c r="E86" s="434"/>
      <c r="F86" s="434"/>
      <c r="G86" s="435"/>
    </row>
    <row r="87" spans="1:7" ht="12.6" customHeight="1" x14ac:dyDescent="0.2">
      <c r="A87" s="433"/>
      <c r="B87" s="434"/>
      <c r="C87" s="434"/>
      <c r="D87" s="434"/>
      <c r="E87" s="434"/>
      <c r="F87" s="434"/>
      <c r="G87" s="435"/>
    </row>
    <row r="88" spans="1:7" ht="12.6" customHeight="1" x14ac:dyDescent="0.2">
      <c r="A88" s="433"/>
      <c r="B88" s="434"/>
      <c r="C88" s="434"/>
      <c r="D88" s="434"/>
      <c r="E88" s="434"/>
      <c r="F88" s="434"/>
      <c r="G88" s="435"/>
    </row>
    <row r="89" spans="1:7" ht="12.6" customHeight="1" x14ac:dyDescent="0.2">
      <c r="A89" s="433"/>
      <c r="B89" s="434"/>
      <c r="C89" s="434"/>
      <c r="D89" s="434"/>
      <c r="E89" s="434"/>
      <c r="F89" s="434"/>
      <c r="G89" s="435"/>
    </row>
    <row r="90" spans="1:7" ht="12.6" customHeight="1" x14ac:dyDescent="0.2">
      <c r="A90" s="433"/>
      <c r="B90" s="434"/>
      <c r="C90" s="434"/>
      <c r="D90" s="434"/>
      <c r="E90" s="434"/>
      <c r="F90" s="434"/>
      <c r="G90" s="435"/>
    </row>
    <row r="91" spans="1:7" ht="12.6" customHeight="1" x14ac:dyDescent="0.2">
      <c r="A91" s="433"/>
      <c r="B91" s="434"/>
      <c r="C91" s="434"/>
      <c r="D91" s="434"/>
      <c r="E91" s="434"/>
      <c r="F91" s="434"/>
      <c r="G91" s="435"/>
    </row>
    <row r="92" spans="1:7" ht="12.6" customHeight="1" x14ac:dyDescent="0.2">
      <c r="A92" s="433"/>
      <c r="B92" s="434"/>
      <c r="C92" s="434"/>
      <c r="D92" s="434"/>
      <c r="E92" s="434"/>
      <c r="F92" s="434"/>
      <c r="G92" s="435"/>
    </row>
    <row r="93" spans="1:7" ht="12.6" customHeight="1" x14ac:dyDescent="0.2">
      <c r="A93" s="433"/>
      <c r="B93" s="434"/>
      <c r="C93" s="434"/>
      <c r="D93" s="434"/>
      <c r="E93" s="434"/>
      <c r="F93" s="434"/>
      <c r="G93" s="435"/>
    </row>
    <row r="94" spans="1:7" ht="12.6" customHeight="1" x14ac:dyDescent="0.2">
      <c r="A94" s="433"/>
      <c r="B94" s="434"/>
      <c r="C94" s="434"/>
      <c r="D94" s="434"/>
      <c r="E94" s="434"/>
      <c r="F94" s="434"/>
      <c r="G94" s="435"/>
    </row>
    <row r="95" spans="1:7" ht="12.6" customHeight="1" x14ac:dyDescent="0.2">
      <c r="A95" s="433"/>
      <c r="B95" s="434"/>
      <c r="C95" s="434"/>
      <c r="D95" s="434"/>
      <c r="E95" s="434"/>
      <c r="F95" s="434"/>
      <c r="G95" s="435"/>
    </row>
    <row r="96" spans="1:7" ht="12.6" customHeight="1" x14ac:dyDescent="0.2">
      <c r="A96" s="433"/>
      <c r="B96" s="434"/>
      <c r="C96" s="434"/>
      <c r="D96" s="434"/>
      <c r="E96" s="434"/>
      <c r="F96" s="434"/>
      <c r="G96" s="435"/>
    </row>
    <row r="97" spans="1:7" ht="12.6" customHeight="1" x14ac:dyDescent="0.2">
      <c r="A97" s="433"/>
      <c r="B97" s="434"/>
      <c r="C97" s="434"/>
      <c r="D97" s="434"/>
      <c r="E97" s="434"/>
      <c r="F97" s="434"/>
      <c r="G97" s="435"/>
    </row>
    <row r="98" spans="1:7" ht="12.6" customHeight="1" x14ac:dyDescent="0.2">
      <c r="A98" s="433"/>
      <c r="B98" s="434"/>
      <c r="C98" s="434"/>
      <c r="D98" s="434"/>
      <c r="E98" s="434"/>
      <c r="F98" s="434"/>
      <c r="G98" s="435"/>
    </row>
    <row r="99" spans="1:7" ht="12.6" customHeight="1" x14ac:dyDescent="0.2">
      <c r="A99" s="433"/>
      <c r="B99" s="434"/>
      <c r="C99" s="434"/>
      <c r="D99" s="434"/>
      <c r="E99" s="434"/>
      <c r="F99" s="434"/>
      <c r="G99" s="435"/>
    </row>
    <row r="100" spans="1:7" ht="12.6" customHeight="1" x14ac:dyDescent="0.2">
      <c r="A100" s="433"/>
      <c r="B100" s="434"/>
      <c r="C100" s="434"/>
      <c r="D100" s="434"/>
      <c r="E100" s="434"/>
      <c r="F100" s="434"/>
      <c r="G100" s="435"/>
    </row>
    <row r="101" spans="1:7" ht="12.6" customHeight="1" x14ac:dyDescent="0.2">
      <c r="A101" s="433"/>
      <c r="B101" s="434"/>
      <c r="C101" s="434"/>
      <c r="D101" s="434"/>
      <c r="E101" s="434"/>
      <c r="F101" s="434"/>
      <c r="G101" s="435"/>
    </row>
    <row r="102" spans="1:7" ht="12.6" customHeight="1" x14ac:dyDescent="0.2">
      <c r="A102" s="433"/>
      <c r="B102" s="434"/>
      <c r="C102" s="434"/>
      <c r="D102" s="434"/>
      <c r="E102" s="434"/>
      <c r="F102" s="434"/>
      <c r="G102" s="435"/>
    </row>
    <row r="103" spans="1:7" ht="12.6" customHeight="1" x14ac:dyDescent="0.2">
      <c r="A103" s="433"/>
      <c r="B103" s="434"/>
      <c r="C103" s="434"/>
      <c r="D103" s="434"/>
      <c r="E103" s="434"/>
      <c r="F103" s="434"/>
      <c r="G103" s="435"/>
    </row>
    <row r="104" spans="1:7" ht="12.6" customHeight="1" x14ac:dyDescent="0.2">
      <c r="A104" s="433"/>
      <c r="B104" s="434"/>
      <c r="C104" s="434"/>
      <c r="D104" s="434"/>
      <c r="E104" s="434"/>
      <c r="F104" s="434"/>
      <c r="G104" s="435"/>
    </row>
    <row r="105" spans="1:7" ht="12.6" customHeight="1" thickBot="1" x14ac:dyDescent="0.25">
      <c r="A105" s="436"/>
      <c r="B105" s="437"/>
      <c r="C105" s="437"/>
      <c r="D105" s="437"/>
      <c r="E105" s="437"/>
      <c r="F105" s="437"/>
      <c r="G105" s="438"/>
    </row>
    <row r="106" spans="1:7" ht="12.6" customHeight="1" x14ac:dyDescent="0.2">
      <c r="A106" s="234"/>
      <c r="B106" s="234"/>
      <c r="C106" s="234"/>
      <c r="D106" s="234"/>
      <c r="E106" s="234"/>
      <c r="F106" s="234"/>
      <c r="G106" s="234"/>
    </row>
    <row r="107" spans="1:7" ht="12.6" customHeight="1" x14ac:dyDescent="0.2">
      <c r="A107" s="234"/>
      <c r="B107" s="234"/>
      <c r="C107" s="234"/>
      <c r="D107" s="234"/>
      <c r="E107" s="234"/>
      <c r="F107" s="234"/>
      <c r="G107" s="234"/>
    </row>
    <row r="108" spans="1:7" ht="12.6" customHeight="1" x14ac:dyDescent="0.2">
      <c r="A108" s="234"/>
      <c r="B108" s="234"/>
      <c r="C108" s="234"/>
      <c r="D108" s="234"/>
      <c r="E108" s="234"/>
      <c r="F108" s="234"/>
      <c r="G108" s="234"/>
    </row>
    <row r="109" spans="1:7" ht="12.6" customHeight="1" x14ac:dyDescent="0.2">
      <c r="A109" s="234"/>
      <c r="B109" s="234"/>
      <c r="C109" s="234"/>
      <c r="D109" s="234"/>
      <c r="E109" s="234"/>
      <c r="F109" s="234"/>
      <c r="G109" s="234"/>
    </row>
    <row r="110" spans="1:7" ht="12.6" customHeight="1" x14ac:dyDescent="0.2">
      <c r="A110" s="234"/>
      <c r="B110" s="234"/>
      <c r="C110" s="234"/>
      <c r="D110" s="234"/>
      <c r="E110" s="234"/>
      <c r="F110" s="234"/>
      <c r="G110" s="234"/>
    </row>
  </sheetData>
  <mergeCells count="25">
    <mergeCell ref="A61:G105"/>
    <mergeCell ref="J4:J5"/>
    <mergeCell ref="E10:F11"/>
    <mergeCell ref="E12:F13"/>
    <mergeCell ref="E14:F15"/>
    <mergeCell ref="E16:F17"/>
    <mergeCell ref="G10:G11"/>
    <mergeCell ref="G12:G13"/>
    <mergeCell ref="G14:G15"/>
    <mergeCell ref="G16:G17"/>
    <mergeCell ref="E26:F27"/>
    <mergeCell ref="E24:F25"/>
    <mergeCell ref="E22:F23"/>
    <mergeCell ref="G18:G19"/>
    <mergeCell ref="G20:G21"/>
    <mergeCell ref="G22:G23"/>
    <mergeCell ref="G24:G25"/>
    <mergeCell ref="G26:G27"/>
    <mergeCell ref="E28:F29"/>
    <mergeCell ref="A1:D1"/>
    <mergeCell ref="A4:A5"/>
    <mergeCell ref="C4:C5"/>
    <mergeCell ref="E18:F19"/>
    <mergeCell ref="E20:F21"/>
    <mergeCell ref="G28:G29"/>
  </mergeCells>
  <conditionalFormatting sqref="I19 H20:I20 I21 H24">
    <cfRule type="expression" dxfId="53" priority="3">
      <formula>ISNUMBER(SEARCH(TEXT(#REF!,"ddd"),#REF!))</formula>
    </cfRule>
  </conditionalFormatting>
  <conditionalFormatting sqref="A16:D16 A18:C18 A10:D10 A12:D12">
    <cfRule type="expression" dxfId="52" priority="4">
      <formula>ISNUMBER(SEARCH(TEXT(#REF!,"ddd"),#REF!))</formula>
    </cfRule>
  </conditionalFormatting>
  <conditionalFormatting sqref="K19:K24">
    <cfRule type="expression" dxfId="51" priority="5">
      <formula>ISNUMBER(SEARCH(TEXT(#REF!,"ddd"),#REF!))</formula>
    </cfRule>
  </conditionalFormatting>
  <conditionalFormatting sqref="D14">
    <cfRule type="expression" dxfId="50" priority="2">
      <formula>ISNUMBER(SEARCH(TEXT(#REF!,"ddd"),#REF!))</formula>
    </cfRule>
  </conditionalFormatting>
  <conditionalFormatting sqref="A14:C14">
    <cfRule type="expression" dxfId="49" priority="1">
      <formula>ISNUMBER(SEARCH(TEXT(#REF!,"ddd"),#REF!))</formula>
    </cfRule>
  </conditionalFormatting>
  <dataValidations count="2">
    <dataValidation type="custom" allowBlank="1" showInputMessage="1" showErrorMessage="1" sqref="C10" xr:uid="{577BDC70-FFC0-40B8-84AB-1A9F43637CC5}">
      <formula1>AND($C10&lt;=1,ISNUMBER($C10),($C10&gt;=$B10))</formula1>
    </dataValidation>
    <dataValidation type="custom" allowBlank="1" showInputMessage="1" showErrorMessage="1" sqref="B12:C12 B10 B14:C14 B18:C18 B16:C16" xr:uid="{E2EA4C8F-C168-4DE8-BA94-14C9FBEA9DA6}">
      <formula1>AND($B10&lt;=1,ISNUMBER($B10))</formula1>
    </dataValidation>
  </dataValidations>
  <pageMargins left="0.23622047244094491" right="0.23622047244094491" top="0.74803149606299213" bottom="0.74803149606299213" header="0.31496062992125984" footer="0.31496062992125984"/>
  <pageSetup paperSize="9" scale="85" fitToHeight="0"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C03AA-6FBD-49B9-B9C5-F4A8299B352E}">
  <sheetPr codeName="Sheet17"/>
  <dimension ref="A1:P212"/>
  <sheetViews>
    <sheetView showGridLines="0" zoomScale="80" zoomScaleNormal="80" workbookViewId="0">
      <selection activeCell="C7" sqref="C7"/>
    </sheetView>
  </sheetViews>
  <sheetFormatPr baseColWidth="10" defaultColWidth="9" defaultRowHeight="12.75" x14ac:dyDescent="0.2"/>
  <cols>
    <col min="1" max="1" width="14.875" customWidth="1"/>
    <col min="2" max="2" width="8.875" customWidth="1"/>
    <col min="3" max="3" width="12.875" customWidth="1"/>
    <col min="4" max="4" width="9.37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2" ht="27" thickTop="1" x14ac:dyDescent="0.4">
      <c r="A1" s="419" t="s">
        <v>49</v>
      </c>
      <c r="B1" s="419"/>
      <c r="C1" s="419"/>
      <c r="D1" s="419"/>
      <c r="E1" s="45">
        <f>WEEKNUM(A14)</f>
        <v>11</v>
      </c>
      <c r="F1" s="46"/>
      <c r="G1" s="47"/>
      <c r="H1" s="26"/>
      <c r="J1" s="1"/>
    </row>
    <row r="2" spans="1:12" s="1" customFormat="1" ht="14.25" customHeight="1" x14ac:dyDescent="0.25">
      <c r="A2" s="38" t="s">
        <v>1</v>
      </c>
      <c r="B2" s="38"/>
      <c r="C2" s="38" t="s">
        <v>2</v>
      </c>
      <c r="D2" s="38"/>
      <c r="E2" s="250" t="s">
        <v>3</v>
      </c>
      <c r="F2" s="44" t="s">
        <v>4</v>
      </c>
      <c r="G2" s="44" t="s">
        <v>29</v>
      </c>
      <c r="H2" s="20"/>
      <c r="I2" s="13"/>
      <c r="J2" s="6"/>
      <c r="K2" s="1" t="s">
        <v>69</v>
      </c>
    </row>
    <row r="3" spans="1:12" ht="16.5" thickBot="1" x14ac:dyDescent="0.25">
      <c r="A3" s="274">
        <f>A14</f>
        <v>43899</v>
      </c>
      <c r="B3" s="382"/>
      <c r="C3" s="274">
        <f>A54</f>
        <v>43905</v>
      </c>
      <c r="D3" s="382"/>
      <c r="E3" s="249" t="s">
        <v>6</v>
      </c>
      <c r="F3" s="261">
        <f>Sumcolor(E3,D10:D64)</f>
        <v>2.777777777777779E-2</v>
      </c>
      <c r="G3" s="259">
        <f>SUM(Først:Sist!F3)</f>
        <v>0.93402777777777768</v>
      </c>
      <c r="H3" s="22"/>
      <c r="I3" s="7"/>
      <c r="J3" s="7"/>
      <c r="K3" t="s">
        <v>70</v>
      </c>
    </row>
    <row r="4" spans="1:12" ht="15" customHeight="1" x14ac:dyDescent="0.2">
      <c r="A4" s="420" t="s">
        <v>96</v>
      </c>
      <c r="B4" s="383"/>
      <c r="C4" s="420" t="s">
        <v>51</v>
      </c>
      <c r="D4" s="384"/>
      <c r="E4" s="246" t="s">
        <v>9</v>
      </c>
      <c r="F4" s="261">
        <f>Sumcolor(E4,D10:D64)</f>
        <v>0.9305555555555558</v>
      </c>
      <c r="G4" s="259">
        <f>SUM(Først:Sist!F4)</f>
        <v>6.5486111111111125</v>
      </c>
      <c r="H4" s="22"/>
      <c r="I4" s="7"/>
      <c r="J4" s="399"/>
    </row>
    <row r="5" spans="1:12" ht="15.75" x14ac:dyDescent="0.2">
      <c r="A5" s="447"/>
      <c r="B5" s="384"/>
      <c r="C5" s="421"/>
      <c r="D5" s="384"/>
      <c r="E5" s="247" t="s">
        <v>10</v>
      </c>
      <c r="F5" s="261">
        <f>Sumcolor(E5,D10:D64)</f>
        <v>7.291666666666663E-2</v>
      </c>
      <c r="G5" s="259">
        <f>SUM(Først:Sist!F5)</f>
        <v>1.3368055555555545</v>
      </c>
      <c r="H5" s="22"/>
      <c r="I5" s="7"/>
      <c r="J5" s="399"/>
      <c r="K5" t="s">
        <v>71</v>
      </c>
    </row>
    <row r="6" spans="1:12" ht="18.75" customHeight="1" thickBot="1" x14ac:dyDescent="0.25">
      <c r="A6" s="328">
        <f>SUM(D10:D64)</f>
        <v>1.3402777777777779</v>
      </c>
      <c r="B6" s="40"/>
      <c r="C6" s="240">
        <f>SUM('Først:Uke11'!A6)</f>
        <v>5.4444444444444438</v>
      </c>
      <c r="D6" s="42"/>
      <c r="E6" s="248" t="s">
        <v>11</v>
      </c>
      <c r="F6" s="260">
        <f>Sumcolor(E6,D10:D64)</f>
        <v>0.30902777777777757</v>
      </c>
      <c r="G6" s="260">
        <f>SUM(Først:Sist!F6)</f>
        <v>2.4791666666666661</v>
      </c>
      <c r="H6" s="22"/>
      <c r="I6" s="7"/>
      <c r="J6" s="7"/>
      <c r="K6" t="s">
        <v>72</v>
      </c>
    </row>
    <row r="7" spans="1:12" ht="12.75" customHeight="1" x14ac:dyDescent="0.2">
      <c r="A7" s="19"/>
      <c r="B7" s="23"/>
      <c r="C7" s="24"/>
      <c r="D7" s="14"/>
      <c r="E7" s="23"/>
      <c r="F7" s="23"/>
      <c r="G7" s="25"/>
      <c r="H7" s="25"/>
    </row>
    <row r="8" spans="1:12" x14ac:dyDescent="0.2">
      <c r="A8" s="23"/>
      <c r="B8" s="25"/>
      <c r="C8" s="14"/>
      <c r="D8" s="25"/>
      <c r="E8" s="23"/>
      <c r="F8" s="23"/>
      <c r="G8" s="25"/>
      <c r="H8" s="25"/>
      <c r="K8" t="s">
        <v>73</v>
      </c>
    </row>
    <row r="9" spans="1:12" ht="16.5" thickBot="1" x14ac:dyDescent="0.3">
      <c r="A9" s="30" t="s">
        <v>15</v>
      </c>
      <c r="B9" s="30" t="s">
        <v>18</v>
      </c>
      <c r="C9" s="30" t="s">
        <v>19</v>
      </c>
      <c r="D9" s="30" t="s">
        <v>20</v>
      </c>
      <c r="E9" s="30" t="s">
        <v>21</v>
      </c>
      <c r="G9" s="30" t="s">
        <v>42</v>
      </c>
      <c r="H9" s="25"/>
      <c r="K9" t="s">
        <v>74</v>
      </c>
    </row>
    <row r="10" spans="1:12" ht="15.6" customHeight="1" x14ac:dyDescent="0.25">
      <c r="A10" s="322">
        <v>43899</v>
      </c>
      <c r="B10" s="323">
        <v>0.58333333333333337</v>
      </c>
      <c r="C10" s="323">
        <v>0.59722222222222221</v>
      </c>
      <c r="D10" s="324">
        <f>(C10-B10)</f>
        <v>1.388888888888884E-2</v>
      </c>
      <c r="E10" s="507" t="s">
        <v>131</v>
      </c>
      <c r="F10" s="508"/>
      <c r="G10" s="492"/>
      <c r="H10" s="25"/>
    </row>
    <row r="11" spans="1:12" ht="18" customHeight="1" thickBot="1" x14ac:dyDescent="0.3">
      <c r="A11" s="325"/>
      <c r="B11" s="326"/>
      <c r="C11" s="326"/>
      <c r="D11" s="327"/>
      <c r="E11" s="509"/>
      <c r="F11" s="510"/>
      <c r="G11" s="493"/>
      <c r="H11" s="25"/>
      <c r="K11" t="s">
        <v>76</v>
      </c>
    </row>
    <row r="12" spans="1:12" ht="17.25" customHeight="1" x14ac:dyDescent="0.25">
      <c r="A12" s="311">
        <v>43899</v>
      </c>
      <c r="B12" s="312">
        <v>0.60416666666666663</v>
      </c>
      <c r="C12" s="312">
        <v>0.63888888888888895</v>
      </c>
      <c r="D12" s="313">
        <f>(C12-B12)</f>
        <v>3.4722222222222321E-2</v>
      </c>
      <c r="E12" s="503" t="s">
        <v>132</v>
      </c>
      <c r="F12" s="504"/>
      <c r="G12" s="492" t="s">
        <v>124</v>
      </c>
      <c r="K12" t="s">
        <v>78</v>
      </c>
    </row>
    <row r="13" spans="1:12" ht="15.6" customHeight="1" thickBot="1" x14ac:dyDescent="0.3">
      <c r="A13" s="314"/>
      <c r="B13" s="315"/>
      <c r="C13" s="315"/>
      <c r="D13" s="315"/>
      <c r="E13" s="505"/>
      <c r="F13" s="506"/>
      <c r="G13" s="493"/>
    </row>
    <row r="14" spans="1:12" ht="15.75" customHeight="1" x14ac:dyDescent="0.2">
      <c r="A14" s="276">
        <v>43899</v>
      </c>
      <c r="B14" s="277">
        <v>0.65972222222222221</v>
      </c>
      <c r="C14" s="277">
        <v>0.79861111111111116</v>
      </c>
      <c r="D14" s="277">
        <f t="shared" ref="D14" si="0">(C14-B14)</f>
        <v>0.13888888888888895</v>
      </c>
      <c r="E14" s="452" t="s">
        <v>133</v>
      </c>
      <c r="F14" s="462"/>
      <c r="G14" s="492" t="s">
        <v>124</v>
      </c>
    </row>
    <row r="15" spans="1:12" ht="16.5" customHeight="1" thickBot="1" x14ac:dyDescent="0.3">
      <c r="A15" s="278"/>
      <c r="B15" s="279"/>
      <c r="C15" s="279"/>
      <c r="D15" s="279"/>
      <c r="E15" s="463"/>
      <c r="F15" s="463"/>
      <c r="G15" s="493"/>
    </row>
    <row r="16" spans="1:12" ht="15.6" customHeight="1" x14ac:dyDescent="0.2">
      <c r="A16" s="296">
        <v>43900</v>
      </c>
      <c r="B16" s="297">
        <v>0.4236111111111111</v>
      </c>
      <c r="C16" s="297">
        <v>0.61111111111111105</v>
      </c>
      <c r="D16" s="298">
        <f>(C16-B16)</f>
        <v>0.18749999999999994</v>
      </c>
      <c r="E16" s="486" t="s">
        <v>133</v>
      </c>
      <c r="F16" s="474"/>
      <c r="G16" s="492" t="s">
        <v>124</v>
      </c>
      <c r="K16" s="329"/>
      <c r="L16" s="329"/>
    </row>
    <row r="17" spans="1:12" ht="16.149999999999999" customHeight="1" thickBot="1" x14ac:dyDescent="0.25">
      <c r="A17" s="299"/>
      <c r="B17" s="300"/>
      <c r="C17" s="300"/>
      <c r="D17" s="300"/>
      <c r="E17" s="475"/>
      <c r="F17" s="475"/>
      <c r="G17" s="493"/>
    </row>
    <row r="18" spans="1:12" ht="15.75" x14ac:dyDescent="0.2">
      <c r="A18" s="296">
        <v>43900</v>
      </c>
      <c r="B18" s="297">
        <v>0.63541666666666663</v>
      </c>
      <c r="C18" s="297">
        <v>0.72916666666666663</v>
      </c>
      <c r="D18" s="298">
        <f>(C18-B18)</f>
        <v>9.375E-2</v>
      </c>
      <c r="E18" s="486" t="s">
        <v>133</v>
      </c>
      <c r="F18" s="487"/>
      <c r="G18" s="492" t="s">
        <v>124</v>
      </c>
    </row>
    <row r="19" spans="1:12" ht="15.75" customHeight="1" thickBot="1" x14ac:dyDescent="0.25">
      <c r="A19" s="299"/>
      <c r="B19" s="300"/>
      <c r="C19" s="300"/>
      <c r="D19" s="300"/>
      <c r="E19" s="488"/>
      <c r="F19" s="489"/>
      <c r="G19" s="493"/>
      <c r="I19" s="8"/>
    </row>
    <row r="20" spans="1:12" ht="15.75" customHeight="1" x14ac:dyDescent="0.25">
      <c r="A20" s="307">
        <v>43900</v>
      </c>
      <c r="B20" s="308">
        <v>0.74652777777777779</v>
      </c>
      <c r="C20" s="308">
        <v>0.76388888888888884</v>
      </c>
      <c r="D20" s="257">
        <f>(C20-B20)</f>
        <v>1.7361111111111049E-2</v>
      </c>
      <c r="E20" s="441" t="s">
        <v>134</v>
      </c>
      <c r="F20" s="471"/>
      <c r="G20" s="492"/>
      <c r="H20" s="8"/>
      <c r="I20" s="8"/>
      <c r="L20" s="21">
        <f>D22+D26</f>
        <v>0.13541666666666674</v>
      </c>
    </row>
    <row r="21" spans="1:12" ht="15.75" customHeight="1" thickBot="1" x14ac:dyDescent="0.3">
      <c r="A21" s="291"/>
      <c r="B21" s="292"/>
      <c r="C21" s="292"/>
      <c r="D21" s="292"/>
      <c r="E21" s="472"/>
      <c r="F21" s="473"/>
      <c r="G21" s="493"/>
      <c r="I21" s="8"/>
    </row>
    <row r="22" spans="1:12" ht="15.6" customHeight="1" x14ac:dyDescent="0.2">
      <c r="A22" s="276">
        <v>43901</v>
      </c>
      <c r="B22" s="277">
        <v>0.4513888888888889</v>
      </c>
      <c r="C22" s="277">
        <v>0.49652777777777773</v>
      </c>
      <c r="D22" s="277">
        <f>(C22-B22)</f>
        <v>4.513888888888884E-2</v>
      </c>
      <c r="E22" s="462" t="s">
        <v>135</v>
      </c>
      <c r="F22" s="464"/>
      <c r="G22" s="492" t="s">
        <v>136</v>
      </c>
      <c r="I22" s="9"/>
      <c r="K22" s="8"/>
    </row>
    <row r="23" spans="1:12" ht="18.75" customHeight="1" thickBot="1" x14ac:dyDescent="0.3">
      <c r="A23" s="278"/>
      <c r="B23" s="279"/>
      <c r="C23" s="279"/>
      <c r="D23" s="279"/>
      <c r="E23" s="463"/>
      <c r="F23" s="465"/>
      <c r="G23" s="493"/>
      <c r="I23" s="10"/>
      <c r="K23" s="8"/>
    </row>
    <row r="24" spans="1:12" ht="15.75" x14ac:dyDescent="0.2">
      <c r="A24" s="267">
        <v>43901</v>
      </c>
      <c r="B24" s="244">
        <v>0.53472222222222221</v>
      </c>
      <c r="C24" s="244">
        <v>0.5625</v>
      </c>
      <c r="D24" s="244">
        <f>(C24-B24)</f>
        <v>2.777777777777779E-2</v>
      </c>
      <c r="E24" s="448" t="s">
        <v>77</v>
      </c>
      <c r="F24" s="476"/>
      <c r="G24" s="492"/>
      <c r="H24" s="8"/>
      <c r="K24" s="8"/>
    </row>
    <row r="25" spans="1:12" ht="18" customHeight="1" thickBot="1" x14ac:dyDescent="0.25">
      <c r="A25" s="265"/>
      <c r="B25" s="243"/>
      <c r="C25" s="243"/>
      <c r="D25" s="243"/>
      <c r="E25" s="449"/>
      <c r="F25" s="477"/>
      <c r="G25" s="493"/>
      <c r="H25" s="9"/>
      <c r="K25" s="9"/>
    </row>
    <row r="26" spans="1:12" ht="15.75" x14ac:dyDescent="0.2">
      <c r="A26" s="276">
        <v>43901</v>
      </c>
      <c r="B26" s="286">
        <v>0.60416666666666663</v>
      </c>
      <c r="C26" s="286">
        <v>0.69444444444444453</v>
      </c>
      <c r="D26" s="277">
        <f>(C26-B26)</f>
        <v>9.0277777777777901E-2</v>
      </c>
      <c r="E26" s="462" t="s">
        <v>137</v>
      </c>
      <c r="F26" s="464"/>
      <c r="G26" s="492" t="s">
        <v>136</v>
      </c>
      <c r="H26" s="10"/>
      <c r="K26" s="11"/>
    </row>
    <row r="27" spans="1:12" ht="31.5" customHeight="1" thickBot="1" x14ac:dyDescent="0.3">
      <c r="A27" s="278"/>
      <c r="B27" s="279"/>
      <c r="C27" s="279"/>
      <c r="D27" s="279"/>
      <c r="E27" s="463"/>
      <c r="F27" s="465"/>
      <c r="G27" s="493"/>
      <c r="H27" s="29"/>
      <c r="K27" s="7"/>
    </row>
    <row r="28" spans="1:12" ht="15.6" customHeight="1" x14ac:dyDescent="0.2">
      <c r="A28" s="276">
        <v>43901</v>
      </c>
      <c r="B28" s="286">
        <v>0.70138888888888884</v>
      </c>
      <c r="C28" s="286">
        <v>0.73611111111111116</v>
      </c>
      <c r="D28" s="277">
        <f>(C28-B28)</f>
        <v>3.4722222222222321E-2</v>
      </c>
      <c r="E28" s="462" t="s">
        <v>138</v>
      </c>
      <c r="F28" s="464"/>
      <c r="G28" s="492"/>
      <c r="H28" s="29"/>
    </row>
    <row r="29" spans="1:12" ht="16.5" thickBot="1" x14ac:dyDescent="0.3">
      <c r="A29" s="289"/>
      <c r="B29" s="290"/>
      <c r="C29" s="290"/>
      <c r="D29" s="290"/>
      <c r="E29" s="463"/>
      <c r="F29" s="465"/>
      <c r="G29" s="493"/>
      <c r="H29" s="29"/>
    </row>
    <row r="30" spans="1:12" ht="12.75" customHeight="1" x14ac:dyDescent="0.2">
      <c r="A30" s="276">
        <v>43902</v>
      </c>
      <c r="B30" s="286">
        <v>0.48958333333333331</v>
      </c>
      <c r="C30" s="286">
        <v>0.51388888888888895</v>
      </c>
      <c r="D30" s="277">
        <f>(C30-B30)</f>
        <v>2.4305555555555636E-2</v>
      </c>
      <c r="E30" s="462" t="s">
        <v>139</v>
      </c>
      <c r="F30" s="464"/>
      <c r="G30" s="492"/>
      <c r="H30" s="29"/>
    </row>
    <row r="31" spans="1:12" ht="21.75" customHeight="1" thickBot="1" x14ac:dyDescent="0.3">
      <c r="A31" s="289"/>
      <c r="B31" s="290"/>
      <c r="C31" s="290"/>
      <c r="D31" s="290"/>
      <c r="E31" s="463"/>
      <c r="F31" s="465"/>
      <c r="G31" s="493"/>
      <c r="H31" s="29"/>
    </row>
    <row r="32" spans="1:12" ht="12.75" customHeight="1" x14ac:dyDescent="0.2">
      <c r="A32" s="282">
        <v>43902</v>
      </c>
      <c r="B32" s="293">
        <v>0.61805555555555558</v>
      </c>
      <c r="C32" s="293">
        <v>0.64583333333333337</v>
      </c>
      <c r="D32" s="283">
        <f>(C32-B32)</f>
        <v>2.777777777777779E-2</v>
      </c>
      <c r="E32" s="466" t="s">
        <v>140</v>
      </c>
      <c r="F32" s="467"/>
      <c r="G32" s="492"/>
      <c r="H32" s="29"/>
    </row>
    <row r="33" spans="1:9" ht="19.899999999999999" customHeight="1" thickBot="1" x14ac:dyDescent="0.3">
      <c r="A33" s="294"/>
      <c r="B33" s="295"/>
      <c r="C33" s="295"/>
      <c r="D33" s="295"/>
      <c r="E33" s="468"/>
      <c r="F33" s="469"/>
      <c r="G33" s="493"/>
      <c r="H33" s="29"/>
    </row>
    <row r="34" spans="1:9" ht="15.75" x14ac:dyDescent="0.2">
      <c r="A34" s="276">
        <v>43902</v>
      </c>
      <c r="B34" s="286">
        <v>0.72916666666666663</v>
      </c>
      <c r="C34" s="286">
        <v>0.77777777777777779</v>
      </c>
      <c r="D34" s="277">
        <f>(C34-B34)</f>
        <v>4.861111111111116E-2</v>
      </c>
      <c r="E34" s="452" t="s">
        <v>141</v>
      </c>
      <c r="F34" s="453"/>
      <c r="G34" s="492" t="s">
        <v>142</v>
      </c>
      <c r="H34" s="29"/>
    </row>
    <row r="35" spans="1:9" ht="18" customHeight="1" thickBot="1" x14ac:dyDescent="0.3">
      <c r="A35" s="287"/>
      <c r="B35" s="288"/>
      <c r="C35" s="288"/>
      <c r="D35" s="288"/>
      <c r="E35" s="454"/>
      <c r="F35" s="455"/>
      <c r="G35" s="493"/>
      <c r="H35" s="29"/>
    </row>
    <row r="36" spans="1:9" ht="15.75" x14ac:dyDescent="0.2">
      <c r="A36" s="276">
        <v>43902</v>
      </c>
      <c r="B36" s="286">
        <v>0.77777777777777779</v>
      </c>
      <c r="C36" s="286">
        <v>0.8125</v>
      </c>
      <c r="D36" s="277">
        <f>(C36-B36)</f>
        <v>3.472222222222221E-2</v>
      </c>
      <c r="E36" s="452" t="s">
        <v>143</v>
      </c>
      <c r="F36" s="453"/>
      <c r="G36" s="492" t="s">
        <v>142</v>
      </c>
      <c r="H36" s="29"/>
      <c r="I36" s="331"/>
    </row>
    <row r="37" spans="1:9" ht="32.25" customHeight="1" thickBot="1" x14ac:dyDescent="0.3">
      <c r="A37" s="287"/>
      <c r="B37" s="288"/>
      <c r="C37" s="288"/>
      <c r="D37" s="288"/>
      <c r="E37" s="454"/>
      <c r="F37" s="455"/>
      <c r="G37" s="493"/>
      <c r="H37" s="29"/>
    </row>
    <row r="38" spans="1:9" ht="15" customHeight="1" x14ac:dyDescent="0.2">
      <c r="A38" s="272">
        <v>43902</v>
      </c>
      <c r="B38" s="256">
        <v>0.84027777777777779</v>
      </c>
      <c r="C38" s="256">
        <v>0.85416666666666663</v>
      </c>
      <c r="D38" s="257">
        <f>(C38-B38)</f>
        <v>1.388888888888884E-2</v>
      </c>
      <c r="E38" s="470" t="s">
        <v>144</v>
      </c>
      <c r="F38" s="471"/>
      <c r="G38" s="492"/>
    </row>
    <row r="39" spans="1:9" ht="16.5" thickBot="1" x14ac:dyDescent="0.3">
      <c r="A39" s="273"/>
      <c r="B39" s="258"/>
      <c r="C39" s="258"/>
      <c r="D39" s="258"/>
      <c r="E39" s="472"/>
      <c r="F39" s="473"/>
      <c r="G39" s="493"/>
    </row>
    <row r="40" spans="1:9" ht="15.75" x14ac:dyDescent="0.2">
      <c r="A40" s="267">
        <v>43903</v>
      </c>
      <c r="B40" s="252">
        <v>0.51736111111111105</v>
      </c>
      <c r="C40" s="252">
        <v>0.53472222222222221</v>
      </c>
      <c r="D40" s="244">
        <f>(C40-B40)</f>
        <v>1.736111111111116E-2</v>
      </c>
      <c r="E40" s="448" t="s">
        <v>121</v>
      </c>
      <c r="F40" s="476"/>
      <c r="G40" s="492"/>
    </row>
    <row r="41" spans="1:9" ht="16.5" thickBot="1" x14ac:dyDescent="0.3">
      <c r="A41" s="271"/>
      <c r="B41" s="255"/>
      <c r="C41" s="255"/>
      <c r="D41" s="255"/>
      <c r="E41" s="449"/>
      <c r="F41" s="477"/>
      <c r="G41" s="493"/>
    </row>
    <row r="42" spans="1:9" ht="15.75" x14ac:dyDescent="0.2">
      <c r="A42" s="272">
        <v>43903</v>
      </c>
      <c r="B42" s="256">
        <v>0.53472222222222221</v>
      </c>
      <c r="C42" s="256">
        <v>0.54513888888888895</v>
      </c>
      <c r="D42" s="257">
        <f>(C42-B42)</f>
        <v>1.0416666666666741E-2</v>
      </c>
      <c r="E42" s="441" t="s">
        <v>145</v>
      </c>
      <c r="F42" s="456"/>
      <c r="G42" s="492"/>
    </row>
    <row r="43" spans="1:9" ht="16.5" thickBot="1" x14ac:dyDescent="0.3">
      <c r="A43" s="273"/>
      <c r="B43" s="258"/>
      <c r="C43" s="258"/>
      <c r="D43" s="258"/>
      <c r="E43" s="442"/>
      <c r="F43" s="457"/>
      <c r="G43" s="493"/>
    </row>
    <row r="44" spans="1:9" ht="15.75" x14ac:dyDescent="0.2">
      <c r="A44" s="272">
        <v>43903</v>
      </c>
      <c r="B44" s="256">
        <v>0.54513888888888895</v>
      </c>
      <c r="C44" s="256">
        <v>0.56597222222222221</v>
      </c>
      <c r="D44" s="257">
        <f>(C44-B44)</f>
        <v>2.0833333333333259E-2</v>
      </c>
      <c r="E44" s="441" t="s">
        <v>146</v>
      </c>
      <c r="F44" s="456"/>
      <c r="G44" s="492"/>
    </row>
    <row r="45" spans="1:9" ht="16.5" thickBot="1" x14ac:dyDescent="0.3">
      <c r="A45" s="273"/>
      <c r="B45" s="258"/>
      <c r="C45" s="258"/>
      <c r="D45" s="258"/>
      <c r="E45" s="442"/>
      <c r="F45" s="457"/>
      <c r="G45" s="493"/>
    </row>
    <row r="46" spans="1:9" ht="15.75" x14ac:dyDescent="0.2">
      <c r="A46" s="276">
        <v>43903</v>
      </c>
      <c r="B46" s="286">
        <v>0.64930555555555558</v>
      </c>
      <c r="C46" s="286">
        <v>0.70833333333333337</v>
      </c>
      <c r="D46" s="277">
        <f>(C46-B46)</f>
        <v>5.902777777777779E-2</v>
      </c>
      <c r="E46" s="452" t="s">
        <v>147</v>
      </c>
      <c r="F46" s="453"/>
      <c r="G46" s="492" t="s">
        <v>142</v>
      </c>
    </row>
    <row r="47" spans="1:9" ht="34.5" customHeight="1" thickBot="1" x14ac:dyDescent="0.3">
      <c r="A47" s="287"/>
      <c r="B47" s="288"/>
      <c r="C47" s="288"/>
      <c r="D47" s="288"/>
      <c r="E47" s="454"/>
      <c r="F47" s="455"/>
      <c r="G47" s="493"/>
    </row>
    <row r="48" spans="1:9" ht="15.75" x14ac:dyDescent="0.2">
      <c r="A48" s="276">
        <v>43903</v>
      </c>
      <c r="B48" s="286">
        <v>0.70833333333333337</v>
      </c>
      <c r="C48" s="286">
        <v>0.73263888888888884</v>
      </c>
      <c r="D48" s="277">
        <f>(C48-B48)</f>
        <v>2.4305555555555469E-2</v>
      </c>
      <c r="E48" s="452" t="s">
        <v>148</v>
      </c>
      <c r="F48" s="453"/>
      <c r="G48" s="492"/>
    </row>
    <row r="49" spans="1:13" ht="16.5" thickBot="1" x14ac:dyDescent="0.3">
      <c r="A49" s="287"/>
      <c r="B49" s="288"/>
      <c r="C49" s="288"/>
      <c r="D49" s="288"/>
      <c r="E49" s="454"/>
      <c r="F49" s="455"/>
      <c r="G49" s="493"/>
    </row>
    <row r="50" spans="1:13" ht="15.75" x14ac:dyDescent="0.2">
      <c r="A50" s="276">
        <v>43904</v>
      </c>
      <c r="B50" s="286">
        <v>0.70833333333333337</v>
      </c>
      <c r="C50" s="286">
        <v>0.80902777777777779</v>
      </c>
      <c r="D50" s="277">
        <f>(C50-B50)</f>
        <v>0.10069444444444442</v>
      </c>
      <c r="E50" s="452" t="s">
        <v>149</v>
      </c>
      <c r="F50" s="453"/>
      <c r="G50" s="492" t="s">
        <v>142</v>
      </c>
    </row>
    <row r="51" spans="1:13" ht="33.75" customHeight="1" thickBot="1" x14ac:dyDescent="0.3">
      <c r="A51" s="287"/>
      <c r="B51" s="288"/>
      <c r="C51" s="288"/>
      <c r="D51" s="288"/>
      <c r="E51" s="454"/>
      <c r="F51" s="455"/>
      <c r="G51" s="493"/>
    </row>
    <row r="52" spans="1:13" ht="15.75" x14ac:dyDescent="0.2">
      <c r="A52" s="272">
        <v>43904</v>
      </c>
      <c r="B52" s="256">
        <v>0.81597222222222221</v>
      </c>
      <c r="C52" s="256">
        <v>0.82638888888888884</v>
      </c>
      <c r="D52" s="257">
        <f>(C52-B52)</f>
        <v>1.041666666666663E-2</v>
      </c>
      <c r="E52" s="441" t="s">
        <v>134</v>
      </c>
      <c r="F52" s="456"/>
      <c r="G52" s="492"/>
    </row>
    <row r="53" spans="1:13" ht="16.5" thickBot="1" x14ac:dyDescent="0.3">
      <c r="A53" s="273"/>
      <c r="B53" s="258"/>
      <c r="C53" s="258"/>
      <c r="D53" s="258"/>
      <c r="E53" s="442"/>
      <c r="F53" s="457"/>
      <c r="G53" s="493"/>
    </row>
    <row r="54" spans="1:13" ht="15.75" customHeight="1" x14ac:dyDescent="0.2">
      <c r="A54" s="267">
        <v>43905</v>
      </c>
      <c r="B54" s="252">
        <v>0.58333333333333337</v>
      </c>
      <c r="C54" s="252">
        <v>0.59722222222222221</v>
      </c>
      <c r="D54" s="244">
        <f>(C54-B54)</f>
        <v>1.388888888888884E-2</v>
      </c>
      <c r="E54" s="439" t="s">
        <v>131</v>
      </c>
      <c r="F54" s="478"/>
      <c r="G54" s="492"/>
    </row>
    <row r="55" spans="1:13" ht="16.5" thickBot="1" x14ac:dyDescent="0.3">
      <c r="A55" s="271"/>
      <c r="B55" s="255"/>
      <c r="C55" s="255"/>
      <c r="D55" s="255"/>
      <c r="E55" s="440"/>
      <c r="F55" s="479"/>
      <c r="G55" s="493"/>
    </row>
    <row r="56" spans="1:13" ht="15.75" x14ac:dyDescent="0.2">
      <c r="A56" s="276">
        <v>43905</v>
      </c>
      <c r="B56" s="286">
        <v>0.60069444444444442</v>
      </c>
      <c r="C56" s="286">
        <v>0.61458333333333337</v>
      </c>
      <c r="D56" s="277">
        <f>(C56-B56)</f>
        <v>1.3888888888888951E-2</v>
      </c>
      <c r="E56" s="452" t="s">
        <v>150</v>
      </c>
      <c r="F56" s="453"/>
      <c r="G56" s="492"/>
    </row>
    <row r="57" spans="1:13" ht="36.75" customHeight="1" thickBot="1" x14ac:dyDescent="0.3">
      <c r="A57" s="287"/>
      <c r="B57" s="288"/>
      <c r="C57" s="288"/>
      <c r="D57" s="288"/>
      <c r="E57" s="454"/>
      <c r="F57" s="455"/>
      <c r="G57" s="493"/>
    </row>
    <row r="58" spans="1:13" ht="15.75" x14ac:dyDescent="0.2">
      <c r="A58" s="272">
        <v>43905</v>
      </c>
      <c r="B58" s="256">
        <v>0.64583333333333337</v>
      </c>
      <c r="C58" s="256">
        <v>0.74305555555555547</v>
      </c>
      <c r="D58" s="257">
        <f>(C58-B58)</f>
        <v>9.7222222222222099E-2</v>
      </c>
      <c r="E58" s="441" t="s">
        <v>151</v>
      </c>
      <c r="F58" s="456"/>
      <c r="G58" s="492"/>
    </row>
    <row r="59" spans="1:13" ht="16.5" thickBot="1" x14ac:dyDescent="0.3">
      <c r="A59" s="273"/>
      <c r="B59" s="258"/>
      <c r="C59" s="258"/>
      <c r="D59" s="258"/>
      <c r="E59" s="442"/>
      <c r="F59" s="457"/>
      <c r="G59" s="493"/>
    </row>
    <row r="60" spans="1:13" ht="15.75" x14ac:dyDescent="0.2">
      <c r="A60" s="272">
        <v>43905</v>
      </c>
      <c r="B60" s="256">
        <v>0.77777777777777779</v>
      </c>
      <c r="C60" s="256">
        <v>0.8125</v>
      </c>
      <c r="D60" s="257">
        <f>(C60-B60)</f>
        <v>3.472222222222221E-2</v>
      </c>
      <c r="E60" s="441" t="s">
        <v>152</v>
      </c>
      <c r="F60" s="456"/>
      <c r="G60" s="492"/>
      <c r="M60" s="330">
        <v>0.92708333333333337</v>
      </c>
    </row>
    <row r="61" spans="1:13" ht="12.6" customHeight="1" thickBot="1" x14ac:dyDescent="0.3">
      <c r="A61" s="273"/>
      <c r="B61" s="258"/>
      <c r="C61" s="258"/>
      <c r="D61" s="258"/>
      <c r="E61" s="442"/>
      <c r="F61" s="457"/>
      <c r="G61" s="493"/>
    </row>
    <row r="62" spans="1:13" ht="15.75" x14ac:dyDescent="0.2">
      <c r="A62" s="272">
        <v>43905</v>
      </c>
      <c r="B62" s="256">
        <v>0.8125</v>
      </c>
      <c r="C62" s="256">
        <v>0.90625</v>
      </c>
      <c r="D62" s="257">
        <f>(C62-B62)</f>
        <v>9.375E-2</v>
      </c>
      <c r="E62" s="441" t="s">
        <v>153</v>
      </c>
      <c r="F62" s="456"/>
      <c r="G62" s="492"/>
    </row>
    <row r="63" spans="1:13" ht="16.5" thickBot="1" x14ac:dyDescent="0.3">
      <c r="A63" s="273"/>
      <c r="B63" s="258"/>
      <c r="C63" s="258"/>
      <c r="D63" s="258"/>
      <c r="E63" s="442"/>
      <c r="F63" s="457"/>
      <c r="G63" s="493"/>
    </row>
    <row r="64" spans="1:13" ht="15.75" x14ac:dyDescent="0.2">
      <c r="A64" s="272">
        <v>43906</v>
      </c>
      <c r="B64" s="256">
        <v>0.93055555555555547</v>
      </c>
      <c r="C64" s="256">
        <v>0.94097222222222221</v>
      </c>
      <c r="D64" s="257">
        <f>(C64-B64)</f>
        <v>1.0416666666666741E-2</v>
      </c>
      <c r="E64" s="441" t="s">
        <v>134</v>
      </c>
      <c r="F64" s="456"/>
      <c r="G64" s="492"/>
    </row>
    <row r="65" spans="1:16" ht="16.5" thickBot="1" x14ac:dyDescent="0.3">
      <c r="A65" s="273"/>
      <c r="B65" s="258"/>
      <c r="C65" s="258"/>
      <c r="D65" s="258"/>
      <c r="E65" s="442"/>
      <c r="F65" s="457"/>
      <c r="G65" s="493"/>
    </row>
    <row r="66" spans="1:16" x14ac:dyDescent="0.2">
      <c r="J66" s="107"/>
      <c r="K66" s="275"/>
      <c r="L66" s="275"/>
      <c r="M66" s="275"/>
      <c r="N66" s="275"/>
      <c r="O66" s="275"/>
      <c r="P66" s="275"/>
    </row>
    <row r="67" spans="1:16" x14ac:dyDescent="0.2">
      <c r="J67" s="275"/>
      <c r="K67" s="275"/>
      <c r="L67" s="275"/>
      <c r="M67" s="275"/>
      <c r="N67" s="275"/>
      <c r="O67" s="275"/>
      <c r="P67" s="275"/>
    </row>
    <row r="68" spans="1:16" ht="12.6" customHeight="1" x14ac:dyDescent="0.2">
      <c r="J68" s="275"/>
      <c r="K68" s="275"/>
      <c r="L68" s="275"/>
      <c r="M68" s="275"/>
      <c r="N68" s="275"/>
      <c r="O68" s="275"/>
      <c r="P68" s="275"/>
    </row>
    <row r="69" spans="1:16" ht="12.6" customHeight="1" x14ac:dyDescent="0.2">
      <c r="J69" s="275"/>
      <c r="K69" s="275"/>
      <c r="L69" s="275"/>
      <c r="M69" s="275"/>
      <c r="N69" s="275"/>
      <c r="O69" s="275"/>
      <c r="P69" s="275"/>
    </row>
    <row r="70" spans="1:16" ht="12.6" customHeight="1" x14ac:dyDescent="0.2">
      <c r="J70" s="275"/>
      <c r="K70" s="275"/>
      <c r="L70" s="275"/>
      <c r="M70" s="275"/>
      <c r="N70" s="275"/>
      <c r="O70" s="275"/>
      <c r="P70" s="275"/>
    </row>
    <row r="71" spans="1:16" ht="12.6" customHeight="1" x14ac:dyDescent="0.2">
      <c r="J71" s="275"/>
      <c r="K71" s="275"/>
      <c r="L71" s="275"/>
      <c r="M71" s="275"/>
      <c r="N71" s="275"/>
      <c r="O71" s="275"/>
      <c r="P71" s="275"/>
    </row>
    <row r="72" spans="1:16" ht="12.6" customHeight="1" x14ac:dyDescent="0.2">
      <c r="J72" s="275"/>
      <c r="K72" s="275"/>
    </row>
    <row r="73" spans="1:16" ht="12.6" customHeight="1" x14ac:dyDescent="0.2">
      <c r="J73" s="275"/>
      <c r="K73" s="275"/>
    </row>
    <row r="74" spans="1:16" ht="12.6" customHeight="1" x14ac:dyDescent="0.2">
      <c r="J74" s="275"/>
      <c r="K74" s="275"/>
    </row>
    <row r="75" spans="1:16" ht="12.6" customHeight="1" x14ac:dyDescent="0.2">
      <c r="J75" s="275"/>
      <c r="K75" s="275"/>
    </row>
    <row r="76" spans="1:16" ht="12.6" customHeight="1" x14ac:dyDescent="0.2">
      <c r="J76" s="275"/>
      <c r="K76" s="275"/>
    </row>
    <row r="77" spans="1:16" ht="12.6" customHeight="1" x14ac:dyDescent="0.2">
      <c r="J77" s="275"/>
      <c r="K77" s="275"/>
    </row>
    <row r="78" spans="1:16" ht="12.6" customHeight="1" x14ac:dyDescent="0.2">
      <c r="J78" s="275"/>
      <c r="K78" s="275"/>
    </row>
    <row r="79" spans="1:16" ht="12.6" customHeight="1" x14ac:dyDescent="0.2">
      <c r="J79" s="275"/>
      <c r="K79" s="275"/>
    </row>
    <row r="80" spans="1:16" ht="12.6" customHeight="1" x14ac:dyDescent="0.2"/>
    <row r="81" ht="13.1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spans="8:8" ht="12.75" customHeight="1" x14ac:dyDescent="0.2"/>
    <row r="98" spans="8:8" ht="12.75" customHeight="1" x14ac:dyDescent="0.2"/>
    <row r="99" spans="8:8" ht="12.75" customHeight="1" x14ac:dyDescent="0.2">
      <c r="H99" s="5"/>
    </row>
    <row r="100" spans="8:8" ht="12.75" customHeight="1" x14ac:dyDescent="0.2">
      <c r="H100" s="5"/>
    </row>
    <row r="101" spans="8:8" ht="12.75" customHeight="1" x14ac:dyDescent="0.2">
      <c r="H101" s="5"/>
    </row>
    <row r="102" spans="8:8" ht="12.75" customHeight="1" x14ac:dyDescent="0.2">
      <c r="H102" s="5"/>
    </row>
    <row r="103" spans="8:8" ht="12.75" customHeight="1" x14ac:dyDescent="0.2">
      <c r="H103" s="5"/>
    </row>
    <row r="104" spans="8:8" ht="12.75" customHeight="1" x14ac:dyDescent="0.2">
      <c r="H104" s="5"/>
    </row>
    <row r="105" spans="8:8" ht="12.75" customHeight="1" x14ac:dyDescent="0.2">
      <c r="H105" s="5"/>
    </row>
    <row r="106" spans="8:8" ht="12.75" customHeight="1" x14ac:dyDescent="0.2">
      <c r="H106" s="5"/>
    </row>
    <row r="107" spans="8:8" ht="12.75" customHeight="1" x14ac:dyDescent="0.2">
      <c r="H107" s="5"/>
    </row>
    <row r="108" spans="8:8" ht="12.75" customHeight="1" x14ac:dyDescent="0.2">
      <c r="H108" s="5"/>
    </row>
    <row r="109" spans="8:8" ht="12.75" customHeight="1" x14ac:dyDescent="0.2">
      <c r="H109" s="5"/>
    </row>
    <row r="110" spans="8:8" ht="12.75" customHeight="1" x14ac:dyDescent="0.2">
      <c r="H110" s="5"/>
    </row>
    <row r="111" spans="8:8" ht="12.75" customHeight="1" x14ac:dyDescent="0.2">
      <c r="H111" s="5"/>
    </row>
    <row r="112" spans="8:8" ht="12.75" customHeight="1" x14ac:dyDescent="0.2">
      <c r="H112" s="5"/>
    </row>
    <row r="113" spans="1:8" ht="12.75" customHeight="1" x14ac:dyDescent="0.2">
      <c r="H113" s="5"/>
    </row>
    <row r="114" spans="1:8" ht="12.75" customHeight="1" x14ac:dyDescent="0.2">
      <c r="H114" s="5"/>
    </row>
    <row r="115" spans="1:8" ht="13.5" customHeight="1" x14ac:dyDescent="0.2">
      <c r="H115" s="5"/>
    </row>
    <row r="116" spans="1:8" ht="12.75" customHeight="1" x14ac:dyDescent="0.2">
      <c r="H116" s="5"/>
    </row>
    <row r="117" spans="1:8" ht="12.75" customHeight="1" x14ac:dyDescent="0.2">
      <c r="H117" s="5"/>
    </row>
    <row r="118" spans="1:8" ht="12.75" customHeight="1" thickBot="1" x14ac:dyDescent="0.4">
      <c r="A118" s="28" t="s">
        <v>26</v>
      </c>
      <c r="B118" s="28"/>
      <c r="C118" s="27"/>
      <c r="D118" s="27"/>
      <c r="E118" s="27"/>
      <c r="F118" s="98"/>
      <c r="G118" s="98"/>
      <c r="H118" s="5"/>
    </row>
    <row r="119" spans="1:8" ht="12.75" customHeight="1" thickBot="1" x14ac:dyDescent="0.25">
      <c r="A119" s="234"/>
      <c r="B119" s="234"/>
      <c r="C119" s="234"/>
      <c r="D119" s="234"/>
      <c r="E119" s="234"/>
      <c r="F119" s="234"/>
      <c r="G119" s="234"/>
      <c r="H119" s="5"/>
    </row>
    <row r="120" spans="1:8" ht="12.75" customHeight="1" x14ac:dyDescent="0.2">
      <c r="A120" s="494" t="s">
        <v>154</v>
      </c>
      <c r="B120" s="495"/>
      <c r="C120" s="495"/>
      <c r="D120" s="495"/>
      <c r="E120" s="495"/>
      <c r="F120" s="495"/>
      <c r="G120" s="496"/>
      <c r="H120" s="5"/>
    </row>
    <row r="121" spans="1:8" ht="12.75" customHeight="1" x14ac:dyDescent="0.2">
      <c r="A121" s="497"/>
      <c r="B121" s="498"/>
      <c r="C121" s="498"/>
      <c r="D121" s="498"/>
      <c r="E121" s="498"/>
      <c r="F121" s="498"/>
      <c r="G121" s="499"/>
      <c r="H121" s="5"/>
    </row>
    <row r="122" spans="1:8" ht="12.75" customHeight="1" x14ac:dyDescent="0.2">
      <c r="A122" s="497"/>
      <c r="B122" s="498"/>
      <c r="C122" s="498"/>
      <c r="D122" s="498"/>
      <c r="E122" s="498"/>
      <c r="F122" s="498"/>
      <c r="G122" s="499"/>
      <c r="H122" s="5"/>
    </row>
    <row r="123" spans="1:8" ht="12.75" customHeight="1" x14ac:dyDescent="0.2">
      <c r="A123" s="497"/>
      <c r="B123" s="498"/>
      <c r="C123" s="498"/>
      <c r="D123" s="498"/>
      <c r="E123" s="498"/>
      <c r="F123" s="498"/>
      <c r="G123" s="499"/>
      <c r="H123" s="5"/>
    </row>
    <row r="124" spans="1:8" ht="12.75" customHeight="1" x14ac:dyDescent="0.2">
      <c r="A124" s="497"/>
      <c r="B124" s="498"/>
      <c r="C124" s="498"/>
      <c r="D124" s="498"/>
      <c r="E124" s="498"/>
      <c r="F124" s="498"/>
      <c r="G124" s="499"/>
      <c r="H124" s="5"/>
    </row>
    <row r="125" spans="1:8" ht="12.75" customHeight="1" x14ac:dyDescent="0.2">
      <c r="A125" s="497"/>
      <c r="B125" s="498"/>
      <c r="C125" s="498"/>
      <c r="D125" s="498"/>
      <c r="E125" s="498"/>
      <c r="F125" s="498"/>
      <c r="G125" s="499"/>
      <c r="H125" s="5"/>
    </row>
    <row r="126" spans="1:8" ht="12.75" customHeight="1" x14ac:dyDescent="0.2">
      <c r="A126" s="497"/>
      <c r="B126" s="498"/>
      <c r="C126" s="498"/>
      <c r="D126" s="498"/>
      <c r="E126" s="498"/>
      <c r="F126" s="498"/>
      <c r="G126" s="499"/>
      <c r="H126" s="5"/>
    </row>
    <row r="127" spans="1:8" ht="12.75" customHeight="1" x14ac:dyDescent="0.2">
      <c r="A127" s="497"/>
      <c r="B127" s="498"/>
      <c r="C127" s="498"/>
      <c r="D127" s="498"/>
      <c r="E127" s="498"/>
      <c r="F127" s="498"/>
      <c r="G127" s="499"/>
      <c r="H127" s="5"/>
    </row>
    <row r="128" spans="1:8" ht="12.75" customHeight="1" x14ac:dyDescent="0.2">
      <c r="A128" s="497"/>
      <c r="B128" s="498"/>
      <c r="C128" s="498"/>
      <c r="D128" s="498"/>
      <c r="E128" s="498"/>
      <c r="F128" s="498"/>
      <c r="G128" s="499"/>
      <c r="H128" s="5"/>
    </row>
    <row r="129" spans="1:8" ht="12.75" customHeight="1" x14ac:dyDescent="0.2">
      <c r="A129" s="497"/>
      <c r="B129" s="498"/>
      <c r="C129" s="498"/>
      <c r="D129" s="498"/>
      <c r="E129" s="498"/>
      <c r="F129" s="498"/>
      <c r="G129" s="499"/>
      <c r="H129" s="5"/>
    </row>
    <row r="130" spans="1:8" ht="12.75" customHeight="1" x14ac:dyDescent="0.2">
      <c r="A130" s="497"/>
      <c r="B130" s="498"/>
      <c r="C130" s="498"/>
      <c r="D130" s="498"/>
      <c r="E130" s="498"/>
      <c r="F130" s="498"/>
      <c r="G130" s="499"/>
      <c r="H130" s="5"/>
    </row>
    <row r="131" spans="1:8" ht="12.75" customHeight="1" x14ac:dyDescent="0.2">
      <c r="A131" s="497"/>
      <c r="B131" s="498"/>
      <c r="C131" s="498"/>
      <c r="D131" s="498"/>
      <c r="E131" s="498"/>
      <c r="F131" s="498"/>
      <c r="G131" s="499"/>
      <c r="H131" s="5"/>
    </row>
    <row r="132" spans="1:8" ht="13.5" customHeight="1" x14ac:dyDescent="0.2">
      <c r="A132" s="497"/>
      <c r="B132" s="498"/>
      <c r="C132" s="498"/>
      <c r="D132" s="498"/>
      <c r="E132" s="498"/>
      <c r="F132" s="498"/>
      <c r="G132" s="499"/>
      <c r="H132" s="5"/>
    </row>
    <row r="133" spans="1:8" ht="12.75" customHeight="1" x14ac:dyDescent="0.2">
      <c r="A133" s="497"/>
      <c r="B133" s="498"/>
      <c r="C133" s="498"/>
      <c r="D133" s="498"/>
      <c r="E133" s="498"/>
      <c r="F133" s="498"/>
      <c r="G133" s="499"/>
      <c r="H133" s="5"/>
    </row>
    <row r="134" spans="1:8" ht="12.75" customHeight="1" x14ac:dyDescent="0.2">
      <c r="A134" s="497"/>
      <c r="B134" s="498"/>
      <c r="C134" s="498"/>
      <c r="D134" s="498"/>
      <c r="E134" s="498"/>
      <c r="F134" s="498"/>
      <c r="G134" s="499"/>
    </row>
    <row r="135" spans="1:8" ht="12.75" customHeight="1" x14ac:dyDescent="0.2">
      <c r="A135" s="497"/>
      <c r="B135" s="498"/>
      <c r="C135" s="498"/>
      <c r="D135" s="498"/>
      <c r="E135" s="498"/>
      <c r="F135" s="498"/>
      <c r="G135" s="499"/>
    </row>
    <row r="136" spans="1:8" x14ac:dyDescent="0.2">
      <c r="A136" s="497"/>
      <c r="B136" s="498"/>
      <c r="C136" s="498"/>
      <c r="D136" s="498"/>
      <c r="E136" s="498"/>
      <c r="F136" s="498"/>
      <c r="G136" s="499"/>
    </row>
    <row r="137" spans="1:8" x14ac:dyDescent="0.2">
      <c r="A137" s="497"/>
      <c r="B137" s="498"/>
      <c r="C137" s="498"/>
      <c r="D137" s="498"/>
      <c r="E137" s="498"/>
      <c r="F137" s="498"/>
      <c r="G137" s="499"/>
    </row>
    <row r="138" spans="1:8" x14ac:dyDescent="0.2">
      <c r="A138" s="497"/>
      <c r="B138" s="498"/>
      <c r="C138" s="498"/>
      <c r="D138" s="498"/>
      <c r="E138" s="498"/>
      <c r="F138" s="498"/>
      <c r="G138" s="499"/>
    </row>
    <row r="139" spans="1:8" x14ac:dyDescent="0.2">
      <c r="A139" s="497"/>
      <c r="B139" s="498"/>
      <c r="C139" s="498"/>
      <c r="D139" s="498"/>
      <c r="E139" s="498"/>
      <c r="F139" s="498"/>
      <c r="G139" s="499"/>
    </row>
    <row r="140" spans="1:8" x14ac:dyDescent="0.2">
      <c r="A140" s="497"/>
      <c r="B140" s="498"/>
      <c r="C140" s="498"/>
      <c r="D140" s="498"/>
      <c r="E140" s="498"/>
      <c r="F140" s="498"/>
      <c r="G140" s="499"/>
    </row>
    <row r="141" spans="1:8" x14ac:dyDescent="0.2">
      <c r="A141" s="497"/>
      <c r="B141" s="498"/>
      <c r="C141" s="498"/>
      <c r="D141" s="498"/>
      <c r="E141" s="498"/>
      <c r="F141" s="498"/>
      <c r="G141" s="499"/>
    </row>
    <row r="142" spans="1:8" x14ac:dyDescent="0.2">
      <c r="A142" s="497"/>
      <c r="B142" s="498"/>
      <c r="C142" s="498"/>
      <c r="D142" s="498"/>
      <c r="E142" s="498"/>
      <c r="F142" s="498"/>
      <c r="G142" s="499"/>
    </row>
    <row r="143" spans="1:8" x14ac:dyDescent="0.2">
      <c r="A143" s="497"/>
      <c r="B143" s="498"/>
      <c r="C143" s="498"/>
      <c r="D143" s="498"/>
      <c r="E143" s="498"/>
      <c r="F143" s="498"/>
      <c r="G143" s="499"/>
    </row>
    <row r="144" spans="1:8" x14ac:dyDescent="0.2">
      <c r="A144" s="497"/>
      <c r="B144" s="498"/>
      <c r="C144" s="498"/>
      <c r="D144" s="498"/>
      <c r="E144" s="498"/>
      <c r="F144" s="498"/>
      <c r="G144" s="499"/>
    </row>
    <row r="145" spans="1:7" x14ac:dyDescent="0.2">
      <c r="A145" s="497"/>
      <c r="B145" s="498"/>
      <c r="C145" s="498"/>
      <c r="D145" s="498"/>
      <c r="E145" s="498"/>
      <c r="F145" s="498"/>
      <c r="G145" s="499"/>
    </row>
    <row r="146" spans="1:7" x14ac:dyDescent="0.2">
      <c r="A146" s="497"/>
      <c r="B146" s="498"/>
      <c r="C146" s="498"/>
      <c r="D146" s="498"/>
      <c r="E146" s="498"/>
      <c r="F146" s="498"/>
      <c r="G146" s="499"/>
    </row>
    <row r="147" spans="1:7" x14ac:dyDescent="0.2">
      <c r="A147" s="497"/>
      <c r="B147" s="498"/>
      <c r="C147" s="498"/>
      <c r="D147" s="498"/>
      <c r="E147" s="498"/>
      <c r="F147" s="498"/>
      <c r="G147" s="499"/>
    </row>
    <row r="148" spans="1:7" x14ac:dyDescent="0.2">
      <c r="A148" s="497"/>
      <c r="B148" s="498"/>
      <c r="C148" s="498"/>
      <c r="D148" s="498"/>
      <c r="E148" s="498"/>
      <c r="F148" s="498"/>
      <c r="G148" s="499"/>
    </row>
    <row r="149" spans="1:7" x14ac:dyDescent="0.2">
      <c r="A149" s="497"/>
      <c r="B149" s="498"/>
      <c r="C149" s="498"/>
      <c r="D149" s="498"/>
      <c r="E149" s="498"/>
      <c r="F149" s="498"/>
      <c r="G149" s="499"/>
    </row>
    <row r="150" spans="1:7" ht="12.75" customHeight="1" x14ac:dyDescent="0.2">
      <c r="A150" s="497"/>
      <c r="B150" s="498"/>
      <c r="C150" s="498"/>
      <c r="D150" s="498"/>
      <c r="E150" s="498"/>
      <c r="F150" s="498"/>
      <c r="G150" s="499"/>
    </row>
    <row r="151" spans="1:7" ht="12.75" customHeight="1" x14ac:dyDescent="0.2">
      <c r="A151" s="497"/>
      <c r="B151" s="498"/>
      <c r="C151" s="498"/>
      <c r="D151" s="498"/>
      <c r="E151" s="498"/>
      <c r="F151" s="498"/>
      <c r="G151" s="499"/>
    </row>
    <row r="152" spans="1:7" ht="12.75" customHeight="1" x14ac:dyDescent="0.2">
      <c r="A152" s="497"/>
      <c r="B152" s="498"/>
      <c r="C152" s="498"/>
      <c r="D152" s="498"/>
      <c r="E152" s="498"/>
      <c r="F152" s="498"/>
      <c r="G152" s="499"/>
    </row>
    <row r="153" spans="1:7" ht="12.75" customHeight="1" x14ac:dyDescent="0.2">
      <c r="A153" s="497"/>
      <c r="B153" s="498"/>
      <c r="C153" s="498"/>
      <c r="D153" s="498"/>
      <c r="E153" s="498"/>
      <c r="F153" s="498"/>
      <c r="G153" s="499"/>
    </row>
    <row r="154" spans="1:7" ht="12.75" customHeight="1" x14ac:dyDescent="0.2">
      <c r="A154" s="497"/>
      <c r="B154" s="498"/>
      <c r="C154" s="498"/>
      <c r="D154" s="498"/>
      <c r="E154" s="498"/>
      <c r="F154" s="498"/>
      <c r="G154" s="499"/>
    </row>
    <row r="155" spans="1:7" ht="12.75" customHeight="1" x14ac:dyDescent="0.2">
      <c r="A155" s="497"/>
      <c r="B155" s="498"/>
      <c r="C155" s="498"/>
      <c r="D155" s="498"/>
      <c r="E155" s="498"/>
      <c r="F155" s="498"/>
      <c r="G155" s="499"/>
    </row>
    <row r="156" spans="1:7" ht="12.75" customHeight="1" x14ac:dyDescent="0.2">
      <c r="A156" s="497"/>
      <c r="B156" s="498"/>
      <c r="C156" s="498"/>
      <c r="D156" s="498"/>
      <c r="E156" s="498"/>
      <c r="F156" s="498"/>
      <c r="G156" s="499"/>
    </row>
    <row r="157" spans="1:7" ht="12.75" customHeight="1" x14ac:dyDescent="0.2">
      <c r="A157" s="497"/>
      <c r="B157" s="498"/>
      <c r="C157" s="498"/>
      <c r="D157" s="498"/>
      <c r="E157" s="498"/>
      <c r="F157" s="498"/>
      <c r="G157" s="499"/>
    </row>
    <row r="158" spans="1:7" ht="12.75" customHeight="1" x14ac:dyDescent="0.2">
      <c r="A158" s="497"/>
      <c r="B158" s="498"/>
      <c r="C158" s="498"/>
      <c r="D158" s="498"/>
      <c r="E158" s="498"/>
      <c r="F158" s="498"/>
      <c r="G158" s="499"/>
    </row>
    <row r="159" spans="1:7" ht="12.75" customHeight="1" x14ac:dyDescent="0.2">
      <c r="A159" s="497"/>
      <c r="B159" s="498"/>
      <c r="C159" s="498"/>
      <c r="D159" s="498"/>
      <c r="E159" s="498"/>
      <c r="F159" s="498"/>
      <c r="G159" s="499"/>
    </row>
    <row r="160" spans="1:7" ht="12.75" customHeight="1" x14ac:dyDescent="0.2">
      <c r="A160" s="497"/>
      <c r="B160" s="498"/>
      <c r="C160" s="498"/>
      <c r="D160" s="498"/>
      <c r="E160" s="498"/>
      <c r="F160" s="498"/>
      <c r="G160" s="499"/>
    </row>
    <row r="161" spans="1:7" ht="12.75" customHeight="1" x14ac:dyDescent="0.2">
      <c r="A161" s="497"/>
      <c r="B161" s="498"/>
      <c r="C161" s="498"/>
      <c r="D161" s="498"/>
      <c r="E161" s="498"/>
      <c r="F161" s="498"/>
      <c r="G161" s="499"/>
    </row>
    <row r="162" spans="1:7" ht="12.75" customHeight="1" x14ac:dyDescent="0.2">
      <c r="A162" s="497"/>
      <c r="B162" s="498"/>
      <c r="C162" s="498"/>
      <c r="D162" s="498"/>
      <c r="E162" s="498"/>
      <c r="F162" s="498"/>
      <c r="G162" s="499"/>
    </row>
    <row r="163" spans="1:7" ht="12.75" customHeight="1" x14ac:dyDescent="0.2">
      <c r="A163" s="497"/>
      <c r="B163" s="498"/>
      <c r="C163" s="498"/>
      <c r="D163" s="498"/>
      <c r="E163" s="498"/>
      <c r="F163" s="498"/>
      <c r="G163" s="499"/>
    </row>
    <row r="164" spans="1:7" ht="12.75" customHeight="1" x14ac:dyDescent="0.2">
      <c r="A164" s="497"/>
      <c r="B164" s="498"/>
      <c r="C164" s="498"/>
      <c r="D164" s="498"/>
      <c r="E164" s="498"/>
      <c r="F164" s="498"/>
      <c r="G164" s="499"/>
    </row>
    <row r="165" spans="1:7" ht="12.75" customHeight="1" x14ac:dyDescent="0.2">
      <c r="A165" s="497"/>
      <c r="B165" s="498"/>
      <c r="C165" s="498"/>
      <c r="D165" s="498"/>
      <c r="E165" s="498"/>
      <c r="F165" s="498"/>
      <c r="G165" s="499"/>
    </row>
    <row r="166" spans="1:7" ht="12.75" customHeight="1" x14ac:dyDescent="0.2">
      <c r="A166" s="497"/>
      <c r="B166" s="498"/>
      <c r="C166" s="498"/>
      <c r="D166" s="498"/>
      <c r="E166" s="498"/>
      <c r="F166" s="498"/>
      <c r="G166" s="499"/>
    </row>
    <row r="167" spans="1:7" ht="12.75" customHeight="1" x14ac:dyDescent="0.2">
      <c r="A167" s="497"/>
      <c r="B167" s="498"/>
      <c r="C167" s="498"/>
      <c r="D167" s="498"/>
      <c r="E167" s="498"/>
      <c r="F167" s="498"/>
      <c r="G167" s="499"/>
    </row>
    <row r="168" spans="1:7" ht="12.75" customHeight="1" x14ac:dyDescent="0.2">
      <c r="A168" s="497"/>
      <c r="B168" s="498"/>
      <c r="C168" s="498"/>
      <c r="D168" s="498"/>
      <c r="E168" s="498"/>
      <c r="F168" s="498"/>
      <c r="G168" s="499"/>
    </row>
    <row r="169" spans="1:7" ht="12.75" customHeight="1" x14ac:dyDescent="0.2">
      <c r="A169" s="497"/>
      <c r="B169" s="498"/>
      <c r="C169" s="498"/>
      <c r="D169" s="498"/>
      <c r="E169" s="498"/>
      <c r="F169" s="498"/>
      <c r="G169" s="499"/>
    </row>
    <row r="170" spans="1:7" ht="12.75" customHeight="1" x14ac:dyDescent="0.2">
      <c r="A170" s="497"/>
      <c r="B170" s="498"/>
      <c r="C170" s="498"/>
      <c r="D170" s="498"/>
      <c r="E170" s="498"/>
      <c r="F170" s="498"/>
      <c r="G170" s="499"/>
    </row>
    <row r="171" spans="1:7" ht="12.75" customHeight="1" x14ac:dyDescent="0.2">
      <c r="A171" s="497"/>
      <c r="B171" s="498"/>
      <c r="C171" s="498"/>
      <c r="D171" s="498"/>
      <c r="E171" s="498"/>
      <c r="F171" s="498"/>
      <c r="G171" s="499"/>
    </row>
    <row r="172" spans="1:7" ht="12.75" customHeight="1" x14ac:dyDescent="0.2">
      <c r="A172" s="497"/>
      <c r="B172" s="498"/>
      <c r="C172" s="498"/>
      <c r="D172" s="498"/>
      <c r="E172" s="498"/>
      <c r="F172" s="498"/>
      <c r="G172" s="499"/>
    </row>
    <row r="173" spans="1:7" ht="12.75" customHeight="1" x14ac:dyDescent="0.2">
      <c r="A173" s="497"/>
      <c r="B173" s="498"/>
      <c r="C173" s="498"/>
      <c r="D173" s="498"/>
      <c r="E173" s="498"/>
      <c r="F173" s="498"/>
      <c r="G173" s="499"/>
    </row>
    <row r="174" spans="1:7" ht="12.75" customHeight="1" x14ac:dyDescent="0.2">
      <c r="A174" s="497"/>
      <c r="B174" s="498"/>
      <c r="C174" s="498"/>
      <c r="D174" s="498"/>
      <c r="E174" s="498"/>
      <c r="F174" s="498"/>
      <c r="G174" s="499"/>
    </row>
    <row r="175" spans="1:7" ht="12.75" customHeight="1" x14ac:dyDescent="0.2">
      <c r="A175" s="497"/>
      <c r="B175" s="498"/>
      <c r="C175" s="498"/>
      <c r="D175" s="498"/>
      <c r="E175" s="498"/>
      <c r="F175" s="498"/>
      <c r="G175" s="499"/>
    </row>
    <row r="176" spans="1:7" ht="12.75" customHeight="1" x14ac:dyDescent="0.2">
      <c r="A176" s="497"/>
      <c r="B176" s="498"/>
      <c r="C176" s="498"/>
      <c r="D176" s="498"/>
      <c r="E176" s="498"/>
      <c r="F176" s="498"/>
      <c r="G176" s="499"/>
    </row>
    <row r="177" spans="1:7" ht="12.75" customHeight="1" x14ac:dyDescent="0.2">
      <c r="A177" s="497"/>
      <c r="B177" s="498"/>
      <c r="C177" s="498"/>
      <c r="D177" s="498"/>
      <c r="E177" s="498"/>
      <c r="F177" s="498"/>
      <c r="G177" s="499"/>
    </row>
    <row r="178" spans="1:7" ht="12.75" customHeight="1" x14ac:dyDescent="0.2">
      <c r="A178" s="497"/>
      <c r="B178" s="498"/>
      <c r="C178" s="498"/>
      <c r="D178" s="498"/>
      <c r="E178" s="498"/>
      <c r="F178" s="498"/>
      <c r="G178" s="499"/>
    </row>
    <row r="179" spans="1:7" ht="12.75" customHeight="1" x14ac:dyDescent="0.2">
      <c r="A179" s="497"/>
      <c r="B179" s="498"/>
      <c r="C179" s="498"/>
      <c r="D179" s="498"/>
      <c r="E179" s="498"/>
      <c r="F179" s="498"/>
      <c r="G179" s="499"/>
    </row>
    <row r="180" spans="1:7" ht="12.75" customHeight="1" x14ac:dyDescent="0.2">
      <c r="A180" s="497"/>
      <c r="B180" s="498"/>
      <c r="C180" s="498"/>
      <c r="D180" s="498"/>
      <c r="E180" s="498"/>
      <c r="F180" s="498"/>
      <c r="G180" s="499"/>
    </row>
    <row r="181" spans="1:7" ht="12.75" customHeight="1" x14ac:dyDescent="0.2">
      <c r="A181" s="497"/>
      <c r="B181" s="498"/>
      <c r="C181" s="498"/>
      <c r="D181" s="498"/>
      <c r="E181" s="498"/>
      <c r="F181" s="498"/>
      <c r="G181" s="499"/>
    </row>
    <row r="182" spans="1:7" ht="12.75" customHeight="1" x14ac:dyDescent="0.2">
      <c r="A182" s="497"/>
      <c r="B182" s="498"/>
      <c r="C182" s="498"/>
      <c r="D182" s="498"/>
      <c r="E182" s="498"/>
      <c r="F182" s="498"/>
      <c r="G182" s="499"/>
    </row>
    <row r="183" spans="1:7" ht="12.75" customHeight="1" x14ac:dyDescent="0.2">
      <c r="A183" s="497"/>
      <c r="B183" s="498"/>
      <c r="C183" s="498"/>
      <c r="D183" s="498"/>
      <c r="E183" s="498"/>
      <c r="F183" s="498"/>
      <c r="G183" s="499"/>
    </row>
    <row r="184" spans="1:7" ht="12.75" customHeight="1" x14ac:dyDescent="0.2">
      <c r="A184" s="497"/>
      <c r="B184" s="498"/>
      <c r="C184" s="498"/>
      <c r="D184" s="498"/>
      <c r="E184" s="498"/>
      <c r="F184" s="498"/>
      <c r="G184" s="499"/>
    </row>
    <row r="185" spans="1:7" ht="12.75" customHeight="1" x14ac:dyDescent="0.2">
      <c r="A185" s="497"/>
      <c r="B185" s="498"/>
      <c r="C185" s="498"/>
      <c r="D185" s="498"/>
      <c r="E185" s="498"/>
      <c r="F185" s="498"/>
      <c r="G185" s="499"/>
    </row>
    <row r="186" spans="1:7" ht="12.75" customHeight="1" x14ac:dyDescent="0.2">
      <c r="A186" s="497"/>
      <c r="B186" s="498"/>
      <c r="C186" s="498"/>
      <c r="D186" s="498"/>
      <c r="E186" s="498"/>
      <c r="F186" s="498"/>
      <c r="G186" s="499"/>
    </row>
    <row r="187" spans="1:7" ht="12.75" customHeight="1" x14ac:dyDescent="0.2">
      <c r="A187" s="497"/>
      <c r="B187" s="498"/>
      <c r="C187" s="498"/>
      <c r="D187" s="498"/>
      <c r="E187" s="498"/>
      <c r="F187" s="498"/>
      <c r="G187" s="499"/>
    </row>
    <row r="188" spans="1:7" ht="12.75" customHeight="1" x14ac:dyDescent="0.2">
      <c r="A188" s="497"/>
      <c r="B188" s="498"/>
      <c r="C188" s="498"/>
      <c r="D188" s="498"/>
      <c r="E188" s="498"/>
      <c r="F188" s="498"/>
      <c r="G188" s="499"/>
    </row>
    <row r="189" spans="1:7" ht="12.75" customHeight="1" x14ac:dyDescent="0.2">
      <c r="A189" s="497"/>
      <c r="B189" s="498"/>
      <c r="C189" s="498"/>
      <c r="D189" s="498"/>
      <c r="E189" s="498"/>
      <c r="F189" s="498"/>
      <c r="G189" s="499"/>
    </row>
    <row r="190" spans="1:7" ht="12.75" customHeight="1" x14ac:dyDescent="0.2">
      <c r="A190" s="497"/>
      <c r="B190" s="498"/>
      <c r="C190" s="498"/>
      <c r="D190" s="498"/>
      <c r="E190" s="498"/>
      <c r="F190" s="498"/>
      <c r="G190" s="499"/>
    </row>
    <row r="191" spans="1:7" ht="12.75" customHeight="1" x14ac:dyDescent="0.2">
      <c r="A191" s="497"/>
      <c r="B191" s="498"/>
      <c r="C191" s="498"/>
      <c r="D191" s="498"/>
      <c r="E191" s="498"/>
      <c r="F191" s="498"/>
      <c r="G191" s="499"/>
    </row>
    <row r="192" spans="1:7" ht="12.75" customHeight="1" x14ac:dyDescent="0.2">
      <c r="A192" s="497"/>
      <c r="B192" s="498"/>
      <c r="C192" s="498"/>
      <c r="D192" s="498"/>
      <c r="E192" s="498"/>
      <c r="F192" s="498"/>
      <c r="G192" s="499"/>
    </row>
    <row r="193" spans="1:7" ht="12.75" customHeight="1" x14ac:dyDescent="0.2">
      <c r="A193" s="497"/>
      <c r="B193" s="498"/>
      <c r="C193" s="498"/>
      <c r="D193" s="498"/>
      <c r="E193" s="498"/>
      <c r="F193" s="498"/>
      <c r="G193" s="499"/>
    </row>
    <row r="194" spans="1:7" ht="12.75" customHeight="1" x14ac:dyDescent="0.2">
      <c r="A194" s="497"/>
      <c r="B194" s="498"/>
      <c r="C194" s="498"/>
      <c r="D194" s="498"/>
      <c r="E194" s="498"/>
      <c r="F194" s="498"/>
      <c r="G194" s="499"/>
    </row>
    <row r="195" spans="1:7" ht="12.75" customHeight="1" x14ac:dyDescent="0.2">
      <c r="A195" s="497"/>
      <c r="B195" s="498"/>
      <c r="C195" s="498"/>
      <c r="D195" s="498"/>
      <c r="E195" s="498"/>
      <c r="F195" s="498"/>
      <c r="G195" s="499"/>
    </row>
    <row r="196" spans="1:7" ht="12.75" customHeight="1" thickBot="1" x14ac:dyDescent="0.25">
      <c r="A196" s="500"/>
      <c r="B196" s="501"/>
      <c r="C196" s="501"/>
      <c r="D196" s="501"/>
      <c r="E196" s="501"/>
      <c r="F196" s="501"/>
      <c r="G196" s="502"/>
    </row>
    <row r="197" spans="1:7" ht="12.75" customHeight="1" x14ac:dyDescent="0.2"/>
    <row r="198" spans="1:7" ht="12.75" customHeight="1" x14ac:dyDescent="0.2"/>
    <row r="199" spans="1:7" ht="12.75" customHeight="1" x14ac:dyDescent="0.2"/>
    <row r="200" spans="1:7" ht="12.75" customHeight="1" x14ac:dyDescent="0.2"/>
    <row r="201" spans="1:7" ht="12.75" customHeight="1" x14ac:dyDescent="0.2"/>
    <row r="202" spans="1:7" ht="12.75" customHeight="1" x14ac:dyDescent="0.2"/>
    <row r="203" spans="1:7" ht="12.75" customHeight="1" x14ac:dyDescent="0.2"/>
    <row r="204" spans="1:7" ht="12.75" customHeight="1" x14ac:dyDescent="0.2"/>
    <row r="205" spans="1:7" ht="12.75" customHeight="1" x14ac:dyDescent="0.2"/>
    <row r="206" spans="1:7" ht="12.75" customHeight="1" x14ac:dyDescent="0.2"/>
    <row r="207" spans="1:7" ht="12.75" customHeight="1" x14ac:dyDescent="0.2"/>
    <row r="208" spans="1:7" ht="12.75" customHeight="1" x14ac:dyDescent="0.2"/>
    <row r="209" ht="12.75" customHeight="1" x14ac:dyDescent="0.2"/>
    <row r="210" ht="12.75" customHeight="1" x14ac:dyDescent="0.2"/>
    <row r="211" ht="12.75" customHeight="1" x14ac:dyDescent="0.2"/>
    <row r="212" ht="13.5" customHeight="1" x14ac:dyDescent="0.2"/>
  </sheetData>
  <mergeCells count="61">
    <mergeCell ref="A1:D1"/>
    <mergeCell ref="A4:A5"/>
    <mergeCell ref="C4:C5"/>
    <mergeCell ref="J4:J5"/>
    <mergeCell ref="E10:F11"/>
    <mergeCell ref="G10:G11"/>
    <mergeCell ref="E12:F13"/>
    <mergeCell ref="G12:G13"/>
    <mergeCell ref="E14:F15"/>
    <mergeCell ref="G14:G15"/>
    <mergeCell ref="E16:F17"/>
    <mergeCell ref="G16:G17"/>
    <mergeCell ref="E18:F19"/>
    <mergeCell ref="G18:G19"/>
    <mergeCell ref="E20:F21"/>
    <mergeCell ref="G20:G21"/>
    <mergeCell ref="E22:F23"/>
    <mergeCell ref="G22:G23"/>
    <mergeCell ref="E24:F25"/>
    <mergeCell ref="G24:G25"/>
    <mergeCell ref="E26:F27"/>
    <mergeCell ref="G26:G27"/>
    <mergeCell ref="E28:F29"/>
    <mergeCell ref="G28:G29"/>
    <mergeCell ref="E38:F39"/>
    <mergeCell ref="G38:G39"/>
    <mergeCell ref="E40:F41"/>
    <mergeCell ref="G40:G41"/>
    <mergeCell ref="E30:F31"/>
    <mergeCell ref="G30:G31"/>
    <mergeCell ref="E32:F33"/>
    <mergeCell ref="G32:G33"/>
    <mergeCell ref="E36:F37"/>
    <mergeCell ref="G36:G37"/>
    <mergeCell ref="E34:F35"/>
    <mergeCell ref="G34:G35"/>
    <mergeCell ref="E42:F43"/>
    <mergeCell ref="G42:G43"/>
    <mergeCell ref="E44:F45"/>
    <mergeCell ref="G44:G45"/>
    <mergeCell ref="E46:F47"/>
    <mergeCell ref="G46:G47"/>
    <mergeCell ref="E48:F49"/>
    <mergeCell ref="G48:G49"/>
    <mergeCell ref="E50:F51"/>
    <mergeCell ref="G50:G51"/>
    <mergeCell ref="E52:F53"/>
    <mergeCell ref="G52:G53"/>
    <mergeCell ref="E62:F63"/>
    <mergeCell ref="G62:G63"/>
    <mergeCell ref="E64:F65"/>
    <mergeCell ref="G64:G65"/>
    <mergeCell ref="A120:G196"/>
    <mergeCell ref="E60:F61"/>
    <mergeCell ref="G60:G61"/>
    <mergeCell ref="E54:F55"/>
    <mergeCell ref="G54:G55"/>
    <mergeCell ref="E56:F57"/>
    <mergeCell ref="G56:G57"/>
    <mergeCell ref="E58:F59"/>
    <mergeCell ref="G58:G59"/>
  </mergeCells>
  <conditionalFormatting sqref="I19 H20:I20 I21 H24">
    <cfRule type="expression" dxfId="48" priority="5">
      <formula>ISNUMBER(SEARCH(TEXT(#REF!,"ddd"),#REF!))</formula>
    </cfRule>
  </conditionalFormatting>
  <conditionalFormatting sqref="A22:D22 A14:D14 A16:D16 A24:C24 A18:D18">
    <cfRule type="expression" dxfId="47" priority="6">
      <formula>ISNUMBER(SEARCH(TEXT(#REF!,"ddd"),#REF!))</formula>
    </cfRule>
  </conditionalFormatting>
  <conditionalFormatting sqref="K22:K24">
    <cfRule type="expression" dxfId="46" priority="7">
      <formula>ISNUMBER(SEARCH(TEXT(#REF!,"ddd"),#REF!))</formula>
    </cfRule>
  </conditionalFormatting>
  <conditionalFormatting sqref="D20">
    <cfRule type="expression" dxfId="45" priority="4">
      <formula>ISNUMBER(SEARCH(TEXT(#REF!,"ddd"),#REF!))</formula>
    </cfRule>
  </conditionalFormatting>
  <conditionalFormatting sqref="A20:C20">
    <cfRule type="expression" dxfId="44" priority="3">
      <formula>ISNUMBER(SEARCH(TEXT(#REF!,"ddd"),#REF!))</formula>
    </cfRule>
  </conditionalFormatting>
  <dataValidations count="2">
    <dataValidation type="custom" allowBlank="1" showInputMessage="1" showErrorMessage="1" sqref="B16:C16 B18:C18 B20:C20 B24:C24 B22:C22 B14" xr:uid="{78006E26-E6BA-4773-B6DA-45F6F745DA3A}">
      <formula1>AND($B14&lt;=1,ISNUMBER($B14))</formula1>
    </dataValidation>
    <dataValidation type="custom" allowBlank="1" showInputMessage="1" showErrorMessage="1" sqref="C14" xr:uid="{2F5B4D29-D461-436F-A12F-E4D7D9F2B91C}">
      <formula1>AND($C14&lt;=1,ISNUMBER($C14),($C14&gt;=$B14))</formula1>
    </dataValidation>
  </dataValidations>
  <pageMargins left="0.23622047244094491" right="0.23622047244094491" top="0.74803149606299213" bottom="0.74803149606299213" header="0.31496062992125984" footer="0.31496062992125984"/>
  <pageSetup paperSize="9" scale="80" fitToHeight="0"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58751-CA73-4ACB-BBDD-58F8B60AE710}">
  <sheetPr codeName="Sheet18"/>
  <dimension ref="A1:P212"/>
  <sheetViews>
    <sheetView showGridLines="0" zoomScaleNormal="100" workbookViewId="0">
      <selection activeCell="C7" sqref="C7"/>
    </sheetView>
  </sheetViews>
  <sheetFormatPr baseColWidth="10" defaultColWidth="9" defaultRowHeight="12.75" x14ac:dyDescent="0.2"/>
  <cols>
    <col min="1" max="1" width="14.875" customWidth="1"/>
    <col min="2" max="2" width="8.875" customWidth="1"/>
    <col min="3" max="3" width="11.125" customWidth="1"/>
    <col min="4" max="4" width="9.37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2" ht="27" thickTop="1" x14ac:dyDescent="0.4">
      <c r="A1" s="419" t="s">
        <v>49</v>
      </c>
      <c r="B1" s="419"/>
      <c r="C1" s="419"/>
      <c r="D1" s="419"/>
      <c r="E1" s="45">
        <f>WEEKNUM(A14)</f>
        <v>12</v>
      </c>
      <c r="F1" s="46"/>
      <c r="G1" s="47"/>
      <c r="H1" s="26"/>
      <c r="J1" s="1"/>
    </row>
    <row r="2" spans="1:12" s="1" customFormat="1" ht="14.25" customHeight="1" x14ac:dyDescent="0.25">
      <c r="A2" s="38" t="s">
        <v>1</v>
      </c>
      <c r="B2" s="38"/>
      <c r="C2" s="38" t="s">
        <v>2</v>
      </c>
      <c r="D2" s="38"/>
      <c r="E2" s="250" t="s">
        <v>3</v>
      </c>
      <c r="F2" s="44" t="s">
        <v>4</v>
      </c>
      <c r="G2" s="44" t="s">
        <v>29</v>
      </c>
      <c r="H2" s="20"/>
      <c r="I2" s="13"/>
      <c r="J2" s="6"/>
      <c r="K2" s="1" t="s">
        <v>69</v>
      </c>
    </row>
    <row r="3" spans="1:12" ht="16.5" thickBot="1" x14ac:dyDescent="0.25">
      <c r="A3" s="274">
        <f>A10</f>
        <v>43908</v>
      </c>
      <c r="B3" s="382"/>
      <c r="C3" s="274">
        <f>A38</f>
        <v>43912</v>
      </c>
      <c r="D3" s="382"/>
      <c r="E3" s="249" t="s">
        <v>6</v>
      </c>
      <c r="F3" s="261">
        <f>Sumcolor(E3,D10:D40)</f>
        <v>3.4722222222222321E-2</v>
      </c>
      <c r="G3" s="259">
        <f>SUM(Først:Sist!F3)</f>
        <v>0.93402777777777768</v>
      </c>
      <c r="H3" s="22"/>
      <c r="I3" s="7"/>
      <c r="J3" s="7"/>
      <c r="K3" t="s">
        <v>70</v>
      </c>
    </row>
    <row r="4" spans="1:12" ht="15" customHeight="1" x14ac:dyDescent="0.2">
      <c r="A4" s="420" t="s">
        <v>96</v>
      </c>
      <c r="B4" s="383"/>
      <c r="C4" s="420" t="s">
        <v>51</v>
      </c>
      <c r="D4" s="384"/>
      <c r="E4" s="246" t="s">
        <v>9</v>
      </c>
      <c r="F4" s="261">
        <f>Sumcolor(E4,D10:D40)</f>
        <v>0.32291666666666663</v>
      </c>
      <c r="G4" s="259">
        <f>SUM(Først:Sist!F4)</f>
        <v>6.5486111111111125</v>
      </c>
      <c r="H4" s="22"/>
      <c r="I4" s="7"/>
      <c r="J4" s="399"/>
    </row>
    <row r="5" spans="1:12" ht="15.75" x14ac:dyDescent="0.2">
      <c r="A5" s="447"/>
      <c r="B5" s="384"/>
      <c r="C5" s="421"/>
      <c r="D5" s="384"/>
      <c r="E5" s="247" t="s">
        <v>10</v>
      </c>
      <c r="F5" s="261">
        <f>Sumcolor(E5,D10:D40)</f>
        <v>3.472222222222221E-2</v>
      </c>
      <c r="G5" s="259">
        <f>SUM(Først:Sist!F5)</f>
        <v>1.3368055555555545</v>
      </c>
      <c r="H5" s="22"/>
      <c r="I5" s="7"/>
      <c r="J5" s="399"/>
      <c r="K5" t="s">
        <v>71</v>
      </c>
    </row>
    <row r="6" spans="1:12" ht="18.75" customHeight="1" thickBot="1" x14ac:dyDescent="0.25">
      <c r="A6" s="328">
        <f>SUM(D10:D43)</f>
        <v>0.42361111111111105</v>
      </c>
      <c r="B6" s="40"/>
      <c r="C6" s="240">
        <f>SUM('Først:Uke12'!A6)</f>
        <v>5.8680555555555545</v>
      </c>
      <c r="D6" s="42"/>
      <c r="E6" s="248" t="s">
        <v>11</v>
      </c>
      <c r="F6" s="260">
        <f>Sumcolor(E6,D10:D40)</f>
        <v>3.1249999999999889E-2</v>
      </c>
      <c r="G6" s="260">
        <f>SUM(Først:Sist!F6)</f>
        <v>2.4791666666666661</v>
      </c>
      <c r="H6" s="22"/>
      <c r="I6" s="7"/>
      <c r="J6" s="7"/>
      <c r="K6" t="s">
        <v>72</v>
      </c>
    </row>
    <row r="7" spans="1:12" ht="12.75" customHeight="1" x14ac:dyDescent="0.2">
      <c r="A7" s="19"/>
      <c r="B7" s="23"/>
      <c r="C7" s="24"/>
      <c r="D7" s="14"/>
      <c r="E7" s="23"/>
      <c r="F7" s="23"/>
      <c r="G7" s="25"/>
      <c r="H7" s="25"/>
    </row>
    <row r="8" spans="1:12" x14ac:dyDescent="0.2">
      <c r="A8" s="23"/>
      <c r="B8" s="25"/>
      <c r="C8" s="14"/>
      <c r="D8" s="25"/>
      <c r="E8" s="23"/>
      <c r="F8" s="23"/>
      <c r="G8" s="25"/>
      <c r="H8" s="25"/>
      <c r="K8" t="s">
        <v>73</v>
      </c>
    </row>
    <row r="9" spans="1:12" ht="16.5" thickBot="1" x14ac:dyDescent="0.3">
      <c r="A9" s="30" t="s">
        <v>15</v>
      </c>
      <c r="B9" s="30" t="s">
        <v>18</v>
      </c>
      <c r="C9" s="30" t="s">
        <v>19</v>
      </c>
      <c r="D9" s="30" t="s">
        <v>20</v>
      </c>
      <c r="E9" s="30" t="s">
        <v>21</v>
      </c>
      <c r="G9" s="30" t="s">
        <v>42</v>
      </c>
      <c r="H9" s="25"/>
      <c r="K9" t="s">
        <v>74</v>
      </c>
    </row>
    <row r="10" spans="1:12" ht="15.6" customHeight="1" x14ac:dyDescent="0.25">
      <c r="A10" s="322">
        <v>43908</v>
      </c>
      <c r="B10" s="323">
        <v>0.49305555555555558</v>
      </c>
      <c r="C10" s="323">
        <v>0.50694444444444442</v>
      </c>
      <c r="D10" s="324">
        <f>(C10-B10)</f>
        <v>1.388888888888884E-2</v>
      </c>
      <c r="E10" s="507" t="s">
        <v>155</v>
      </c>
      <c r="F10" s="508"/>
      <c r="G10" s="492"/>
      <c r="H10" s="25"/>
    </row>
    <row r="11" spans="1:12" ht="18" customHeight="1" thickBot="1" x14ac:dyDescent="0.3">
      <c r="A11" s="325"/>
      <c r="B11" s="326"/>
      <c r="C11" s="326"/>
      <c r="D11" s="327"/>
      <c r="E11" s="509"/>
      <c r="F11" s="510"/>
      <c r="G11" s="493"/>
      <c r="H11" s="25"/>
      <c r="K11" t="s">
        <v>76</v>
      </c>
    </row>
    <row r="12" spans="1:12" ht="17.25" customHeight="1" x14ac:dyDescent="0.25">
      <c r="A12" s="311">
        <v>43910</v>
      </c>
      <c r="B12" s="312">
        <v>0.84722222222222221</v>
      </c>
      <c r="C12" s="312">
        <v>0.85416666666666663</v>
      </c>
      <c r="D12" s="313">
        <f>(C12-B12)</f>
        <v>6.9444444444444198E-3</v>
      </c>
      <c r="E12" s="503" t="s">
        <v>156</v>
      </c>
      <c r="F12" s="504"/>
      <c r="G12" s="492"/>
      <c r="K12" t="s">
        <v>78</v>
      </c>
    </row>
    <row r="13" spans="1:12" ht="15.6" customHeight="1" thickBot="1" x14ac:dyDescent="0.3">
      <c r="A13" s="314"/>
      <c r="B13" s="315"/>
      <c r="C13" s="315"/>
      <c r="D13" s="315"/>
      <c r="E13" s="505"/>
      <c r="F13" s="506"/>
      <c r="G13" s="493"/>
    </row>
    <row r="14" spans="1:12" ht="15.75" customHeight="1" x14ac:dyDescent="0.2">
      <c r="A14" s="276">
        <v>43910</v>
      </c>
      <c r="B14" s="277">
        <v>0.85416666666666663</v>
      </c>
      <c r="C14" s="277">
        <v>0.88194444444444453</v>
      </c>
      <c r="D14" s="277">
        <f t="shared" ref="D14" si="0">(C14-B14)</f>
        <v>2.7777777777777901E-2</v>
      </c>
      <c r="E14" s="452" t="s">
        <v>157</v>
      </c>
      <c r="F14" s="462"/>
      <c r="G14" s="492" t="s">
        <v>158</v>
      </c>
    </row>
    <row r="15" spans="1:12" ht="16.5" customHeight="1" thickBot="1" x14ac:dyDescent="0.3">
      <c r="A15" s="278"/>
      <c r="B15" s="279"/>
      <c r="C15" s="279"/>
      <c r="D15" s="279"/>
      <c r="E15" s="463"/>
      <c r="F15" s="463"/>
      <c r="G15" s="493"/>
    </row>
    <row r="16" spans="1:12" ht="15.6" customHeight="1" x14ac:dyDescent="0.2">
      <c r="A16" s="264">
        <v>43911</v>
      </c>
      <c r="B16" s="241">
        <v>0.54166666666666663</v>
      </c>
      <c r="C16" s="241">
        <v>0.5625</v>
      </c>
      <c r="D16" s="242">
        <f>(C16-B16)</f>
        <v>2.083333333333337E-2</v>
      </c>
      <c r="E16" s="511" t="s">
        <v>131</v>
      </c>
      <c r="F16" s="445"/>
      <c r="G16" s="492"/>
      <c r="K16" s="329"/>
      <c r="L16" s="329"/>
    </row>
    <row r="17" spans="1:12" ht="16.149999999999999" customHeight="1" thickBot="1" x14ac:dyDescent="0.25">
      <c r="A17" s="265"/>
      <c r="B17" s="243"/>
      <c r="C17" s="243"/>
      <c r="D17" s="243"/>
      <c r="E17" s="446"/>
      <c r="F17" s="446"/>
      <c r="G17" s="493"/>
    </row>
    <row r="18" spans="1:12" ht="15.75" x14ac:dyDescent="0.2">
      <c r="A18" s="296">
        <v>43911</v>
      </c>
      <c r="B18" s="297">
        <v>0.5625</v>
      </c>
      <c r="C18" s="297">
        <v>0.59375</v>
      </c>
      <c r="D18" s="298">
        <f>(C18-B18)</f>
        <v>3.125E-2</v>
      </c>
      <c r="E18" s="486" t="s">
        <v>159</v>
      </c>
      <c r="F18" s="487"/>
      <c r="G18" s="492"/>
    </row>
    <row r="19" spans="1:12" ht="15.75" customHeight="1" thickBot="1" x14ac:dyDescent="0.25">
      <c r="A19" s="299"/>
      <c r="B19" s="300"/>
      <c r="C19" s="300"/>
      <c r="D19" s="300"/>
      <c r="E19" s="488"/>
      <c r="F19" s="489"/>
      <c r="G19" s="493"/>
      <c r="I19" s="8"/>
    </row>
    <row r="20" spans="1:12" ht="15.75" customHeight="1" x14ac:dyDescent="0.25">
      <c r="A20" s="280">
        <v>43911</v>
      </c>
      <c r="B20" s="281">
        <v>0.6875</v>
      </c>
      <c r="C20" s="281">
        <v>0.71875</v>
      </c>
      <c r="D20" s="277">
        <f>(C20-B20)</f>
        <v>3.125E-2</v>
      </c>
      <c r="E20" s="452" t="s">
        <v>160</v>
      </c>
      <c r="F20" s="464"/>
      <c r="G20" s="492" t="s">
        <v>158</v>
      </c>
      <c r="H20" s="8"/>
      <c r="I20" s="8"/>
      <c r="L20" s="21"/>
    </row>
    <row r="21" spans="1:12" ht="33" customHeight="1" thickBot="1" x14ac:dyDescent="0.3">
      <c r="A21" s="278"/>
      <c r="B21" s="279"/>
      <c r="C21" s="279"/>
      <c r="D21" s="279"/>
      <c r="E21" s="463"/>
      <c r="F21" s="465"/>
      <c r="G21" s="493"/>
      <c r="I21" s="8"/>
    </row>
    <row r="22" spans="1:12" ht="15.6" customHeight="1" x14ac:dyDescent="0.2">
      <c r="A22" s="276">
        <v>43911</v>
      </c>
      <c r="B22" s="277">
        <v>0.71875</v>
      </c>
      <c r="C22" s="277">
        <v>0.73611111111111116</v>
      </c>
      <c r="D22" s="277">
        <f>(C22-B22)</f>
        <v>1.736111111111116E-2</v>
      </c>
      <c r="E22" s="462" t="s">
        <v>161</v>
      </c>
      <c r="F22" s="464"/>
      <c r="G22" s="492" t="s">
        <v>142</v>
      </c>
      <c r="I22" s="9"/>
      <c r="K22" s="8"/>
    </row>
    <row r="23" spans="1:12" ht="33.75" customHeight="1" thickBot="1" x14ac:dyDescent="0.3">
      <c r="A23" s="278"/>
      <c r="B23" s="279"/>
      <c r="C23" s="279"/>
      <c r="D23" s="279"/>
      <c r="E23" s="463"/>
      <c r="F23" s="465"/>
      <c r="G23" s="493"/>
      <c r="I23" s="10"/>
      <c r="K23" s="8"/>
    </row>
    <row r="24" spans="1:12" ht="15.75" x14ac:dyDescent="0.2">
      <c r="A24" s="282">
        <v>43911</v>
      </c>
      <c r="B24" s="283">
        <v>0.74305555555555547</v>
      </c>
      <c r="C24" s="283">
        <v>0.77777777777777779</v>
      </c>
      <c r="D24" s="283">
        <f>(C24-B24)</f>
        <v>3.4722222222222321E-2</v>
      </c>
      <c r="E24" s="466" t="s">
        <v>162</v>
      </c>
      <c r="F24" s="467"/>
      <c r="G24" s="492"/>
      <c r="H24" s="8"/>
      <c r="K24" s="8"/>
    </row>
    <row r="25" spans="1:12" ht="33" customHeight="1" thickBot="1" x14ac:dyDescent="0.25">
      <c r="A25" s="284"/>
      <c r="B25" s="285"/>
      <c r="C25" s="285"/>
      <c r="D25" s="285"/>
      <c r="E25" s="468"/>
      <c r="F25" s="469"/>
      <c r="G25" s="493"/>
      <c r="H25" s="9"/>
      <c r="K25" s="9"/>
    </row>
    <row r="26" spans="1:12" ht="15.75" x14ac:dyDescent="0.2">
      <c r="A26" s="276">
        <v>43911</v>
      </c>
      <c r="B26" s="286">
        <v>0.77777777777777779</v>
      </c>
      <c r="C26" s="286">
        <v>0.79513888888888884</v>
      </c>
      <c r="D26" s="277">
        <f>(C26-B26)</f>
        <v>1.7361111111111049E-2</v>
      </c>
      <c r="E26" s="462" t="s">
        <v>163</v>
      </c>
      <c r="F26" s="464"/>
      <c r="G26" s="492" t="s">
        <v>158</v>
      </c>
      <c r="H26" s="10"/>
      <c r="K26" s="11"/>
    </row>
    <row r="27" spans="1:12" ht="31.5" customHeight="1" thickBot="1" x14ac:dyDescent="0.3">
      <c r="A27" s="278"/>
      <c r="B27" s="279"/>
      <c r="C27" s="279"/>
      <c r="D27" s="279"/>
      <c r="E27" s="463"/>
      <c r="F27" s="465"/>
      <c r="G27" s="493"/>
      <c r="H27" s="29"/>
      <c r="K27" s="7"/>
    </row>
    <row r="28" spans="1:12" ht="15.6" customHeight="1" x14ac:dyDescent="0.2">
      <c r="A28" s="276">
        <v>43911</v>
      </c>
      <c r="B28" s="286">
        <v>0.80208333333333337</v>
      </c>
      <c r="C28" s="286">
        <v>0.82638888888888884</v>
      </c>
      <c r="D28" s="277">
        <f>(C28-B28)</f>
        <v>2.4305555555555469E-2</v>
      </c>
      <c r="E28" s="462" t="s">
        <v>164</v>
      </c>
      <c r="F28" s="464"/>
      <c r="G28" s="492" t="s">
        <v>142</v>
      </c>
      <c r="H28" s="29"/>
    </row>
    <row r="29" spans="1:12" ht="34.5" customHeight="1" thickBot="1" x14ac:dyDescent="0.3">
      <c r="A29" s="289"/>
      <c r="B29" s="290"/>
      <c r="C29" s="290"/>
      <c r="D29" s="290"/>
      <c r="E29" s="463"/>
      <c r="F29" s="465"/>
      <c r="G29" s="493"/>
      <c r="H29" s="29"/>
    </row>
    <row r="30" spans="1:12" ht="15.75" x14ac:dyDescent="0.2">
      <c r="A30" s="272">
        <v>43912</v>
      </c>
      <c r="B30" s="256">
        <v>0.53125</v>
      </c>
      <c r="C30" s="256">
        <v>0.54513888888888895</v>
      </c>
      <c r="D30" s="257">
        <f>(C30-B30)</f>
        <v>1.3888888888888951E-2</v>
      </c>
      <c r="E30" s="470" t="s">
        <v>165</v>
      </c>
      <c r="F30" s="471"/>
      <c r="G30" s="492"/>
      <c r="H30" s="29"/>
    </row>
    <row r="31" spans="1:12" ht="16.5" thickBot="1" x14ac:dyDescent="0.3">
      <c r="A31" s="318"/>
      <c r="B31" s="319"/>
      <c r="C31" s="319"/>
      <c r="D31" s="319"/>
      <c r="E31" s="472"/>
      <c r="F31" s="473"/>
      <c r="G31" s="493"/>
      <c r="H31" s="29"/>
    </row>
    <row r="32" spans="1:12" ht="12.75" customHeight="1" x14ac:dyDescent="0.2">
      <c r="A32" s="276">
        <v>43912</v>
      </c>
      <c r="B32" s="286">
        <v>0.54513888888888895</v>
      </c>
      <c r="C32" s="286">
        <v>0.5625</v>
      </c>
      <c r="D32" s="277">
        <f>(C32-B32)</f>
        <v>1.7361111111111049E-2</v>
      </c>
      <c r="E32" s="462" t="s">
        <v>166</v>
      </c>
      <c r="F32" s="464"/>
      <c r="G32" s="492" t="s">
        <v>158</v>
      </c>
      <c r="H32" s="29"/>
    </row>
    <row r="33" spans="1:8" ht="19.899999999999999" customHeight="1" thickBot="1" x14ac:dyDescent="0.3">
      <c r="A33" s="287"/>
      <c r="B33" s="288"/>
      <c r="C33" s="288"/>
      <c r="D33" s="288"/>
      <c r="E33" s="463"/>
      <c r="F33" s="465"/>
      <c r="G33" s="493"/>
      <c r="H33" s="29"/>
    </row>
    <row r="34" spans="1:8" ht="15.75" x14ac:dyDescent="0.2">
      <c r="A34" s="276">
        <v>43912</v>
      </c>
      <c r="B34" s="286">
        <v>0.66666666666666663</v>
      </c>
      <c r="C34" s="286">
        <v>0.71527777777777779</v>
      </c>
      <c r="D34" s="277">
        <f>(C34-B34)</f>
        <v>4.861111111111116E-2</v>
      </c>
      <c r="E34" s="452" t="s">
        <v>167</v>
      </c>
      <c r="F34" s="453"/>
      <c r="G34" s="492" t="s">
        <v>158</v>
      </c>
      <c r="H34" s="29"/>
    </row>
    <row r="35" spans="1:8" ht="30.75" customHeight="1" thickBot="1" x14ac:dyDescent="0.3">
      <c r="A35" s="287"/>
      <c r="B35" s="288"/>
      <c r="C35" s="288"/>
      <c r="D35" s="288"/>
      <c r="E35" s="454"/>
      <c r="F35" s="455"/>
      <c r="G35" s="493"/>
      <c r="H35" s="29"/>
    </row>
    <row r="36" spans="1:8" ht="15.75" x14ac:dyDescent="0.2">
      <c r="A36" s="276">
        <v>43912</v>
      </c>
      <c r="B36" s="286">
        <v>0.71527777777777779</v>
      </c>
      <c r="C36" s="286">
        <v>0.81597222222222221</v>
      </c>
      <c r="D36" s="277">
        <f>(C36-B36)</f>
        <v>0.10069444444444442</v>
      </c>
      <c r="E36" s="452" t="s">
        <v>168</v>
      </c>
      <c r="F36" s="453"/>
      <c r="G36" s="492" t="s">
        <v>158</v>
      </c>
      <c r="H36" s="29"/>
    </row>
    <row r="37" spans="1:8" ht="33.75" customHeight="1" thickBot="1" x14ac:dyDescent="0.3">
      <c r="A37" s="287"/>
      <c r="B37" s="288"/>
      <c r="C37" s="288"/>
      <c r="D37" s="288"/>
      <c r="E37" s="454"/>
      <c r="F37" s="455"/>
      <c r="G37" s="493"/>
      <c r="H37" s="29"/>
    </row>
    <row r="38" spans="1:8" ht="15" customHeight="1" x14ac:dyDescent="0.2">
      <c r="A38" s="272">
        <v>43912</v>
      </c>
      <c r="B38" s="256">
        <v>0.81944444444444453</v>
      </c>
      <c r="C38" s="256">
        <v>0.83680555555555547</v>
      </c>
      <c r="D38" s="257">
        <f>(C38-B38)</f>
        <v>1.7361111111110938E-2</v>
      </c>
      <c r="E38" s="470" t="s">
        <v>165</v>
      </c>
      <c r="F38" s="471"/>
      <c r="G38" s="492"/>
    </row>
    <row r="39" spans="1:8" ht="16.5" thickBot="1" x14ac:dyDescent="0.3">
      <c r="A39" s="273"/>
      <c r="B39" s="258"/>
      <c r="C39" s="258"/>
      <c r="D39" s="258"/>
      <c r="E39" s="472"/>
      <c r="F39" s="473"/>
      <c r="G39" s="493"/>
    </row>
    <row r="51" spans="1:7" ht="24" thickBot="1" x14ac:dyDescent="0.4">
      <c r="A51" s="28" t="s">
        <v>26</v>
      </c>
      <c r="B51" s="28"/>
      <c r="C51" s="27"/>
      <c r="D51" s="27"/>
      <c r="E51" s="27"/>
      <c r="F51" s="98"/>
      <c r="G51" s="98"/>
    </row>
    <row r="52" spans="1:7" ht="16.5" thickBot="1" x14ac:dyDescent="0.25">
      <c r="A52" s="234"/>
      <c r="B52" s="234"/>
      <c r="C52" s="234"/>
      <c r="D52" s="234"/>
      <c r="E52" s="234"/>
      <c r="F52" s="234"/>
      <c r="G52" s="234"/>
    </row>
    <row r="53" spans="1:7" x14ac:dyDescent="0.2">
      <c r="A53" s="494" t="s">
        <v>169</v>
      </c>
      <c r="B53" s="495"/>
      <c r="C53" s="495"/>
      <c r="D53" s="495"/>
      <c r="E53" s="495"/>
      <c r="F53" s="495"/>
      <c r="G53" s="496"/>
    </row>
    <row r="54" spans="1:7" ht="15.75" customHeight="1" x14ac:dyDescent="0.2">
      <c r="A54" s="497"/>
      <c r="B54" s="498"/>
      <c r="C54" s="498"/>
      <c r="D54" s="498"/>
      <c r="E54" s="498"/>
      <c r="F54" s="498"/>
      <c r="G54" s="499"/>
    </row>
    <row r="55" spans="1:7" x14ac:dyDescent="0.2">
      <c r="A55" s="497"/>
      <c r="B55" s="498"/>
      <c r="C55" s="498"/>
      <c r="D55" s="498"/>
      <c r="E55" s="498"/>
      <c r="F55" s="498"/>
      <c r="G55" s="499"/>
    </row>
    <row r="56" spans="1:7" x14ac:dyDescent="0.2">
      <c r="A56" s="497"/>
      <c r="B56" s="498"/>
      <c r="C56" s="498"/>
      <c r="D56" s="498"/>
      <c r="E56" s="498"/>
      <c r="F56" s="498"/>
      <c r="G56" s="499"/>
    </row>
    <row r="57" spans="1:7" x14ac:dyDescent="0.2">
      <c r="A57" s="497"/>
      <c r="B57" s="498"/>
      <c r="C57" s="498"/>
      <c r="D57" s="498"/>
      <c r="E57" s="498"/>
      <c r="F57" s="498"/>
      <c r="G57" s="499"/>
    </row>
    <row r="58" spans="1:7" x14ac:dyDescent="0.2">
      <c r="A58" s="497"/>
      <c r="B58" s="498"/>
      <c r="C58" s="498"/>
      <c r="D58" s="498"/>
      <c r="E58" s="498"/>
      <c r="F58" s="498"/>
      <c r="G58" s="499"/>
    </row>
    <row r="59" spans="1:7" x14ac:dyDescent="0.2">
      <c r="A59" s="497"/>
      <c r="B59" s="498"/>
      <c r="C59" s="498"/>
      <c r="D59" s="498"/>
      <c r="E59" s="498"/>
      <c r="F59" s="498"/>
      <c r="G59" s="499"/>
    </row>
    <row r="60" spans="1:7" x14ac:dyDescent="0.2">
      <c r="A60" s="497"/>
      <c r="B60" s="498"/>
      <c r="C60" s="498"/>
      <c r="D60" s="498"/>
      <c r="E60" s="498"/>
      <c r="F60" s="498"/>
      <c r="G60" s="499"/>
    </row>
    <row r="61" spans="1:7" ht="12.6" customHeight="1" x14ac:dyDescent="0.2">
      <c r="A61" s="497"/>
      <c r="B61" s="498"/>
      <c r="C61" s="498"/>
      <c r="D61" s="498"/>
      <c r="E61" s="498"/>
      <c r="F61" s="498"/>
      <c r="G61" s="499"/>
    </row>
    <row r="62" spans="1:7" x14ac:dyDescent="0.2">
      <c r="A62" s="497"/>
      <c r="B62" s="498"/>
      <c r="C62" s="498"/>
      <c r="D62" s="498"/>
      <c r="E62" s="498"/>
      <c r="F62" s="498"/>
      <c r="G62" s="499"/>
    </row>
    <row r="63" spans="1:7" x14ac:dyDescent="0.2">
      <c r="A63" s="497"/>
      <c r="B63" s="498"/>
      <c r="C63" s="498"/>
      <c r="D63" s="498"/>
      <c r="E63" s="498"/>
      <c r="F63" s="498"/>
      <c r="G63" s="499"/>
    </row>
    <row r="64" spans="1:7" x14ac:dyDescent="0.2">
      <c r="A64" s="497"/>
      <c r="B64" s="498"/>
      <c r="C64" s="498"/>
      <c r="D64" s="498"/>
      <c r="E64" s="498"/>
      <c r="F64" s="498"/>
      <c r="G64" s="499"/>
    </row>
    <row r="65" spans="1:16" x14ac:dyDescent="0.2">
      <c r="A65" s="497"/>
      <c r="B65" s="498"/>
      <c r="C65" s="498"/>
      <c r="D65" s="498"/>
      <c r="E65" s="498"/>
      <c r="F65" s="498"/>
      <c r="G65" s="499"/>
    </row>
    <row r="66" spans="1:16" x14ac:dyDescent="0.2">
      <c r="A66" s="497"/>
      <c r="B66" s="498"/>
      <c r="C66" s="498"/>
      <c r="D66" s="498"/>
      <c r="E66" s="498"/>
      <c r="F66" s="498"/>
      <c r="G66" s="499"/>
      <c r="P66" s="275"/>
    </row>
    <row r="67" spans="1:16" x14ac:dyDescent="0.2">
      <c r="A67" s="497"/>
      <c r="B67" s="498"/>
      <c r="C67" s="498"/>
      <c r="D67" s="498"/>
      <c r="E67" s="498"/>
      <c r="F67" s="498"/>
      <c r="G67" s="499"/>
      <c r="P67" s="275"/>
    </row>
    <row r="68" spans="1:16" x14ac:dyDescent="0.2">
      <c r="A68" s="497"/>
      <c r="B68" s="498"/>
      <c r="C68" s="498"/>
      <c r="D68" s="498"/>
      <c r="E68" s="498"/>
      <c r="F68" s="498"/>
      <c r="G68" s="499"/>
      <c r="P68" s="275"/>
    </row>
    <row r="69" spans="1:16" x14ac:dyDescent="0.2">
      <c r="A69" s="497"/>
      <c r="B69" s="498"/>
      <c r="C69" s="498"/>
      <c r="D69" s="498"/>
      <c r="E69" s="498"/>
      <c r="F69" s="498"/>
      <c r="G69" s="499"/>
      <c r="P69" s="275"/>
    </row>
    <row r="70" spans="1:16" ht="12.6" customHeight="1" x14ac:dyDescent="0.2">
      <c r="A70" s="497"/>
      <c r="B70" s="498"/>
      <c r="C70" s="498"/>
      <c r="D70" s="498"/>
      <c r="E70" s="498"/>
      <c r="F70" s="498"/>
      <c r="G70" s="499"/>
      <c r="P70" s="275"/>
    </row>
    <row r="71" spans="1:16" ht="12.6" customHeight="1" x14ac:dyDescent="0.2">
      <c r="A71" s="497"/>
      <c r="B71" s="498"/>
      <c r="C71" s="498"/>
      <c r="D71" s="498"/>
      <c r="E71" s="498"/>
      <c r="F71" s="498"/>
      <c r="G71" s="499"/>
    </row>
    <row r="72" spans="1:16" ht="12.6" customHeight="1" x14ac:dyDescent="0.2">
      <c r="A72" s="497"/>
      <c r="B72" s="498"/>
      <c r="C72" s="498"/>
      <c r="D72" s="498"/>
      <c r="E72" s="498"/>
      <c r="F72" s="498"/>
      <c r="G72" s="499"/>
    </row>
    <row r="73" spans="1:16" ht="12.6" customHeight="1" x14ac:dyDescent="0.2">
      <c r="A73" s="497"/>
      <c r="B73" s="498"/>
      <c r="C73" s="498"/>
      <c r="D73" s="498"/>
      <c r="E73" s="498"/>
      <c r="F73" s="498"/>
      <c r="G73" s="499"/>
    </row>
    <row r="74" spans="1:16" ht="12.6" customHeight="1" x14ac:dyDescent="0.2">
      <c r="A74" s="497"/>
      <c r="B74" s="498"/>
      <c r="C74" s="498"/>
      <c r="D74" s="498"/>
      <c r="E74" s="498"/>
      <c r="F74" s="498"/>
      <c r="G74" s="499"/>
    </row>
    <row r="75" spans="1:16" ht="12.6" customHeight="1" x14ac:dyDescent="0.2">
      <c r="A75" s="497"/>
      <c r="B75" s="498"/>
      <c r="C75" s="498"/>
      <c r="D75" s="498"/>
      <c r="E75" s="498"/>
      <c r="F75" s="498"/>
      <c r="G75" s="499"/>
    </row>
    <row r="76" spans="1:16" ht="12.6" customHeight="1" x14ac:dyDescent="0.2">
      <c r="A76" s="497"/>
      <c r="B76" s="498"/>
      <c r="C76" s="498"/>
      <c r="D76" s="498"/>
      <c r="E76" s="498"/>
      <c r="F76" s="498"/>
      <c r="G76" s="499"/>
    </row>
    <row r="77" spans="1:16" ht="12.6" customHeight="1" x14ac:dyDescent="0.2">
      <c r="A77" s="497"/>
      <c r="B77" s="498"/>
      <c r="C77" s="498"/>
      <c r="D77" s="498"/>
      <c r="E77" s="498"/>
      <c r="F77" s="498"/>
      <c r="G77" s="499"/>
    </row>
    <row r="78" spans="1:16" ht="12.6" customHeight="1" x14ac:dyDescent="0.2">
      <c r="A78" s="497"/>
      <c r="B78" s="498"/>
      <c r="C78" s="498"/>
      <c r="D78" s="498"/>
      <c r="E78" s="498"/>
      <c r="F78" s="498"/>
      <c r="G78" s="499"/>
    </row>
    <row r="79" spans="1:16" ht="12.6" customHeight="1" x14ac:dyDescent="0.2">
      <c r="A79" s="497"/>
      <c r="B79" s="498"/>
      <c r="C79" s="498"/>
      <c r="D79" s="498"/>
      <c r="E79" s="498"/>
      <c r="F79" s="498"/>
      <c r="G79" s="499"/>
    </row>
    <row r="80" spans="1:16" ht="12.6" customHeight="1" x14ac:dyDescent="0.2">
      <c r="A80" s="497"/>
      <c r="B80" s="498"/>
      <c r="C80" s="498"/>
      <c r="D80" s="498"/>
      <c r="E80" s="498"/>
      <c r="F80" s="498"/>
      <c r="G80" s="499"/>
    </row>
    <row r="81" spans="1:7" ht="13.15" customHeight="1" x14ac:dyDescent="0.2">
      <c r="A81" s="497"/>
      <c r="B81" s="498"/>
      <c r="C81" s="498"/>
      <c r="D81" s="498"/>
      <c r="E81" s="498"/>
      <c r="F81" s="498"/>
      <c r="G81" s="499"/>
    </row>
    <row r="82" spans="1:7" ht="12.75" customHeight="1" x14ac:dyDescent="0.2">
      <c r="A82" s="497"/>
      <c r="B82" s="498"/>
      <c r="C82" s="498"/>
      <c r="D82" s="498"/>
      <c r="E82" s="498"/>
      <c r="F82" s="498"/>
      <c r="G82" s="499"/>
    </row>
    <row r="83" spans="1:7" ht="12.75" customHeight="1" x14ac:dyDescent="0.2">
      <c r="A83" s="497"/>
      <c r="B83" s="498"/>
      <c r="C83" s="498"/>
      <c r="D83" s="498"/>
      <c r="E83" s="498"/>
      <c r="F83" s="498"/>
      <c r="G83" s="499"/>
    </row>
    <row r="84" spans="1:7" ht="12.75" customHeight="1" x14ac:dyDescent="0.2">
      <c r="A84" s="497"/>
      <c r="B84" s="498"/>
      <c r="C84" s="498"/>
      <c r="D84" s="498"/>
      <c r="E84" s="498"/>
      <c r="F84" s="498"/>
      <c r="G84" s="499"/>
    </row>
    <row r="85" spans="1:7" ht="12.75" customHeight="1" x14ac:dyDescent="0.2">
      <c r="A85" s="497"/>
      <c r="B85" s="498"/>
      <c r="C85" s="498"/>
      <c r="D85" s="498"/>
      <c r="E85" s="498"/>
      <c r="F85" s="498"/>
      <c r="G85" s="499"/>
    </row>
    <row r="86" spans="1:7" ht="12.75" customHeight="1" x14ac:dyDescent="0.2">
      <c r="A86" s="497"/>
      <c r="B86" s="498"/>
      <c r="C86" s="498"/>
      <c r="D86" s="498"/>
      <c r="E86" s="498"/>
      <c r="F86" s="498"/>
      <c r="G86" s="499"/>
    </row>
    <row r="87" spans="1:7" ht="12.75" customHeight="1" x14ac:dyDescent="0.2">
      <c r="A87" s="497"/>
      <c r="B87" s="498"/>
      <c r="C87" s="498"/>
      <c r="D87" s="498"/>
      <c r="E87" s="498"/>
      <c r="F87" s="498"/>
      <c r="G87" s="499"/>
    </row>
    <row r="88" spans="1:7" ht="12.75" customHeight="1" x14ac:dyDescent="0.2">
      <c r="A88" s="497"/>
      <c r="B88" s="498"/>
      <c r="C88" s="498"/>
      <c r="D88" s="498"/>
      <c r="E88" s="498"/>
      <c r="F88" s="498"/>
      <c r="G88" s="499"/>
    </row>
    <row r="89" spans="1:7" ht="12.75" customHeight="1" x14ac:dyDescent="0.2">
      <c r="A89" s="497"/>
      <c r="B89" s="498"/>
      <c r="C89" s="498"/>
      <c r="D89" s="498"/>
      <c r="E89" s="498"/>
      <c r="F89" s="498"/>
      <c r="G89" s="499"/>
    </row>
    <row r="90" spans="1:7" ht="12.75" customHeight="1" x14ac:dyDescent="0.2">
      <c r="A90" s="497"/>
      <c r="B90" s="498"/>
      <c r="C90" s="498"/>
      <c r="D90" s="498"/>
      <c r="E90" s="498"/>
      <c r="F90" s="498"/>
      <c r="G90" s="499"/>
    </row>
    <row r="91" spans="1:7" ht="12.75" customHeight="1" x14ac:dyDescent="0.2">
      <c r="A91" s="497"/>
      <c r="B91" s="498"/>
      <c r="C91" s="498"/>
      <c r="D91" s="498"/>
      <c r="E91" s="498"/>
      <c r="F91" s="498"/>
      <c r="G91" s="499"/>
    </row>
    <row r="92" spans="1:7" ht="12.75" customHeight="1" thickBot="1" x14ac:dyDescent="0.25">
      <c r="A92" s="500"/>
      <c r="B92" s="501"/>
      <c r="C92" s="501"/>
      <c r="D92" s="501"/>
      <c r="E92" s="501"/>
      <c r="F92" s="501"/>
      <c r="G92" s="502"/>
    </row>
    <row r="93" spans="1:7" ht="12.75" customHeight="1" x14ac:dyDescent="0.2"/>
    <row r="94" spans="1:7" ht="12.75" customHeight="1" x14ac:dyDescent="0.2"/>
    <row r="95" spans="1:7" ht="12.75" customHeight="1" x14ac:dyDescent="0.2"/>
    <row r="96" spans="1:7" ht="12.75" customHeight="1" x14ac:dyDescent="0.2"/>
    <row r="97" spans="8:8" ht="12.75" customHeight="1" x14ac:dyDescent="0.2"/>
    <row r="98" spans="8:8" ht="12.75" customHeight="1" x14ac:dyDescent="0.2"/>
    <row r="99" spans="8:8" ht="12.75" customHeight="1" x14ac:dyDescent="0.2">
      <c r="H99" s="5"/>
    </row>
    <row r="100" spans="8:8" ht="12.75" customHeight="1" x14ac:dyDescent="0.2">
      <c r="H100" s="5"/>
    </row>
    <row r="101" spans="8:8" ht="12.75" customHeight="1" x14ac:dyDescent="0.2">
      <c r="H101" s="5"/>
    </row>
    <row r="102" spans="8:8" ht="12.75" customHeight="1" x14ac:dyDescent="0.2">
      <c r="H102" s="5"/>
    </row>
    <row r="103" spans="8:8" ht="12.75" customHeight="1" x14ac:dyDescent="0.2">
      <c r="H103" s="5"/>
    </row>
    <row r="104" spans="8:8" ht="12.75" customHeight="1" x14ac:dyDescent="0.2">
      <c r="H104" s="5"/>
    </row>
    <row r="105" spans="8:8" ht="12.75" customHeight="1" x14ac:dyDescent="0.2">
      <c r="H105" s="5"/>
    </row>
    <row r="106" spans="8:8" ht="12.75" customHeight="1" x14ac:dyDescent="0.2">
      <c r="H106" s="5"/>
    </row>
    <row r="107" spans="8:8" ht="12.75" customHeight="1" x14ac:dyDescent="0.2">
      <c r="H107" s="5"/>
    </row>
    <row r="108" spans="8:8" ht="12.75" customHeight="1" x14ac:dyDescent="0.2">
      <c r="H108" s="5"/>
    </row>
    <row r="109" spans="8:8" ht="12.75" customHeight="1" x14ac:dyDescent="0.2">
      <c r="H109" s="5"/>
    </row>
    <row r="110" spans="8:8" ht="12.75" customHeight="1" x14ac:dyDescent="0.2">
      <c r="H110" s="5"/>
    </row>
    <row r="111" spans="8:8" ht="12.75" customHeight="1" x14ac:dyDescent="0.2"/>
    <row r="112" spans="8:8" ht="12.75" customHeight="1" x14ac:dyDescent="0.2"/>
    <row r="113" ht="12.75" customHeight="1" x14ac:dyDescent="0.2"/>
    <row r="114" ht="12.75" customHeight="1" x14ac:dyDescent="0.2"/>
    <row r="115" ht="13.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3.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3.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35">
    <mergeCell ref="E36:F37"/>
    <mergeCell ref="G36:G37"/>
    <mergeCell ref="E38:F39"/>
    <mergeCell ref="G38:G39"/>
    <mergeCell ref="A53:G92"/>
    <mergeCell ref="E30:F31"/>
    <mergeCell ref="G30:G31"/>
    <mergeCell ref="E32:F33"/>
    <mergeCell ref="G32:G33"/>
    <mergeCell ref="E34:F35"/>
    <mergeCell ref="G34:G35"/>
    <mergeCell ref="E24:F25"/>
    <mergeCell ref="G24:G25"/>
    <mergeCell ref="E26:F27"/>
    <mergeCell ref="G26:G27"/>
    <mergeCell ref="E28:F29"/>
    <mergeCell ref="G28:G29"/>
    <mergeCell ref="E18:F19"/>
    <mergeCell ref="G18:G19"/>
    <mergeCell ref="E20:F21"/>
    <mergeCell ref="G20:G21"/>
    <mergeCell ref="E22:F23"/>
    <mergeCell ref="G22:G23"/>
    <mergeCell ref="E12:F13"/>
    <mergeCell ref="G12:G13"/>
    <mergeCell ref="E14:F15"/>
    <mergeCell ref="G14:G15"/>
    <mergeCell ref="E16:F17"/>
    <mergeCell ref="G16:G17"/>
    <mergeCell ref="A1:D1"/>
    <mergeCell ref="A4:A5"/>
    <mergeCell ref="C4:C5"/>
    <mergeCell ref="J4:J5"/>
    <mergeCell ref="E10:F11"/>
    <mergeCell ref="G10:G11"/>
  </mergeCells>
  <conditionalFormatting sqref="I19 H20:I20 I21 H24">
    <cfRule type="expression" dxfId="43" priority="3">
      <formula>ISNUMBER(SEARCH(TEXT(#REF!,"ddd"),#REF!))</formula>
    </cfRule>
  </conditionalFormatting>
  <conditionalFormatting sqref="A22:D22 A14:D14 A16:D16 A24:C24 A18:D18">
    <cfRule type="expression" dxfId="42" priority="4">
      <formula>ISNUMBER(SEARCH(TEXT(#REF!,"ddd"),#REF!))</formula>
    </cfRule>
  </conditionalFormatting>
  <conditionalFormatting sqref="K22:K24">
    <cfRule type="expression" dxfId="41" priority="5">
      <formula>ISNUMBER(SEARCH(TEXT(#REF!,"ddd"),#REF!))</formula>
    </cfRule>
  </conditionalFormatting>
  <conditionalFormatting sqref="D20">
    <cfRule type="expression" dxfId="40" priority="2">
      <formula>ISNUMBER(SEARCH(TEXT(#REF!,"ddd"),#REF!))</formula>
    </cfRule>
  </conditionalFormatting>
  <conditionalFormatting sqref="A20:C20">
    <cfRule type="expression" dxfId="39" priority="1">
      <formula>ISNUMBER(SEARCH(TEXT(#REF!,"ddd"),#REF!))</formula>
    </cfRule>
  </conditionalFormatting>
  <dataValidations count="2">
    <dataValidation type="custom" allowBlank="1" showInputMessage="1" showErrorMessage="1" sqref="C14" xr:uid="{DBED505D-2715-445A-9384-34F046836C2A}">
      <formula1>AND($C14&lt;=1,ISNUMBER($C14),($C14&gt;=$B14))</formula1>
    </dataValidation>
    <dataValidation type="custom" allowBlank="1" showInputMessage="1" showErrorMessage="1" sqref="B16:C16 B18:C18 B20:C20 B24:C24 B22:C22 B14" xr:uid="{1733A1AC-0FAD-4957-85FF-FA286531A7FB}">
      <formula1>AND($B14&lt;=1,ISNUMBER($B14))</formula1>
    </dataValidation>
  </dataValidations>
  <pageMargins left="0.23622047244094491" right="0.23622047244094491" top="0.74803149606299213" bottom="0.74803149606299213" header="0.31496062992125984" footer="0.31496062992125984"/>
  <pageSetup paperSize="9" scale="80" fitToHeight="0"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1306D-8789-4FD2-8E9B-B081EEEB17FF}">
  <sheetPr codeName="Sheet19"/>
  <dimension ref="A1:L212"/>
  <sheetViews>
    <sheetView showGridLines="0" zoomScale="80" zoomScaleNormal="80" workbookViewId="0">
      <selection activeCell="C7" sqref="C7"/>
    </sheetView>
  </sheetViews>
  <sheetFormatPr baseColWidth="10" defaultColWidth="9" defaultRowHeight="12.75" x14ac:dyDescent="0.2"/>
  <cols>
    <col min="1" max="1" width="13.37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2" ht="27" thickTop="1" x14ac:dyDescent="0.4">
      <c r="A1" s="419" t="s">
        <v>49</v>
      </c>
      <c r="B1" s="419"/>
      <c r="C1" s="419"/>
      <c r="D1" s="419"/>
      <c r="E1" s="45">
        <f>WEEKNUM(A14)</f>
        <v>13</v>
      </c>
      <c r="F1" s="46"/>
      <c r="G1" s="47"/>
      <c r="H1" s="26"/>
      <c r="J1" s="1"/>
    </row>
    <row r="2" spans="1:12" s="1" customFormat="1" ht="14.25" customHeight="1" x14ac:dyDescent="0.25">
      <c r="A2" s="38" t="s">
        <v>1</v>
      </c>
      <c r="B2" s="38"/>
      <c r="C2" s="38" t="s">
        <v>2</v>
      </c>
      <c r="D2" s="38"/>
      <c r="E2" s="250" t="s">
        <v>3</v>
      </c>
      <c r="F2" s="44" t="s">
        <v>4</v>
      </c>
      <c r="G2" s="44" t="s">
        <v>29</v>
      </c>
      <c r="H2" s="20"/>
      <c r="I2" s="13"/>
      <c r="J2" s="6"/>
      <c r="K2" s="1" t="s">
        <v>69</v>
      </c>
    </row>
    <row r="3" spans="1:12" ht="16.5" thickBot="1" x14ac:dyDescent="0.25">
      <c r="A3" s="274">
        <f>A10</f>
        <v>43913</v>
      </c>
      <c r="B3" s="382"/>
      <c r="C3" s="274">
        <f>A48</f>
        <v>43919</v>
      </c>
      <c r="D3" s="382"/>
      <c r="E3" s="249" t="s">
        <v>6</v>
      </c>
      <c r="F3" s="261">
        <f>Sumcolor(E3,D10:D49)</f>
        <v>0</v>
      </c>
      <c r="G3" s="259">
        <f>SUM(Først:Sist!F3)</f>
        <v>0.93402777777777768</v>
      </c>
      <c r="H3" s="22"/>
      <c r="I3" s="7"/>
      <c r="J3" s="7"/>
      <c r="K3" t="s">
        <v>70</v>
      </c>
    </row>
    <row r="4" spans="1:12" ht="15" customHeight="1" x14ac:dyDescent="0.2">
      <c r="A4" s="420" t="s">
        <v>96</v>
      </c>
      <c r="B4" s="383"/>
      <c r="C4" s="420" t="s">
        <v>51</v>
      </c>
      <c r="D4" s="384"/>
      <c r="E4" s="246" t="s">
        <v>9</v>
      </c>
      <c r="F4" s="261">
        <f>Sumcolor(E4,D10:D49)</f>
        <v>0.56944444444444464</v>
      </c>
      <c r="G4" s="259">
        <f>SUM(Først:Sist!F4)</f>
        <v>6.5486111111111125</v>
      </c>
      <c r="H4" s="22"/>
      <c r="I4" s="7"/>
      <c r="J4" s="399"/>
    </row>
    <row r="5" spans="1:12" ht="15.75" x14ac:dyDescent="0.2">
      <c r="A5" s="447"/>
      <c r="B5" s="384"/>
      <c r="C5" s="421"/>
      <c r="D5" s="384"/>
      <c r="E5" s="247" t="s">
        <v>10</v>
      </c>
      <c r="F5" s="261">
        <f>Sumcolor(E5,D10:D49)</f>
        <v>4.5138888888888951E-2</v>
      </c>
      <c r="G5" s="259">
        <f>SUM(Først:Sist!F5)</f>
        <v>1.3368055555555545</v>
      </c>
      <c r="H5" s="22"/>
      <c r="I5" s="7"/>
      <c r="J5" s="399"/>
      <c r="K5" t="s">
        <v>71</v>
      </c>
    </row>
    <row r="6" spans="1:12" ht="18.75" customHeight="1" thickBot="1" x14ac:dyDescent="0.25">
      <c r="A6" s="328">
        <f>SUM(D10:D49)</f>
        <v>0.68402777777777801</v>
      </c>
      <c r="B6" s="40"/>
      <c r="C6" s="240">
        <f>SUM('Først:Uke13'!A6)</f>
        <v>6.5520833333333321</v>
      </c>
      <c r="D6" s="42"/>
      <c r="E6" s="248" t="s">
        <v>11</v>
      </c>
      <c r="F6" s="260">
        <f>Sumcolor(E6,D10:D49)</f>
        <v>6.9444444444444475E-2</v>
      </c>
      <c r="G6" s="260">
        <f>SUM(Først:Sist!F6)</f>
        <v>2.4791666666666661</v>
      </c>
      <c r="H6" s="22"/>
      <c r="I6" s="7"/>
      <c r="J6" s="7"/>
      <c r="K6" t="s">
        <v>72</v>
      </c>
    </row>
    <row r="7" spans="1:12" ht="12.75" customHeight="1" x14ac:dyDescent="0.2">
      <c r="A7" s="19"/>
      <c r="B7" s="23"/>
      <c r="C7" s="24"/>
      <c r="D7" s="14"/>
      <c r="E7" s="23"/>
      <c r="F7" s="23"/>
      <c r="G7" s="25"/>
      <c r="H7" s="25"/>
    </row>
    <row r="8" spans="1:12" x14ac:dyDescent="0.2">
      <c r="A8" s="23"/>
      <c r="B8" s="25"/>
      <c r="C8" s="14"/>
      <c r="D8" s="25"/>
      <c r="E8" s="23"/>
      <c r="F8" s="23"/>
      <c r="G8" s="25"/>
      <c r="H8" s="25"/>
      <c r="K8" t="s">
        <v>73</v>
      </c>
    </row>
    <row r="9" spans="1:12" ht="16.5" thickBot="1" x14ac:dyDescent="0.3">
      <c r="A9" s="30" t="s">
        <v>15</v>
      </c>
      <c r="B9" s="30" t="s">
        <v>18</v>
      </c>
      <c r="C9" s="30" t="s">
        <v>19</v>
      </c>
      <c r="D9" s="30" t="s">
        <v>20</v>
      </c>
      <c r="E9" s="30" t="s">
        <v>21</v>
      </c>
      <c r="G9" s="30" t="s">
        <v>42</v>
      </c>
      <c r="H9" s="25"/>
      <c r="K9" t="s">
        <v>74</v>
      </c>
    </row>
    <row r="10" spans="1:12" ht="15.6" customHeight="1" x14ac:dyDescent="0.25">
      <c r="A10" s="322">
        <v>43913</v>
      </c>
      <c r="B10" s="323">
        <v>0.59375</v>
      </c>
      <c r="C10" s="323">
        <v>0.60763888888888895</v>
      </c>
      <c r="D10" s="324">
        <f>(C10-B10)</f>
        <v>1.3888888888888951E-2</v>
      </c>
      <c r="E10" s="507" t="s">
        <v>98</v>
      </c>
      <c r="F10" s="508"/>
      <c r="G10" s="492"/>
      <c r="H10" s="25"/>
    </row>
    <row r="11" spans="1:12" ht="18" customHeight="1" thickBot="1" x14ac:dyDescent="0.3">
      <c r="A11" s="325"/>
      <c r="B11" s="326"/>
      <c r="C11" s="326"/>
      <c r="D11" s="327"/>
      <c r="E11" s="509"/>
      <c r="F11" s="510"/>
      <c r="G11" s="493"/>
      <c r="H11" s="25"/>
      <c r="K11" t="s">
        <v>76</v>
      </c>
    </row>
    <row r="12" spans="1:12" ht="17.25" customHeight="1" x14ac:dyDescent="0.25">
      <c r="A12" s="311">
        <v>43913</v>
      </c>
      <c r="B12" s="312">
        <v>0.61458333333333337</v>
      </c>
      <c r="C12" s="312">
        <v>0.67013888888888884</v>
      </c>
      <c r="D12" s="313">
        <f>(C12-B12)</f>
        <v>5.5555555555555469E-2</v>
      </c>
      <c r="E12" s="503" t="s">
        <v>170</v>
      </c>
      <c r="F12" s="504"/>
      <c r="G12" s="492"/>
      <c r="K12" t="s">
        <v>78</v>
      </c>
    </row>
    <row r="13" spans="1:12" ht="15.6" customHeight="1" thickBot="1" x14ac:dyDescent="0.3">
      <c r="A13" s="314"/>
      <c r="B13" s="315"/>
      <c r="C13" s="315"/>
      <c r="D13" s="315"/>
      <c r="E13" s="505"/>
      <c r="F13" s="506"/>
      <c r="G13" s="493"/>
    </row>
    <row r="14" spans="1:12" ht="15.75" customHeight="1" x14ac:dyDescent="0.2">
      <c r="A14" s="276">
        <v>43913</v>
      </c>
      <c r="B14" s="277">
        <v>0.71180555555555547</v>
      </c>
      <c r="C14" s="277">
        <v>0.74652777777777779</v>
      </c>
      <c r="D14" s="277">
        <f t="shared" ref="D14" si="0">(C14-B14)</f>
        <v>3.4722222222222321E-2</v>
      </c>
      <c r="E14" s="452" t="s">
        <v>171</v>
      </c>
      <c r="F14" s="462"/>
      <c r="G14" s="492"/>
    </row>
    <row r="15" spans="1:12" ht="35.25" customHeight="1" thickBot="1" x14ac:dyDescent="0.3">
      <c r="A15" s="278"/>
      <c r="B15" s="279"/>
      <c r="C15" s="279"/>
      <c r="D15" s="279"/>
      <c r="E15" s="463"/>
      <c r="F15" s="463"/>
      <c r="G15" s="493"/>
    </row>
    <row r="16" spans="1:12" ht="15.6" customHeight="1" x14ac:dyDescent="0.2">
      <c r="A16" s="296">
        <v>43916</v>
      </c>
      <c r="B16" s="297">
        <v>0.47916666666666669</v>
      </c>
      <c r="C16" s="297">
        <v>0.52777777777777779</v>
      </c>
      <c r="D16" s="298">
        <f>(C16-B16)</f>
        <v>4.8611111111111105E-2</v>
      </c>
      <c r="E16" s="486" t="s">
        <v>172</v>
      </c>
      <c r="F16" s="474"/>
      <c r="G16" s="492" t="s">
        <v>173</v>
      </c>
      <c r="K16" s="329"/>
      <c r="L16" s="329"/>
    </row>
    <row r="17" spans="1:12" ht="16.149999999999999" customHeight="1" thickBot="1" x14ac:dyDescent="0.25">
      <c r="A17" s="299"/>
      <c r="B17" s="300"/>
      <c r="C17" s="300"/>
      <c r="D17" s="300"/>
      <c r="E17" s="475"/>
      <c r="F17" s="475"/>
      <c r="G17" s="493"/>
    </row>
    <row r="18" spans="1:12" ht="15.75" x14ac:dyDescent="0.2">
      <c r="A18" s="264">
        <v>43916</v>
      </c>
      <c r="B18" s="241">
        <v>0.52777777777777779</v>
      </c>
      <c r="C18" s="241">
        <v>0.54166666666666663</v>
      </c>
      <c r="D18" s="242">
        <f>(C18-B18)</f>
        <v>1.388888888888884E-2</v>
      </c>
      <c r="E18" s="511" t="s">
        <v>174</v>
      </c>
      <c r="F18" s="512"/>
      <c r="G18" s="492"/>
    </row>
    <row r="19" spans="1:12" ht="15.75" customHeight="1" thickBot="1" x14ac:dyDescent="0.25">
      <c r="A19" s="265"/>
      <c r="B19" s="243"/>
      <c r="C19" s="243"/>
      <c r="D19" s="243"/>
      <c r="E19" s="513"/>
      <c r="F19" s="514"/>
      <c r="G19" s="493"/>
      <c r="I19" s="8"/>
    </row>
    <row r="20" spans="1:12" ht="15.75" customHeight="1" x14ac:dyDescent="0.25">
      <c r="A20" s="280">
        <v>43916</v>
      </c>
      <c r="B20" s="281">
        <v>0.54513888888888895</v>
      </c>
      <c r="C20" s="281">
        <v>0.55902777777777779</v>
      </c>
      <c r="D20" s="277">
        <f>(C20-B20)</f>
        <v>1.388888888888884E-2</v>
      </c>
      <c r="E20" s="452" t="s">
        <v>175</v>
      </c>
      <c r="F20" s="464"/>
      <c r="G20" s="492" t="s">
        <v>173</v>
      </c>
      <c r="H20" s="8"/>
      <c r="I20" s="8"/>
      <c r="L20" s="21"/>
    </row>
    <row r="21" spans="1:12" ht="15.75" customHeight="1" thickBot="1" x14ac:dyDescent="0.3">
      <c r="A21" s="278"/>
      <c r="B21" s="279"/>
      <c r="C21" s="279"/>
      <c r="D21" s="279"/>
      <c r="E21" s="463"/>
      <c r="F21" s="465"/>
      <c r="G21" s="493"/>
      <c r="I21" s="8"/>
    </row>
    <row r="22" spans="1:12" ht="15.6" customHeight="1" x14ac:dyDescent="0.2">
      <c r="A22" s="276">
        <v>43916</v>
      </c>
      <c r="B22" s="277">
        <v>0.59722222222222221</v>
      </c>
      <c r="C22" s="277">
        <v>0.65972222222222221</v>
      </c>
      <c r="D22" s="277">
        <f>(C22-B22)</f>
        <v>6.25E-2</v>
      </c>
      <c r="E22" s="462" t="s">
        <v>176</v>
      </c>
      <c r="F22" s="464"/>
      <c r="G22" s="492"/>
      <c r="I22" s="9"/>
      <c r="K22" s="8"/>
    </row>
    <row r="23" spans="1:12" ht="18.75" customHeight="1" thickBot="1" x14ac:dyDescent="0.3">
      <c r="A23" s="278"/>
      <c r="B23" s="279"/>
      <c r="C23" s="279"/>
      <c r="D23" s="279"/>
      <c r="E23" s="463"/>
      <c r="F23" s="465"/>
      <c r="G23" s="493"/>
      <c r="I23" s="10"/>
      <c r="K23" s="8"/>
    </row>
    <row r="24" spans="1:12" ht="15.75" x14ac:dyDescent="0.2">
      <c r="A24" s="276">
        <v>43916</v>
      </c>
      <c r="B24" s="277">
        <v>0.69444444444444453</v>
      </c>
      <c r="C24" s="277">
        <v>0.72569444444444453</v>
      </c>
      <c r="D24" s="277">
        <f>(C24-B24)</f>
        <v>3.125E-2</v>
      </c>
      <c r="E24" s="452" t="s">
        <v>177</v>
      </c>
      <c r="F24" s="464"/>
      <c r="G24" s="492"/>
      <c r="H24" s="8"/>
      <c r="K24" s="8"/>
    </row>
    <row r="25" spans="1:12" ht="18" customHeight="1" thickBot="1" x14ac:dyDescent="0.25">
      <c r="A25" s="299"/>
      <c r="B25" s="300"/>
      <c r="C25" s="300"/>
      <c r="D25" s="300"/>
      <c r="E25" s="463"/>
      <c r="F25" s="465"/>
      <c r="G25" s="493"/>
      <c r="H25" s="9"/>
      <c r="K25" s="9"/>
    </row>
    <row r="26" spans="1:12" ht="15.75" x14ac:dyDescent="0.2">
      <c r="A26" s="267">
        <v>43917</v>
      </c>
      <c r="B26" s="252">
        <v>0.50347222222222221</v>
      </c>
      <c r="C26" s="252">
        <v>0.52083333333333337</v>
      </c>
      <c r="D26" s="244">
        <f>(C26-B26)</f>
        <v>1.736111111111116E-2</v>
      </c>
      <c r="E26" s="439" t="s">
        <v>98</v>
      </c>
      <c r="F26" s="476"/>
      <c r="G26" s="492"/>
      <c r="H26" s="10"/>
      <c r="K26" s="11"/>
    </row>
    <row r="27" spans="1:12" ht="15.75" thickBot="1" x14ac:dyDescent="0.3">
      <c r="A27" s="305"/>
      <c r="B27" s="306"/>
      <c r="C27" s="306"/>
      <c r="D27" s="306"/>
      <c r="E27" s="449"/>
      <c r="F27" s="477"/>
      <c r="G27" s="493"/>
      <c r="H27" s="29"/>
      <c r="K27" s="7"/>
    </row>
    <row r="28" spans="1:12" ht="15.6" customHeight="1" x14ac:dyDescent="0.2">
      <c r="A28" s="276">
        <v>43917</v>
      </c>
      <c r="B28" s="286">
        <v>0.54861111111111105</v>
      </c>
      <c r="C28" s="286">
        <v>0.60416666666666663</v>
      </c>
      <c r="D28" s="277">
        <f>(C28-B28)</f>
        <v>5.555555555555558E-2</v>
      </c>
      <c r="E28" s="452" t="s">
        <v>178</v>
      </c>
      <c r="F28" s="464"/>
      <c r="G28" s="492"/>
      <c r="H28" s="29"/>
    </row>
    <row r="29" spans="1:12" ht="16.5" thickBot="1" x14ac:dyDescent="0.3">
      <c r="A29" s="289"/>
      <c r="B29" s="290"/>
      <c r="C29" s="290"/>
      <c r="D29" s="290"/>
      <c r="E29" s="463"/>
      <c r="F29" s="465"/>
      <c r="G29" s="493"/>
      <c r="H29" s="29"/>
    </row>
    <row r="30" spans="1:12" ht="12.75" customHeight="1" x14ac:dyDescent="0.2">
      <c r="A30" s="276">
        <v>43917</v>
      </c>
      <c r="B30" s="286">
        <v>0.60763888888888895</v>
      </c>
      <c r="C30" s="286">
        <v>0.61458333333333337</v>
      </c>
      <c r="D30" s="277">
        <f>(C30-B30)</f>
        <v>6.9444444444444198E-3</v>
      </c>
      <c r="E30" s="462" t="s">
        <v>179</v>
      </c>
      <c r="F30" s="464"/>
      <c r="G30" s="492"/>
      <c r="H30" s="29"/>
    </row>
    <row r="31" spans="1:12" ht="19.5" customHeight="1" thickBot="1" x14ac:dyDescent="0.3">
      <c r="A31" s="289"/>
      <c r="B31" s="290"/>
      <c r="C31" s="290"/>
      <c r="D31" s="290"/>
      <c r="E31" s="463"/>
      <c r="F31" s="465"/>
      <c r="G31" s="493"/>
      <c r="H31" s="29"/>
    </row>
    <row r="32" spans="1:12" ht="12.75" customHeight="1" x14ac:dyDescent="0.2">
      <c r="A32" s="276">
        <v>43917</v>
      </c>
      <c r="B32" s="286">
        <v>0.625</v>
      </c>
      <c r="C32" s="286">
        <v>0.63888888888888895</v>
      </c>
      <c r="D32" s="277">
        <f>(C32-B32)</f>
        <v>1.3888888888888951E-2</v>
      </c>
      <c r="E32" s="462" t="s">
        <v>180</v>
      </c>
      <c r="F32" s="464"/>
      <c r="G32" s="492"/>
      <c r="H32" s="29"/>
    </row>
    <row r="33" spans="1:8" ht="19.899999999999999" customHeight="1" thickBot="1" x14ac:dyDescent="0.3">
      <c r="A33" s="287"/>
      <c r="B33" s="288"/>
      <c r="C33" s="288"/>
      <c r="D33" s="288"/>
      <c r="E33" s="463"/>
      <c r="F33" s="465"/>
      <c r="G33" s="493"/>
      <c r="H33" s="29"/>
    </row>
    <row r="34" spans="1:8" ht="15.75" x14ac:dyDescent="0.2">
      <c r="A34" s="276">
        <v>43917</v>
      </c>
      <c r="B34" s="286">
        <v>0.72916666666666663</v>
      </c>
      <c r="C34" s="286">
        <v>0.75</v>
      </c>
      <c r="D34" s="277">
        <f>(C34-B34)</f>
        <v>2.083333333333337E-2</v>
      </c>
      <c r="E34" s="452" t="s">
        <v>181</v>
      </c>
      <c r="F34" s="453"/>
      <c r="G34" s="492"/>
      <c r="H34" s="29"/>
    </row>
    <row r="35" spans="1:8" ht="32.25" customHeight="1" thickBot="1" x14ac:dyDescent="0.3">
      <c r="A35" s="287"/>
      <c r="B35" s="288"/>
      <c r="C35" s="288"/>
      <c r="D35" s="288"/>
      <c r="E35" s="454"/>
      <c r="F35" s="455"/>
      <c r="G35" s="493"/>
      <c r="H35" s="29"/>
    </row>
    <row r="36" spans="1:8" ht="15.75" x14ac:dyDescent="0.2">
      <c r="A36" s="272">
        <v>43917</v>
      </c>
      <c r="B36" s="256">
        <v>0.77777777777777779</v>
      </c>
      <c r="C36" s="256">
        <v>0.79861111111111116</v>
      </c>
      <c r="D36" s="257">
        <f>(C36-B36)</f>
        <v>2.083333333333337E-2</v>
      </c>
      <c r="E36" s="441" t="s">
        <v>182</v>
      </c>
      <c r="F36" s="456"/>
      <c r="G36" s="492"/>
      <c r="H36" s="29"/>
    </row>
    <row r="37" spans="1:8" ht="32.25" customHeight="1" thickBot="1" x14ac:dyDescent="0.3">
      <c r="A37" s="273"/>
      <c r="B37" s="258"/>
      <c r="C37" s="258"/>
      <c r="D37" s="258"/>
      <c r="E37" s="442"/>
      <c r="F37" s="457"/>
      <c r="G37" s="493"/>
      <c r="H37" s="29"/>
    </row>
    <row r="38" spans="1:8" ht="15" customHeight="1" x14ac:dyDescent="0.2">
      <c r="A38" s="272">
        <v>43918</v>
      </c>
      <c r="B38" s="256">
        <v>0.59722222222222221</v>
      </c>
      <c r="C38" s="256">
        <v>0.62847222222222221</v>
      </c>
      <c r="D38" s="257">
        <f>(C38-B38)</f>
        <v>3.125E-2</v>
      </c>
      <c r="E38" s="470" t="s">
        <v>183</v>
      </c>
      <c r="F38" s="471"/>
      <c r="G38" s="492"/>
    </row>
    <row r="39" spans="1:8" ht="16.5" thickBot="1" x14ac:dyDescent="0.3">
      <c r="A39" s="273"/>
      <c r="B39" s="258"/>
      <c r="C39" s="258"/>
      <c r="D39" s="258"/>
      <c r="E39" s="472"/>
      <c r="F39" s="473"/>
      <c r="G39" s="493"/>
    </row>
    <row r="40" spans="1:8" ht="15.75" x14ac:dyDescent="0.2">
      <c r="A40" s="276">
        <v>43918</v>
      </c>
      <c r="B40" s="286">
        <v>0.6875</v>
      </c>
      <c r="C40" s="286">
        <v>0.79166666666666663</v>
      </c>
      <c r="D40" s="277">
        <f>(C40-B40)</f>
        <v>0.10416666666666663</v>
      </c>
      <c r="E40" s="462" t="s">
        <v>184</v>
      </c>
      <c r="F40" s="464"/>
      <c r="G40" s="492" t="s">
        <v>185</v>
      </c>
    </row>
    <row r="41" spans="1:8" ht="16.5" thickBot="1" x14ac:dyDescent="0.3">
      <c r="A41" s="287"/>
      <c r="B41" s="288"/>
      <c r="C41" s="288"/>
      <c r="D41" s="288"/>
      <c r="E41" s="463"/>
      <c r="F41" s="465"/>
      <c r="G41" s="493"/>
    </row>
    <row r="42" spans="1:8" ht="15.75" x14ac:dyDescent="0.2">
      <c r="A42" s="276">
        <v>43918</v>
      </c>
      <c r="B42" s="286">
        <v>0.81597222222222221</v>
      </c>
      <c r="C42" s="286">
        <v>0.82986111111111116</v>
      </c>
      <c r="D42" s="277">
        <f>(C42-B42)</f>
        <v>1.3888888888888951E-2</v>
      </c>
      <c r="E42" s="462" t="s">
        <v>186</v>
      </c>
      <c r="F42" s="464"/>
      <c r="G42" s="492" t="s">
        <v>185</v>
      </c>
    </row>
    <row r="43" spans="1:8" ht="16.5" thickBot="1" x14ac:dyDescent="0.3">
      <c r="A43" s="287"/>
      <c r="B43" s="288"/>
      <c r="C43" s="288"/>
      <c r="D43" s="288"/>
      <c r="E43" s="463"/>
      <c r="F43" s="465"/>
      <c r="G43" s="493"/>
    </row>
    <row r="44" spans="1:8" ht="15.75" x14ac:dyDescent="0.2">
      <c r="A44" s="276">
        <v>43918</v>
      </c>
      <c r="B44" s="286">
        <v>0.88888888888888884</v>
      </c>
      <c r="C44" s="286">
        <v>0.99652777777777779</v>
      </c>
      <c r="D44" s="277">
        <f>(C44-B44)</f>
        <v>0.10763888888888895</v>
      </c>
      <c r="E44" s="452" t="s">
        <v>187</v>
      </c>
      <c r="F44" s="453"/>
      <c r="G44" s="492" t="s">
        <v>185</v>
      </c>
    </row>
    <row r="45" spans="1:8" ht="16.5" thickBot="1" x14ac:dyDescent="0.3">
      <c r="A45" s="287"/>
      <c r="B45" s="288"/>
      <c r="C45" s="288"/>
      <c r="D45" s="288"/>
      <c r="E45" s="454"/>
      <c r="F45" s="455"/>
      <c r="G45" s="493"/>
    </row>
    <row r="46" spans="1:8" ht="15.75" x14ac:dyDescent="0.2">
      <c r="A46" s="272">
        <v>43919</v>
      </c>
      <c r="B46" s="256">
        <v>2.7777777777777776E-2</v>
      </c>
      <c r="C46" s="256">
        <v>4.1666666666666664E-2</v>
      </c>
      <c r="D46" s="257">
        <f>(C46-B46)</f>
        <v>1.3888888888888888E-2</v>
      </c>
      <c r="E46" s="441" t="s">
        <v>188</v>
      </c>
      <c r="F46" s="456"/>
      <c r="G46" s="492"/>
    </row>
    <row r="47" spans="1:8" ht="16.5" thickBot="1" x14ac:dyDescent="0.3">
      <c r="A47" s="273"/>
      <c r="B47" s="258"/>
      <c r="C47" s="258"/>
      <c r="D47" s="258"/>
      <c r="E47" s="442"/>
      <c r="F47" s="457"/>
      <c r="G47" s="493"/>
    </row>
    <row r="48" spans="1:8" ht="15.75" x14ac:dyDescent="0.2">
      <c r="A48" s="272">
        <v>43919</v>
      </c>
      <c r="B48" s="256">
        <v>0.9375</v>
      </c>
      <c r="C48" s="256">
        <v>0.94097222222222221</v>
      </c>
      <c r="D48" s="257">
        <f>(C48-B48)</f>
        <v>3.4722222222222099E-3</v>
      </c>
      <c r="E48" s="441" t="s">
        <v>119</v>
      </c>
      <c r="F48" s="456"/>
      <c r="G48" s="492"/>
    </row>
    <row r="49" spans="1:7" ht="16.5" thickBot="1" x14ac:dyDescent="0.3">
      <c r="A49" s="273"/>
      <c r="B49" s="258"/>
      <c r="C49" s="258"/>
      <c r="D49" s="258"/>
      <c r="E49" s="442"/>
      <c r="F49" s="457"/>
      <c r="G49" s="493"/>
    </row>
    <row r="50" spans="1:7" ht="24" thickBot="1" x14ac:dyDescent="0.4">
      <c r="A50" s="28" t="s">
        <v>26</v>
      </c>
      <c r="B50" s="28"/>
      <c r="C50" s="27"/>
      <c r="D50" s="27"/>
      <c r="E50" s="27"/>
      <c r="F50" s="98"/>
      <c r="G50" s="98"/>
    </row>
    <row r="51" spans="1:7" ht="18.75" customHeight="1" thickBot="1" x14ac:dyDescent="0.25">
      <c r="A51" s="234"/>
      <c r="B51" s="234"/>
      <c r="C51" s="234"/>
      <c r="D51" s="234"/>
      <c r="E51" s="234"/>
      <c r="F51" s="234"/>
      <c r="G51" s="234"/>
    </row>
    <row r="52" spans="1:7" ht="12.75" customHeight="1" x14ac:dyDescent="0.2">
      <c r="A52" s="494" t="s">
        <v>189</v>
      </c>
      <c r="B52" s="495"/>
      <c r="C52" s="495"/>
      <c r="D52" s="495"/>
      <c r="E52" s="495"/>
      <c r="F52" s="495"/>
      <c r="G52" s="496"/>
    </row>
    <row r="53" spans="1:7" ht="12.75" customHeight="1" x14ac:dyDescent="0.2">
      <c r="A53" s="497"/>
      <c r="B53" s="498"/>
      <c r="C53" s="498"/>
      <c r="D53" s="498"/>
      <c r="E53" s="498"/>
      <c r="F53" s="498"/>
      <c r="G53" s="499"/>
    </row>
    <row r="54" spans="1:7" ht="12.75" customHeight="1" x14ac:dyDescent="0.2">
      <c r="A54" s="497"/>
      <c r="B54" s="498"/>
      <c r="C54" s="498"/>
      <c r="D54" s="498"/>
      <c r="E54" s="498"/>
      <c r="F54" s="498"/>
      <c r="G54" s="499"/>
    </row>
    <row r="55" spans="1:7" ht="12.75" customHeight="1" x14ac:dyDescent="0.2">
      <c r="A55" s="497"/>
      <c r="B55" s="498"/>
      <c r="C55" s="498"/>
      <c r="D55" s="498"/>
      <c r="E55" s="498"/>
      <c r="F55" s="498"/>
      <c r="G55" s="499"/>
    </row>
    <row r="56" spans="1:7" ht="12.75" customHeight="1" x14ac:dyDescent="0.2">
      <c r="A56" s="497"/>
      <c r="B56" s="498"/>
      <c r="C56" s="498"/>
      <c r="D56" s="498"/>
      <c r="E56" s="498"/>
      <c r="F56" s="498"/>
      <c r="G56" s="499"/>
    </row>
    <row r="57" spans="1:7" ht="12.75" customHeight="1" x14ac:dyDescent="0.2">
      <c r="A57" s="497"/>
      <c r="B57" s="498"/>
      <c r="C57" s="498"/>
      <c r="D57" s="498"/>
      <c r="E57" s="498"/>
      <c r="F57" s="498"/>
      <c r="G57" s="499"/>
    </row>
    <row r="58" spans="1:7" ht="12.75" customHeight="1" x14ac:dyDescent="0.2">
      <c r="A58" s="497"/>
      <c r="B58" s="498"/>
      <c r="C58" s="498"/>
      <c r="D58" s="498"/>
      <c r="E58" s="498"/>
      <c r="F58" s="498"/>
      <c r="G58" s="499"/>
    </row>
    <row r="59" spans="1:7" ht="12.75" customHeight="1" x14ac:dyDescent="0.2">
      <c r="A59" s="497"/>
      <c r="B59" s="498"/>
      <c r="C59" s="498"/>
      <c r="D59" s="498"/>
      <c r="E59" s="498"/>
      <c r="F59" s="498"/>
      <c r="G59" s="499"/>
    </row>
    <row r="60" spans="1:7" ht="12.75" customHeight="1" x14ac:dyDescent="0.2">
      <c r="A60" s="497"/>
      <c r="B60" s="498"/>
      <c r="C60" s="498"/>
      <c r="D60" s="498"/>
      <c r="E60" s="498"/>
      <c r="F60" s="498"/>
      <c r="G60" s="499"/>
    </row>
    <row r="61" spans="1:7" ht="12.6" customHeight="1" x14ac:dyDescent="0.2">
      <c r="A61" s="497"/>
      <c r="B61" s="498"/>
      <c r="C61" s="498"/>
      <c r="D61" s="498"/>
      <c r="E61" s="498"/>
      <c r="F61" s="498"/>
      <c r="G61" s="499"/>
    </row>
    <row r="62" spans="1:7" ht="12.75" customHeight="1" x14ac:dyDescent="0.2">
      <c r="A62" s="497"/>
      <c r="B62" s="498"/>
      <c r="C62" s="498"/>
      <c r="D62" s="498"/>
      <c r="E62" s="498"/>
      <c r="F62" s="498"/>
      <c r="G62" s="499"/>
    </row>
    <row r="63" spans="1:7" ht="12.75" customHeight="1" x14ac:dyDescent="0.2">
      <c r="A63" s="497"/>
      <c r="B63" s="498"/>
      <c r="C63" s="498"/>
      <c r="D63" s="498"/>
      <c r="E63" s="498"/>
      <c r="F63" s="498"/>
      <c r="G63" s="499"/>
    </row>
    <row r="64" spans="1:7" ht="12.75" customHeight="1" x14ac:dyDescent="0.2">
      <c r="A64" s="497"/>
      <c r="B64" s="498"/>
      <c r="C64" s="498"/>
      <c r="D64" s="498"/>
      <c r="E64" s="498"/>
      <c r="F64" s="498"/>
      <c r="G64" s="499"/>
    </row>
    <row r="65" spans="1:7" ht="12.75" customHeight="1" x14ac:dyDescent="0.2">
      <c r="A65" s="497"/>
      <c r="B65" s="498"/>
      <c r="C65" s="498"/>
      <c r="D65" s="498"/>
      <c r="E65" s="498"/>
      <c r="F65" s="498"/>
      <c r="G65" s="499"/>
    </row>
    <row r="66" spans="1:7" ht="12.75" customHeight="1" x14ac:dyDescent="0.2">
      <c r="A66" s="497"/>
      <c r="B66" s="498"/>
      <c r="C66" s="498"/>
      <c r="D66" s="498"/>
      <c r="E66" s="498"/>
      <c r="F66" s="498"/>
      <c r="G66" s="499"/>
    </row>
    <row r="67" spans="1:7" ht="12.75" customHeight="1" x14ac:dyDescent="0.2">
      <c r="A67" s="497"/>
      <c r="B67" s="498"/>
      <c r="C67" s="498"/>
      <c r="D67" s="498"/>
      <c r="E67" s="498"/>
      <c r="F67" s="498"/>
      <c r="G67" s="499"/>
    </row>
    <row r="68" spans="1:7" ht="12.75" customHeight="1" x14ac:dyDescent="0.2">
      <c r="A68" s="497"/>
      <c r="B68" s="498"/>
      <c r="C68" s="498"/>
      <c r="D68" s="498"/>
      <c r="E68" s="498"/>
      <c r="F68" s="498"/>
      <c r="G68" s="499"/>
    </row>
    <row r="69" spans="1:7" ht="12.75" customHeight="1" x14ac:dyDescent="0.2">
      <c r="A69" s="497"/>
      <c r="B69" s="498"/>
      <c r="C69" s="498"/>
      <c r="D69" s="498"/>
      <c r="E69" s="498"/>
      <c r="F69" s="498"/>
      <c r="G69" s="499"/>
    </row>
    <row r="70" spans="1:7" ht="12.6" customHeight="1" x14ac:dyDescent="0.2">
      <c r="A70" s="497"/>
      <c r="B70" s="498"/>
      <c r="C70" s="498"/>
      <c r="D70" s="498"/>
      <c r="E70" s="498"/>
      <c r="F70" s="498"/>
      <c r="G70" s="499"/>
    </row>
    <row r="71" spans="1:7" ht="12.6" customHeight="1" x14ac:dyDescent="0.2">
      <c r="A71" s="497"/>
      <c r="B71" s="498"/>
      <c r="C71" s="498"/>
      <c r="D71" s="498"/>
      <c r="E71" s="498"/>
      <c r="F71" s="498"/>
      <c r="G71" s="499"/>
    </row>
    <row r="72" spans="1:7" ht="12.6" customHeight="1" x14ac:dyDescent="0.2">
      <c r="A72" s="497"/>
      <c r="B72" s="498"/>
      <c r="C72" s="498"/>
      <c r="D72" s="498"/>
      <c r="E72" s="498"/>
      <c r="F72" s="498"/>
      <c r="G72" s="499"/>
    </row>
    <row r="73" spans="1:7" ht="12.6" customHeight="1" x14ac:dyDescent="0.2">
      <c r="A73" s="497"/>
      <c r="B73" s="498"/>
      <c r="C73" s="498"/>
      <c r="D73" s="498"/>
      <c r="E73" s="498"/>
      <c r="F73" s="498"/>
      <c r="G73" s="499"/>
    </row>
    <row r="74" spans="1:7" ht="12.6" customHeight="1" x14ac:dyDescent="0.2">
      <c r="A74" s="497"/>
      <c r="B74" s="498"/>
      <c r="C74" s="498"/>
      <c r="D74" s="498"/>
      <c r="E74" s="498"/>
      <c r="F74" s="498"/>
      <c r="G74" s="499"/>
    </row>
    <row r="75" spans="1:7" ht="12.6" customHeight="1" x14ac:dyDescent="0.2">
      <c r="A75" s="497"/>
      <c r="B75" s="498"/>
      <c r="C75" s="498"/>
      <c r="D75" s="498"/>
      <c r="E75" s="498"/>
      <c r="F75" s="498"/>
      <c r="G75" s="499"/>
    </row>
    <row r="76" spans="1:7" ht="12.6" customHeight="1" x14ac:dyDescent="0.2">
      <c r="A76" s="497"/>
      <c r="B76" s="498"/>
      <c r="C76" s="498"/>
      <c r="D76" s="498"/>
      <c r="E76" s="498"/>
      <c r="F76" s="498"/>
      <c r="G76" s="499"/>
    </row>
    <row r="77" spans="1:7" ht="12.6" customHeight="1" x14ac:dyDescent="0.2">
      <c r="A77" s="497"/>
      <c r="B77" s="498"/>
      <c r="C77" s="498"/>
      <c r="D77" s="498"/>
      <c r="E77" s="498"/>
      <c r="F77" s="498"/>
      <c r="G77" s="499"/>
    </row>
    <row r="78" spans="1:7" ht="12.6" customHeight="1" x14ac:dyDescent="0.2">
      <c r="A78" s="497"/>
      <c r="B78" s="498"/>
      <c r="C78" s="498"/>
      <c r="D78" s="498"/>
      <c r="E78" s="498"/>
      <c r="F78" s="498"/>
      <c r="G78" s="499"/>
    </row>
    <row r="79" spans="1:7" ht="12.6" customHeight="1" x14ac:dyDescent="0.2">
      <c r="A79" s="497"/>
      <c r="B79" s="498"/>
      <c r="C79" s="498"/>
      <c r="D79" s="498"/>
      <c r="E79" s="498"/>
      <c r="F79" s="498"/>
      <c r="G79" s="499"/>
    </row>
    <row r="80" spans="1:7" ht="12.6" customHeight="1" x14ac:dyDescent="0.2">
      <c r="A80" s="497"/>
      <c r="B80" s="498"/>
      <c r="C80" s="498"/>
      <c r="D80" s="498"/>
      <c r="E80" s="498"/>
      <c r="F80" s="498"/>
      <c r="G80" s="499"/>
    </row>
    <row r="81" spans="1:7" ht="13.15" customHeight="1" x14ac:dyDescent="0.2">
      <c r="A81" s="497"/>
      <c r="B81" s="498"/>
      <c r="C81" s="498"/>
      <c r="D81" s="498"/>
      <c r="E81" s="498"/>
      <c r="F81" s="498"/>
      <c r="G81" s="499"/>
    </row>
    <row r="82" spans="1:7" ht="12.75" customHeight="1" x14ac:dyDescent="0.2">
      <c r="A82" s="497"/>
      <c r="B82" s="498"/>
      <c r="C82" s="498"/>
      <c r="D82" s="498"/>
      <c r="E82" s="498"/>
      <c r="F82" s="498"/>
      <c r="G82" s="499"/>
    </row>
    <row r="83" spans="1:7" ht="12.75" customHeight="1" x14ac:dyDescent="0.2">
      <c r="A83" s="497"/>
      <c r="B83" s="498"/>
      <c r="C83" s="498"/>
      <c r="D83" s="498"/>
      <c r="E83" s="498"/>
      <c r="F83" s="498"/>
      <c r="G83" s="499"/>
    </row>
    <row r="84" spans="1:7" ht="12.75" customHeight="1" x14ac:dyDescent="0.2">
      <c r="A84" s="497"/>
      <c r="B84" s="498"/>
      <c r="C84" s="498"/>
      <c r="D84" s="498"/>
      <c r="E84" s="498"/>
      <c r="F84" s="498"/>
      <c r="G84" s="499"/>
    </row>
    <row r="85" spans="1:7" ht="12.75" customHeight="1" x14ac:dyDescent="0.2">
      <c r="A85" s="497"/>
      <c r="B85" s="498"/>
      <c r="C85" s="498"/>
      <c r="D85" s="498"/>
      <c r="E85" s="498"/>
      <c r="F85" s="498"/>
      <c r="G85" s="499"/>
    </row>
    <row r="86" spans="1:7" ht="12.75" customHeight="1" x14ac:dyDescent="0.2">
      <c r="A86" s="497"/>
      <c r="B86" s="498"/>
      <c r="C86" s="498"/>
      <c r="D86" s="498"/>
      <c r="E86" s="498"/>
      <c r="F86" s="498"/>
      <c r="G86" s="499"/>
    </row>
    <row r="87" spans="1:7" ht="12.75" customHeight="1" x14ac:dyDescent="0.2">
      <c r="A87" s="497"/>
      <c r="B87" s="498"/>
      <c r="C87" s="498"/>
      <c r="D87" s="498"/>
      <c r="E87" s="498"/>
      <c r="F87" s="498"/>
      <c r="G87" s="499"/>
    </row>
    <row r="88" spans="1:7" ht="12.75" customHeight="1" x14ac:dyDescent="0.2">
      <c r="A88" s="497"/>
      <c r="B88" s="498"/>
      <c r="C88" s="498"/>
      <c r="D88" s="498"/>
      <c r="E88" s="498"/>
      <c r="F88" s="498"/>
      <c r="G88" s="499"/>
    </row>
    <row r="89" spans="1:7" ht="12.75" customHeight="1" x14ac:dyDescent="0.2">
      <c r="A89" s="497"/>
      <c r="B89" s="498"/>
      <c r="C89" s="498"/>
      <c r="D89" s="498"/>
      <c r="E89" s="498"/>
      <c r="F89" s="498"/>
      <c r="G89" s="499"/>
    </row>
    <row r="90" spans="1:7" ht="12.75" customHeight="1" x14ac:dyDescent="0.2">
      <c r="A90" s="497"/>
      <c r="B90" s="498"/>
      <c r="C90" s="498"/>
      <c r="D90" s="498"/>
      <c r="E90" s="498"/>
      <c r="F90" s="498"/>
      <c r="G90" s="499"/>
    </row>
    <row r="91" spans="1:7" ht="12.75" customHeight="1" x14ac:dyDescent="0.2">
      <c r="A91" s="497"/>
      <c r="B91" s="498"/>
      <c r="C91" s="498"/>
      <c r="D91" s="498"/>
      <c r="E91" s="498"/>
      <c r="F91" s="498"/>
      <c r="G91" s="499"/>
    </row>
    <row r="92" spans="1:7" ht="12.75" customHeight="1" x14ac:dyDescent="0.2">
      <c r="A92" s="497"/>
      <c r="B92" s="498"/>
      <c r="C92" s="498"/>
      <c r="D92" s="498"/>
      <c r="E92" s="498"/>
      <c r="F92" s="498"/>
      <c r="G92" s="499"/>
    </row>
    <row r="93" spans="1:7" ht="12.75" customHeight="1" x14ac:dyDescent="0.2">
      <c r="A93" s="497"/>
      <c r="B93" s="498"/>
      <c r="C93" s="498"/>
      <c r="D93" s="498"/>
      <c r="E93" s="498"/>
      <c r="F93" s="498"/>
      <c r="G93" s="499"/>
    </row>
    <row r="94" spans="1:7" ht="12.75" customHeight="1" x14ac:dyDescent="0.2">
      <c r="A94" s="497"/>
      <c r="B94" s="498"/>
      <c r="C94" s="498"/>
      <c r="D94" s="498"/>
      <c r="E94" s="498"/>
      <c r="F94" s="498"/>
      <c r="G94" s="499"/>
    </row>
    <row r="95" spans="1:7" ht="12.75" customHeight="1" x14ac:dyDescent="0.2">
      <c r="A95" s="497"/>
      <c r="B95" s="498"/>
      <c r="C95" s="498"/>
      <c r="D95" s="498"/>
      <c r="E95" s="498"/>
      <c r="F95" s="498"/>
      <c r="G95" s="499"/>
    </row>
    <row r="96" spans="1:7" ht="12.75" customHeight="1" x14ac:dyDescent="0.2">
      <c r="A96" s="497"/>
      <c r="B96" s="498"/>
      <c r="C96" s="498"/>
      <c r="D96" s="498"/>
      <c r="E96" s="498"/>
      <c r="F96" s="498"/>
      <c r="G96" s="499"/>
    </row>
    <row r="97" spans="1:8" ht="12.75" customHeight="1" x14ac:dyDescent="0.2">
      <c r="A97" s="497"/>
      <c r="B97" s="498"/>
      <c r="C97" s="498"/>
      <c r="D97" s="498"/>
      <c r="E97" s="498"/>
      <c r="F97" s="498"/>
      <c r="G97" s="499"/>
    </row>
    <row r="98" spans="1:8" ht="12.75" customHeight="1" x14ac:dyDescent="0.2">
      <c r="A98" s="497"/>
      <c r="B98" s="498"/>
      <c r="C98" s="498"/>
      <c r="D98" s="498"/>
      <c r="E98" s="498"/>
      <c r="F98" s="498"/>
      <c r="G98" s="499"/>
    </row>
    <row r="99" spans="1:8" ht="12.75" customHeight="1" x14ac:dyDescent="0.2">
      <c r="A99" s="497"/>
      <c r="B99" s="498"/>
      <c r="C99" s="498"/>
      <c r="D99" s="498"/>
      <c r="E99" s="498"/>
      <c r="F99" s="498"/>
      <c r="G99" s="499"/>
      <c r="H99" s="5"/>
    </row>
    <row r="100" spans="1:8" ht="12.75" customHeight="1" x14ac:dyDescent="0.2">
      <c r="A100" s="497"/>
      <c r="B100" s="498"/>
      <c r="C100" s="498"/>
      <c r="D100" s="498"/>
      <c r="E100" s="498"/>
      <c r="F100" s="498"/>
      <c r="G100" s="499"/>
      <c r="H100" s="5"/>
    </row>
    <row r="101" spans="1:8" ht="12.75" customHeight="1" x14ac:dyDescent="0.2">
      <c r="A101" s="497"/>
      <c r="B101" s="498"/>
      <c r="C101" s="498"/>
      <c r="D101" s="498"/>
      <c r="E101" s="498"/>
      <c r="F101" s="498"/>
      <c r="G101" s="499"/>
      <c r="H101" s="5"/>
    </row>
    <row r="102" spans="1:8" ht="12.75" customHeight="1" x14ac:dyDescent="0.2">
      <c r="A102" s="497"/>
      <c r="B102" s="498"/>
      <c r="C102" s="498"/>
      <c r="D102" s="498"/>
      <c r="E102" s="498"/>
      <c r="F102" s="498"/>
      <c r="G102" s="499"/>
      <c r="H102" s="5"/>
    </row>
    <row r="103" spans="1:8" ht="12.75" customHeight="1" x14ac:dyDescent="0.2">
      <c r="A103" s="497"/>
      <c r="B103" s="498"/>
      <c r="C103" s="498"/>
      <c r="D103" s="498"/>
      <c r="E103" s="498"/>
      <c r="F103" s="498"/>
      <c r="G103" s="499"/>
      <c r="H103" s="5"/>
    </row>
    <row r="104" spans="1:8" ht="12.75" customHeight="1" x14ac:dyDescent="0.2">
      <c r="A104" s="497"/>
      <c r="B104" s="498"/>
      <c r="C104" s="498"/>
      <c r="D104" s="498"/>
      <c r="E104" s="498"/>
      <c r="F104" s="498"/>
      <c r="G104" s="499"/>
      <c r="H104" s="5"/>
    </row>
    <row r="105" spans="1:8" ht="12.75" customHeight="1" x14ac:dyDescent="0.2">
      <c r="A105" s="497"/>
      <c r="B105" s="498"/>
      <c r="C105" s="498"/>
      <c r="D105" s="498"/>
      <c r="E105" s="498"/>
      <c r="F105" s="498"/>
      <c r="G105" s="499"/>
      <c r="H105" s="5"/>
    </row>
    <row r="106" spans="1:8" ht="12.75" customHeight="1" x14ac:dyDescent="0.2">
      <c r="A106" s="497"/>
      <c r="B106" s="498"/>
      <c r="C106" s="498"/>
      <c r="D106" s="498"/>
      <c r="E106" s="498"/>
      <c r="F106" s="498"/>
      <c r="G106" s="499"/>
      <c r="H106" s="5"/>
    </row>
    <row r="107" spans="1:8" ht="12.75" customHeight="1" x14ac:dyDescent="0.2">
      <c r="A107" s="497"/>
      <c r="B107" s="498"/>
      <c r="C107" s="498"/>
      <c r="D107" s="498"/>
      <c r="E107" s="498"/>
      <c r="F107" s="498"/>
      <c r="G107" s="499"/>
      <c r="H107" s="5"/>
    </row>
    <row r="108" spans="1:8" ht="12.75" customHeight="1" x14ac:dyDescent="0.2">
      <c r="A108" s="497"/>
      <c r="B108" s="498"/>
      <c r="C108" s="498"/>
      <c r="D108" s="498"/>
      <c r="E108" s="498"/>
      <c r="F108" s="498"/>
      <c r="G108" s="499"/>
      <c r="H108" s="5"/>
    </row>
    <row r="109" spans="1:8" ht="12.75" customHeight="1" x14ac:dyDescent="0.2">
      <c r="A109" s="497"/>
      <c r="B109" s="498"/>
      <c r="C109" s="498"/>
      <c r="D109" s="498"/>
      <c r="E109" s="498"/>
      <c r="F109" s="498"/>
      <c r="G109" s="499"/>
      <c r="H109" s="5"/>
    </row>
    <row r="110" spans="1:8" ht="12.75" customHeight="1" x14ac:dyDescent="0.2">
      <c r="A110" s="497"/>
      <c r="B110" s="498"/>
      <c r="C110" s="498"/>
      <c r="D110" s="498"/>
      <c r="E110" s="498"/>
      <c r="F110" s="498"/>
      <c r="G110" s="499"/>
      <c r="H110" s="5"/>
    </row>
    <row r="111" spans="1:8" ht="12.75" customHeight="1" x14ac:dyDescent="0.2">
      <c r="A111" s="497"/>
      <c r="B111" s="498"/>
      <c r="C111" s="498"/>
      <c r="D111" s="498"/>
      <c r="E111" s="498"/>
      <c r="F111" s="498"/>
      <c r="G111" s="499"/>
      <c r="H111" s="5"/>
    </row>
    <row r="112" spans="1:8" ht="12.75" customHeight="1" x14ac:dyDescent="0.2">
      <c r="A112" s="497"/>
      <c r="B112" s="498"/>
      <c r="C112" s="498"/>
      <c r="D112" s="498"/>
      <c r="E112" s="498"/>
      <c r="F112" s="498"/>
      <c r="G112" s="499"/>
      <c r="H112" s="5"/>
    </row>
    <row r="113" spans="1:8" ht="12.75" customHeight="1" x14ac:dyDescent="0.2">
      <c r="A113" s="497"/>
      <c r="B113" s="498"/>
      <c r="C113" s="498"/>
      <c r="D113" s="498"/>
      <c r="E113" s="498"/>
      <c r="F113" s="498"/>
      <c r="G113" s="499"/>
      <c r="H113" s="5"/>
    </row>
    <row r="114" spans="1:8" ht="12.75" customHeight="1" x14ac:dyDescent="0.2">
      <c r="A114" s="497"/>
      <c r="B114" s="498"/>
      <c r="C114" s="498"/>
      <c r="D114" s="498"/>
      <c r="E114" s="498"/>
      <c r="F114" s="498"/>
      <c r="G114" s="499"/>
      <c r="H114" s="5"/>
    </row>
    <row r="115" spans="1:8" ht="13.5" customHeight="1" x14ac:dyDescent="0.2">
      <c r="A115" s="497"/>
      <c r="B115" s="498"/>
      <c r="C115" s="498"/>
      <c r="D115" s="498"/>
      <c r="E115" s="498"/>
      <c r="F115" s="498"/>
      <c r="G115" s="499"/>
    </row>
    <row r="116" spans="1:8" ht="18.75" customHeight="1" x14ac:dyDescent="0.2">
      <c r="A116" s="497"/>
      <c r="B116" s="498"/>
      <c r="C116" s="498"/>
      <c r="D116" s="498"/>
      <c r="E116" s="498"/>
      <c r="F116" s="498"/>
      <c r="G116" s="499"/>
    </row>
    <row r="117" spans="1:8" ht="12.75" customHeight="1" x14ac:dyDescent="0.2">
      <c r="A117" s="497"/>
      <c r="B117" s="498"/>
      <c r="C117" s="498"/>
      <c r="D117" s="498"/>
      <c r="E117" s="498"/>
      <c r="F117" s="498"/>
      <c r="G117" s="499"/>
    </row>
    <row r="118" spans="1:8" ht="12.75" customHeight="1" x14ac:dyDescent="0.2">
      <c r="A118" s="497"/>
      <c r="B118" s="498"/>
      <c r="C118" s="498"/>
      <c r="D118" s="498"/>
      <c r="E118" s="498"/>
      <c r="F118" s="498"/>
      <c r="G118" s="499"/>
    </row>
    <row r="119" spans="1:8" ht="12.75" customHeight="1" x14ac:dyDescent="0.2">
      <c r="A119" s="497"/>
      <c r="B119" s="498"/>
      <c r="C119" s="498"/>
      <c r="D119" s="498"/>
      <c r="E119" s="498"/>
      <c r="F119" s="498"/>
      <c r="G119" s="499"/>
    </row>
    <row r="120" spans="1:8" ht="12.75" customHeight="1" x14ac:dyDescent="0.2">
      <c r="A120" s="497"/>
      <c r="B120" s="498"/>
      <c r="C120" s="498"/>
      <c r="D120" s="498"/>
      <c r="E120" s="498"/>
      <c r="F120" s="498"/>
      <c r="G120" s="499"/>
    </row>
    <row r="121" spans="1:8" ht="12.75" customHeight="1" x14ac:dyDescent="0.2">
      <c r="A121" s="497"/>
      <c r="B121" s="498"/>
      <c r="C121" s="498"/>
      <c r="D121" s="498"/>
      <c r="E121" s="498"/>
      <c r="F121" s="498"/>
      <c r="G121" s="499"/>
    </row>
    <row r="122" spans="1:8" ht="12.75" customHeight="1" x14ac:dyDescent="0.2">
      <c r="A122" s="497"/>
      <c r="B122" s="498"/>
      <c r="C122" s="498"/>
      <c r="D122" s="498"/>
      <c r="E122" s="498"/>
      <c r="F122" s="498"/>
      <c r="G122" s="499"/>
    </row>
    <row r="123" spans="1:8" ht="12.75" customHeight="1" x14ac:dyDescent="0.2">
      <c r="A123" s="497"/>
      <c r="B123" s="498"/>
      <c r="C123" s="498"/>
      <c r="D123" s="498"/>
      <c r="E123" s="498"/>
      <c r="F123" s="498"/>
      <c r="G123" s="499"/>
    </row>
    <row r="124" spans="1:8" ht="12.75" customHeight="1" x14ac:dyDescent="0.2">
      <c r="A124" s="497"/>
      <c r="B124" s="498"/>
      <c r="C124" s="498"/>
      <c r="D124" s="498"/>
      <c r="E124" s="498"/>
      <c r="F124" s="498"/>
      <c r="G124" s="499"/>
    </row>
    <row r="125" spans="1:8" ht="12.75" customHeight="1" x14ac:dyDescent="0.2">
      <c r="A125" s="497"/>
      <c r="B125" s="498"/>
      <c r="C125" s="498"/>
      <c r="D125" s="498"/>
      <c r="E125" s="498"/>
      <c r="F125" s="498"/>
      <c r="G125" s="499"/>
    </row>
    <row r="126" spans="1:8" ht="12.75" customHeight="1" x14ac:dyDescent="0.2">
      <c r="A126" s="497"/>
      <c r="B126" s="498"/>
      <c r="C126" s="498"/>
      <c r="D126" s="498"/>
      <c r="E126" s="498"/>
      <c r="F126" s="498"/>
      <c r="G126" s="499"/>
    </row>
    <row r="127" spans="1:8" ht="12.75" customHeight="1" x14ac:dyDescent="0.2">
      <c r="A127" s="497"/>
      <c r="B127" s="498"/>
      <c r="C127" s="498"/>
      <c r="D127" s="498"/>
      <c r="E127" s="498"/>
      <c r="F127" s="498"/>
      <c r="G127" s="499"/>
    </row>
    <row r="128" spans="1:8" ht="12.75" customHeight="1" x14ac:dyDescent="0.2">
      <c r="A128" s="497"/>
      <c r="B128" s="498"/>
      <c r="C128" s="498"/>
      <c r="D128" s="498"/>
      <c r="E128" s="498"/>
      <c r="F128" s="498"/>
      <c r="G128" s="499"/>
    </row>
    <row r="129" spans="1:7" ht="12.75" customHeight="1" x14ac:dyDescent="0.2">
      <c r="A129" s="497"/>
      <c r="B129" s="498"/>
      <c r="C129" s="498"/>
      <c r="D129" s="498"/>
      <c r="E129" s="498"/>
      <c r="F129" s="498"/>
      <c r="G129" s="499"/>
    </row>
    <row r="130" spans="1:7" ht="12.75" customHeight="1" thickBot="1" x14ac:dyDescent="0.25">
      <c r="A130" s="500"/>
      <c r="B130" s="501"/>
      <c r="C130" s="501"/>
      <c r="D130" s="501"/>
      <c r="E130" s="501"/>
      <c r="F130" s="501"/>
      <c r="G130" s="502"/>
    </row>
    <row r="131" spans="1:7" ht="12.75" customHeight="1" x14ac:dyDescent="0.2"/>
    <row r="132" spans="1:7" ht="13.5" customHeight="1" x14ac:dyDescent="0.2"/>
    <row r="133" spans="1:7" ht="12.75" customHeight="1" x14ac:dyDescent="0.2"/>
    <row r="134" spans="1:7" ht="12.75" customHeight="1" x14ac:dyDescent="0.2"/>
    <row r="135" spans="1:7" ht="12.75" customHeight="1" x14ac:dyDescent="0.2"/>
    <row r="136" spans="1:7" ht="12.75" customHeight="1" x14ac:dyDescent="0.2"/>
    <row r="137" spans="1:7" ht="12.75" customHeight="1" x14ac:dyDescent="0.2"/>
    <row r="138" spans="1:7" ht="12.75" customHeight="1" x14ac:dyDescent="0.2"/>
    <row r="139" spans="1:7" ht="12.75" customHeight="1" x14ac:dyDescent="0.2"/>
    <row r="140" spans="1:7" ht="12.75" customHeight="1" x14ac:dyDescent="0.2"/>
    <row r="141" spans="1:7" ht="12.75" customHeight="1" x14ac:dyDescent="0.2"/>
    <row r="142" spans="1:7" ht="12.75" customHeight="1" x14ac:dyDescent="0.2"/>
    <row r="143" spans="1:7" ht="12.75" customHeight="1" x14ac:dyDescent="0.2"/>
    <row r="144" spans="1:7"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45">
    <mergeCell ref="A1:D1"/>
    <mergeCell ref="A4:A5"/>
    <mergeCell ref="C4:C5"/>
    <mergeCell ref="J4:J5"/>
    <mergeCell ref="E10:F11"/>
    <mergeCell ref="G10:G11"/>
    <mergeCell ref="E12:F13"/>
    <mergeCell ref="G12:G13"/>
    <mergeCell ref="E14:F15"/>
    <mergeCell ref="G14:G15"/>
    <mergeCell ref="E16:F17"/>
    <mergeCell ref="G16:G17"/>
    <mergeCell ref="E18:F19"/>
    <mergeCell ref="G18:G19"/>
    <mergeCell ref="E20:F21"/>
    <mergeCell ref="G20:G21"/>
    <mergeCell ref="E22:F23"/>
    <mergeCell ref="G22:G23"/>
    <mergeCell ref="E24:F25"/>
    <mergeCell ref="G24:G25"/>
    <mergeCell ref="E26:F27"/>
    <mergeCell ref="G26:G27"/>
    <mergeCell ref="E28:F29"/>
    <mergeCell ref="G28:G29"/>
    <mergeCell ref="E30:F31"/>
    <mergeCell ref="G30:G31"/>
    <mergeCell ref="E32:F33"/>
    <mergeCell ref="G32:G33"/>
    <mergeCell ref="E34:F35"/>
    <mergeCell ref="G34:G35"/>
    <mergeCell ref="E36:F37"/>
    <mergeCell ref="G36:G37"/>
    <mergeCell ref="E38:F39"/>
    <mergeCell ref="G38:G39"/>
    <mergeCell ref="E40:F41"/>
    <mergeCell ref="G40:G41"/>
    <mergeCell ref="E48:F49"/>
    <mergeCell ref="G48:G49"/>
    <mergeCell ref="A52:G130"/>
    <mergeCell ref="E42:F43"/>
    <mergeCell ref="G42:G43"/>
    <mergeCell ref="E44:F45"/>
    <mergeCell ref="G44:G45"/>
    <mergeCell ref="E46:F47"/>
    <mergeCell ref="G46:G47"/>
  </mergeCells>
  <conditionalFormatting sqref="I19 H20:I20 I21 H24">
    <cfRule type="expression" dxfId="38" priority="3">
      <formula>ISNUMBER(SEARCH(TEXT(#REF!,"ddd"),#REF!))</formula>
    </cfRule>
  </conditionalFormatting>
  <conditionalFormatting sqref="A22:D22 A14:D14 A16:D16 A24:C24 A18:D18">
    <cfRule type="expression" dxfId="37" priority="4">
      <formula>ISNUMBER(SEARCH(TEXT(#REF!,"ddd"),#REF!))</formula>
    </cfRule>
  </conditionalFormatting>
  <conditionalFormatting sqref="K22:K24">
    <cfRule type="expression" dxfId="36" priority="5">
      <formula>ISNUMBER(SEARCH(TEXT(#REF!,"ddd"),#REF!))</formula>
    </cfRule>
  </conditionalFormatting>
  <conditionalFormatting sqref="D20">
    <cfRule type="expression" dxfId="35" priority="2">
      <formula>ISNUMBER(SEARCH(TEXT(#REF!,"ddd"),#REF!))</formula>
    </cfRule>
  </conditionalFormatting>
  <conditionalFormatting sqref="A20:C20">
    <cfRule type="expression" dxfId="34" priority="1">
      <formula>ISNUMBER(SEARCH(TEXT(#REF!,"ddd"),#REF!))</formula>
    </cfRule>
  </conditionalFormatting>
  <dataValidations count="2">
    <dataValidation type="custom" allowBlank="1" showInputMessage="1" showErrorMessage="1" sqref="C14" xr:uid="{2C0483D5-9F97-4987-9C2B-CAC15FA0E0F2}">
      <formula1>AND($C14&lt;=1,ISNUMBER($C14),($C14&gt;=$B14))</formula1>
    </dataValidation>
    <dataValidation type="custom" allowBlank="1" showInputMessage="1" showErrorMessage="1" sqref="B16:C16 B18:C18 B20:C20 B24:C24 B22:C22 B14" xr:uid="{654506FB-7BB7-4CAF-8C36-89528B284A77}">
      <formula1>AND($B14&lt;=1,ISNUMBER($B14))</formula1>
    </dataValidation>
  </dataValidations>
  <pageMargins left="0.23622047244094491" right="0.23622047244094491" top="0.74803149606299213" bottom="0.74803149606299213" header="0.31496062992125984" footer="0.31496062992125984"/>
  <pageSetup paperSize="9" scale="85" fitToHeight="0"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31E5-8D71-405B-86F1-36ED44AD2335}">
  <sheetPr codeName="Sheet20"/>
  <dimension ref="A1:L212"/>
  <sheetViews>
    <sheetView showGridLines="0" zoomScaleNormal="100" workbookViewId="0">
      <selection activeCell="C6" sqref="C6"/>
    </sheetView>
  </sheetViews>
  <sheetFormatPr baseColWidth="10" defaultColWidth="9" defaultRowHeight="12.75" x14ac:dyDescent="0.2"/>
  <cols>
    <col min="1" max="1" width="13.37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2" ht="27" thickTop="1" x14ac:dyDescent="0.4">
      <c r="A1" s="419" t="s">
        <v>49</v>
      </c>
      <c r="B1" s="419"/>
      <c r="C1" s="419"/>
      <c r="D1" s="419"/>
      <c r="E1" s="45">
        <f>WEEKNUM(A14)</f>
        <v>14</v>
      </c>
      <c r="F1" s="46"/>
      <c r="G1" s="47"/>
      <c r="H1" s="26"/>
      <c r="J1" s="1"/>
    </row>
    <row r="2" spans="1:12" s="1" customFormat="1" ht="14.25" customHeight="1" x14ac:dyDescent="0.25">
      <c r="A2" s="38" t="s">
        <v>1</v>
      </c>
      <c r="B2" s="38"/>
      <c r="C2" s="38" t="s">
        <v>2</v>
      </c>
      <c r="D2" s="38"/>
      <c r="E2" s="250" t="s">
        <v>3</v>
      </c>
      <c r="F2" s="44" t="s">
        <v>4</v>
      </c>
      <c r="G2" s="44" t="s">
        <v>29</v>
      </c>
      <c r="H2" s="20"/>
      <c r="I2" s="13"/>
      <c r="J2" s="6"/>
      <c r="K2" s="1" t="s">
        <v>69</v>
      </c>
    </row>
    <row r="3" spans="1:12" ht="16.5" thickBot="1" x14ac:dyDescent="0.25">
      <c r="A3" s="274">
        <f>A10</f>
        <v>43920</v>
      </c>
      <c r="B3" s="382"/>
      <c r="C3" s="274">
        <f>A44</f>
        <v>43926</v>
      </c>
      <c r="D3" s="382"/>
      <c r="E3" s="249" t="s">
        <v>6</v>
      </c>
      <c r="F3" s="261">
        <f>Sumcolor(E3,D10:D46)</f>
        <v>0.11805555555555547</v>
      </c>
      <c r="G3" s="259">
        <f>SUM(Først:Sist!F3)</f>
        <v>0.93402777777777768</v>
      </c>
      <c r="H3" s="22"/>
      <c r="I3" s="7"/>
      <c r="J3" s="7"/>
      <c r="K3" t="s">
        <v>70</v>
      </c>
    </row>
    <row r="4" spans="1:12" ht="15" customHeight="1" x14ac:dyDescent="0.2">
      <c r="A4" s="420" t="s">
        <v>96</v>
      </c>
      <c r="B4" s="383"/>
      <c r="C4" s="420" t="s">
        <v>51</v>
      </c>
      <c r="D4" s="384"/>
      <c r="E4" s="246" t="s">
        <v>9</v>
      </c>
      <c r="F4" s="261">
        <f>Sumcolor(E4,D10:D46)</f>
        <v>0.40277777777777757</v>
      </c>
      <c r="G4" s="259">
        <f>SUM(Først:Sist!F4)</f>
        <v>6.5486111111111125</v>
      </c>
      <c r="H4" s="22"/>
      <c r="I4" s="7"/>
      <c r="J4" s="399"/>
    </row>
    <row r="5" spans="1:12" ht="15.75" x14ac:dyDescent="0.2">
      <c r="A5" s="447"/>
      <c r="B5" s="384"/>
      <c r="C5" s="421"/>
      <c r="D5" s="384"/>
      <c r="E5" s="247" t="s">
        <v>10</v>
      </c>
      <c r="F5" s="261">
        <f>Sumcolor(E5,D10:D46)</f>
        <v>8.6805555555555358E-2</v>
      </c>
      <c r="G5" s="259">
        <f>SUM(Først:Sist!F5)</f>
        <v>1.3368055555555545</v>
      </c>
      <c r="H5" s="22"/>
      <c r="I5" s="7"/>
      <c r="J5" s="399"/>
      <c r="K5" t="s">
        <v>71</v>
      </c>
    </row>
    <row r="6" spans="1:12" ht="18.75" customHeight="1" thickBot="1" x14ac:dyDescent="0.25">
      <c r="A6" s="328">
        <f>SUM(D10:D46)</f>
        <v>0.64583333333333282</v>
      </c>
      <c r="B6" s="40"/>
      <c r="C6" s="240">
        <f>SUM('Først:Uke14'!A6)</f>
        <v>7.1979166666666652</v>
      </c>
      <c r="D6" s="42"/>
      <c r="E6" s="248" t="s">
        <v>11</v>
      </c>
      <c r="F6" s="260">
        <f>Sumcolor(E6,D10:D46)</f>
        <v>3.819444444444442E-2</v>
      </c>
      <c r="G6" s="260">
        <f>SUM(Først:Sist!F6)</f>
        <v>2.4791666666666661</v>
      </c>
      <c r="H6" s="22"/>
      <c r="I6" s="7"/>
      <c r="J6" s="7"/>
      <c r="K6" t="s">
        <v>72</v>
      </c>
    </row>
    <row r="7" spans="1:12" ht="12.75" customHeight="1" x14ac:dyDescent="0.2">
      <c r="A7" s="19"/>
      <c r="B7" s="23"/>
      <c r="C7" s="24"/>
      <c r="D7" s="14"/>
      <c r="E7" s="23"/>
      <c r="F7" s="23"/>
      <c r="G7" s="25"/>
      <c r="H7" s="25"/>
    </row>
    <row r="8" spans="1:12" x14ac:dyDescent="0.2">
      <c r="A8" s="23"/>
      <c r="B8" s="25"/>
      <c r="C8" s="14"/>
      <c r="D8" s="25"/>
      <c r="E8" s="23"/>
      <c r="F8" s="23"/>
      <c r="G8" s="25"/>
      <c r="H8" s="25"/>
      <c r="K8" t="s">
        <v>73</v>
      </c>
    </row>
    <row r="9" spans="1:12" ht="16.5" thickBot="1" x14ac:dyDescent="0.3">
      <c r="A9" s="30" t="s">
        <v>15</v>
      </c>
      <c r="B9" s="30" t="s">
        <v>18</v>
      </c>
      <c r="C9" s="30" t="s">
        <v>19</v>
      </c>
      <c r="D9" s="30" t="s">
        <v>20</v>
      </c>
      <c r="E9" s="30" t="s">
        <v>21</v>
      </c>
      <c r="G9" s="30" t="s">
        <v>42</v>
      </c>
      <c r="H9" s="25"/>
      <c r="K9" t="s">
        <v>74</v>
      </c>
    </row>
    <row r="10" spans="1:12" ht="15.6" customHeight="1" x14ac:dyDescent="0.25">
      <c r="A10" s="322">
        <v>43920</v>
      </c>
      <c r="B10" s="323">
        <v>0.58680555555555558</v>
      </c>
      <c r="C10" s="323">
        <v>0.59722222222222221</v>
      </c>
      <c r="D10" s="324">
        <f>(C10-B10)</f>
        <v>1.041666666666663E-2</v>
      </c>
      <c r="E10" s="507" t="s">
        <v>98</v>
      </c>
      <c r="F10" s="508"/>
      <c r="G10" s="492"/>
      <c r="H10" s="25"/>
    </row>
    <row r="11" spans="1:12" ht="18" customHeight="1" thickBot="1" x14ac:dyDescent="0.3">
      <c r="A11" s="325"/>
      <c r="B11" s="326"/>
      <c r="C11" s="326"/>
      <c r="D11" s="327"/>
      <c r="E11" s="509"/>
      <c r="F11" s="510"/>
      <c r="G11" s="493"/>
      <c r="H11" s="25"/>
      <c r="K11" t="s">
        <v>76</v>
      </c>
    </row>
    <row r="12" spans="1:12" ht="17.25" customHeight="1" x14ac:dyDescent="0.25">
      <c r="A12" s="322">
        <v>43920</v>
      </c>
      <c r="B12" s="323">
        <v>0.625</v>
      </c>
      <c r="C12" s="323">
        <v>0.64236111111111105</v>
      </c>
      <c r="D12" s="324">
        <f>(C12-B12)</f>
        <v>1.7361111111111049E-2</v>
      </c>
      <c r="E12" s="515" t="s">
        <v>190</v>
      </c>
      <c r="F12" s="516"/>
      <c r="G12" s="492"/>
      <c r="K12" t="s">
        <v>78</v>
      </c>
    </row>
    <row r="13" spans="1:12" ht="15.6" customHeight="1" thickBot="1" x14ac:dyDescent="0.3">
      <c r="A13" s="332"/>
      <c r="B13" s="327"/>
      <c r="C13" s="327"/>
      <c r="D13" s="327"/>
      <c r="E13" s="517"/>
      <c r="F13" s="518"/>
      <c r="G13" s="493"/>
    </row>
    <row r="14" spans="1:12" ht="15.75" customHeight="1" x14ac:dyDescent="0.2">
      <c r="A14" s="333">
        <v>43920</v>
      </c>
      <c r="B14" s="334">
        <v>0.72222222222222221</v>
      </c>
      <c r="C14" s="334">
        <v>0.76736111111111116</v>
      </c>
      <c r="D14" s="334">
        <f t="shared" ref="D14" si="0">(C14-B14)</f>
        <v>4.5138888888888951E-2</v>
      </c>
      <c r="E14" s="519" t="s">
        <v>191</v>
      </c>
      <c r="F14" s="520"/>
      <c r="G14" s="492" t="s">
        <v>185</v>
      </c>
    </row>
    <row r="15" spans="1:12" ht="33" customHeight="1" thickBot="1" x14ac:dyDescent="0.3">
      <c r="A15" s="335"/>
      <c r="B15" s="336"/>
      <c r="C15" s="336"/>
      <c r="D15" s="336"/>
      <c r="E15" s="521"/>
      <c r="F15" s="521"/>
      <c r="G15" s="493"/>
    </row>
    <row r="16" spans="1:12" ht="15.6" customHeight="1" x14ac:dyDescent="0.2">
      <c r="A16" s="337">
        <v>43920</v>
      </c>
      <c r="B16" s="338">
        <v>0.77777777777777779</v>
      </c>
      <c r="C16" s="338">
        <v>0.82638888888888884</v>
      </c>
      <c r="D16" s="339">
        <f>(C16-B16)</f>
        <v>4.8611111111111049E-2</v>
      </c>
      <c r="E16" s="522" t="s">
        <v>192</v>
      </c>
      <c r="F16" s="523"/>
      <c r="G16" s="492" t="s">
        <v>185</v>
      </c>
      <c r="K16" s="329"/>
      <c r="L16" s="329"/>
    </row>
    <row r="17" spans="1:12" ht="16.149999999999999" customHeight="1" thickBot="1" x14ac:dyDescent="0.25">
      <c r="A17" s="340"/>
      <c r="B17" s="341"/>
      <c r="C17" s="341"/>
      <c r="D17" s="341"/>
      <c r="E17" s="524"/>
      <c r="F17" s="524"/>
      <c r="G17" s="493"/>
    </row>
    <row r="18" spans="1:12" ht="15.75" x14ac:dyDescent="0.2">
      <c r="A18" s="337">
        <v>43920</v>
      </c>
      <c r="B18" s="338">
        <v>0.88888888888888884</v>
      </c>
      <c r="C18" s="338">
        <v>0.98958333333333337</v>
      </c>
      <c r="D18" s="339">
        <f>(C18-B18)</f>
        <v>0.10069444444444453</v>
      </c>
      <c r="E18" s="522" t="s">
        <v>192</v>
      </c>
      <c r="F18" s="525"/>
      <c r="G18" s="492" t="s">
        <v>185</v>
      </c>
    </row>
    <row r="19" spans="1:12" ht="15.75" customHeight="1" thickBot="1" x14ac:dyDescent="0.25">
      <c r="A19" s="340"/>
      <c r="B19" s="341"/>
      <c r="C19" s="341"/>
      <c r="D19" s="341"/>
      <c r="E19" s="526"/>
      <c r="F19" s="527"/>
      <c r="G19" s="493"/>
      <c r="I19" s="8"/>
    </row>
    <row r="20" spans="1:12" ht="15.75" customHeight="1" x14ac:dyDescent="0.25">
      <c r="A20" s="320">
        <v>43921</v>
      </c>
      <c r="B20" s="321">
        <v>0.54166666666666663</v>
      </c>
      <c r="C20" s="321">
        <v>0.56597222222222221</v>
      </c>
      <c r="D20" s="244">
        <f>(C20-B20)</f>
        <v>2.430555555555558E-2</v>
      </c>
      <c r="E20" s="439" t="s">
        <v>193</v>
      </c>
      <c r="F20" s="476"/>
      <c r="G20" s="492"/>
      <c r="H20" s="8"/>
      <c r="I20" s="8"/>
      <c r="L20" s="21"/>
    </row>
    <row r="21" spans="1:12" ht="15.75" customHeight="1" thickBot="1" x14ac:dyDescent="0.3">
      <c r="A21" s="305"/>
      <c r="B21" s="306"/>
      <c r="C21" s="306"/>
      <c r="D21" s="306"/>
      <c r="E21" s="449"/>
      <c r="F21" s="477"/>
      <c r="G21" s="493"/>
      <c r="I21" s="8"/>
    </row>
    <row r="22" spans="1:12" ht="15.6" customHeight="1" x14ac:dyDescent="0.2">
      <c r="A22" s="333">
        <v>43921</v>
      </c>
      <c r="B22" s="334">
        <v>0.59375</v>
      </c>
      <c r="C22" s="334">
        <v>0.625</v>
      </c>
      <c r="D22" s="334">
        <f>(C22-B22)</f>
        <v>3.125E-2</v>
      </c>
      <c r="E22" s="520" t="s">
        <v>194</v>
      </c>
      <c r="F22" s="528"/>
      <c r="G22" s="492" t="s">
        <v>185</v>
      </c>
      <c r="I22" s="9"/>
      <c r="K22" s="8"/>
    </row>
    <row r="23" spans="1:12" ht="19.5" customHeight="1" thickBot="1" x14ac:dyDescent="0.3">
      <c r="A23" s="335"/>
      <c r="B23" s="336"/>
      <c r="C23" s="336"/>
      <c r="D23" s="336"/>
      <c r="E23" s="521"/>
      <c r="F23" s="529"/>
      <c r="G23" s="493"/>
      <c r="I23" s="10"/>
      <c r="K23" s="8"/>
    </row>
    <row r="24" spans="1:12" ht="15.75" x14ac:dyDescent="0.2">
      <c r="A24" s="333">
        <v>43921</v>
      </c>
      <c r="B24" s="334">
        <v>0.70486111111111116</v>
      </c>
      <c r="C24" s="334">
        <v>0.74305555555555547</v>
      </c>
      <c r="D24" s="334">
        <f>(C24-B24)</f>
        <v>3.8194444444444309E-2</v>
      </c>
      <c r="E24" s="519" t="s">
        <v>195</v>
      </c>
      <c r="F24" s="528"/>
      <c r="G24" s="492" t="s">
        <v>185</v>
      </c>
      <c r="H24" s="8"/>
      <c r="K24" s="8"/>
    </row>
    <row r="25" spans="1:12" ht="18" customHeight="1" thickBot="1" x14ac:dyDescent="0.25">
      <c r="A25" s="340"/>
      <c r="B25" s="341"/>
      <c r="C25" s="341"/>
      <c r="D25" s="341"/>
      <c r="E25" s="521"/>
      <c r="F25" s="529"/>
      <c r="G25" s="493"/>
      <c r="H25" s="9"/>
      <c r="K25" s="9"/>
    </row>
    <row r="26" spans="1:12" ht="15.75" x14ac:dyDescent="0.2">
      <c r="A26" s="342">
        <v>43921</v>
      </c>
      <c r="B26" s="343">
        <v>0.75</v>
      </c>
      <c r="C26" s="343">
        <v>0.77083333333333337</v>
      </c>
      <c r="D26" s="344">
        <f>(C26-B26)</f>
        <v>2.083333333333337E-2</v>
      </c>
      <c r="E26" s="530" t="s">
        <v>196</v>
      </c>
      <c r="F26" s="531"/>
      <c r="G26" s="492"/>
      <c r="H26" s="10"/>
      <c r="K26" s="11"/>
    </row>
    <row r="27" spans="1:12" ht="15.75" thickBot="1" x14ac:dyDescent="0.3">
      <c r="A27" s="345"/>
      <c r="B27" s="346"/>
      <c r="C27" s="346"/>
      <c r="D27" s="346"/>
      <c r="E27" s="532"/>
      <c r="F27" s="533"/>
      <c r="G27" s="493"/>
      <c r="H27" s="29"/>
      <c r="K27" s="7"/>
    </row>
    <row r="28" spans="1:12" ht="15.6" customHeight="1" x14ac:dyDescent="0.2">
      <c r="A28" s="333">
        <v>43921</v>
      </c>
      <c r="B28" s="347">
        <v>0.79861111111111116</v>
      </c>
      <c r="C28" s="347">
        <v>0.83680555555555547</v>
      </c>
      <c r="D28" s="334">
        <f>(C28-B28)</f>
        <v>3.8194444444444309E-2</v>
      </c>
      <c r="E28" s="519" t="s">
        <v>192</v>
      </c>
      <c r="F28" s="528"/>
      <c r="G28" s="492" t="s">
        <v>185</v>
      </c>
      <c r="H28" s="29"/>
    </row>
    <row r="29" spans="1:12" ht="16.5" thickBot="1" x14ac:dyDescent="0.3">
      <c r="A29" s="348"/>
      <c r="B29" s="349"/>
      <c r="C29" s="349"/>
      <c r="D29" s="349"/>
      <c r="E29" s="521"/>
      <c r="F29" s="529"/>
      <c r="G29" s="493"/>
      <c r="H29" s="29"/>
    </row>
    <row r="30" spans="1:12" ht="12.75" customHeight="1" x14ac:dyDescent="0.2">
      <c r="A30" s="333">
        <v>43922</v>
      </c>
      <c r="B30" s="347">
        <v>0.59027777777777779</v>
      </c>
      <c r="C30" s="347">
        <v>0.62847222222222221</v>
      </c>
      <c r="D30" s="334">
        <f>(C30-B30)</f>
        <v>3.819444444444442E-2</v>
      </c>
      <c r="E30" s="520" t="s">
        <v>197</v>
      </c>
      <c r="F30" s="528"/>
      <c r="G30" s="492" t="s">
        <v>185</v>
      </c>
      <c r="H30" s="29"/>
    </row>
    <row r="31" spans="1:12" ht="19.5" customHeight="1" thickBot="1" x14ac:dyDescent="0.3">
      <c r="A31" s="348"/>
      <c r="B31" s="349"/>
      <c r="C31" s="349"/>
      <c r="D31" s="349"/>
      <c r="E31" s="521"/>
      <c r="F31" s="529"/>
      <c r="G31" s="493"/>
      <c r="H31" s="29"/>
    </row>
    <row r="32" spans="1:12" ht="12.75" customHeight="1" x14ac:dyDescent="0.2">
      <c r="A32" s="350">
        <v>43922</v>
      </c>
      <c r="B32" s="351">
        <v>0.69444444444444453</v>
      </c>
      <c r="C32" s="351">
        <v>0.78125</v>
      </c>
      <c r="D32" s="352">
        <f>(C32-B32)</f>
        <v>8.6805555555555469E-2</v>
      </c>
      <c r="E32" s="534" t="s">
        <v>198</v>
      </c>
      <c r="F32" s="535"/>
      <c r="G32" s="492"/>
      <c r="H32" s="29"/>
    </row>
    <row r="33" spans="1:8" ht="34.5" customHeight="1" thickBot="1" x14ac:dyDescent="0.3">
      <c r="A33" s="353"/>
      <c r="B33" s="354"/>
      <c r="C33" s="354"/>
      <c r="D33" s="354"/>
      <c r="E33" s="536"/>
      <c r="F33" s="537"/>
      <c r="G33" s="493"/>
      <c r="H33" s="29"/>
    </row>
    <row r="34" spans="1:8" ht="15.75" x14ac:dyDescent="0.2">
      <c r="A34" s="350">
        <v>43922</v>
      </c>
      <c r="B34" s="351">
        <v>0.8125</v>
      </c>
      <c r="C34" s="351">
        <v>0.84375</v>
      </c>
      <c r="D34" s="352">
        <f>(C34-B34)</f>
        <v>3.125E-2</v>
      </c>
      <c r="E34" s="534" t="s">
        <v>199</v>
      </c>
      <c r="F34" s="538"/>
      <c r="G34" s="492"/>
      <c r="H34" s="29"/>
    </row>
    <row r="35" spans="1:8" ht="32.25" customHeight="1" thickBot="1" x14ac:dyDescent="0.3">
      <c r="A35" s="353"/>
      <c r="B35" s="354"/>
      <c r="C35" s="354"/>
      <c r="D35" s="354"/>
      <c r="E35" s="539"/>
      <c r="F35" s="540"/>
      <c r="G35" s="493"/>
      <c r="H35" s="29"/>
    </row>
    <row r="36" spans="1:8" ht="15.75" x14ac:dyDescent="0.2">
      <c r="A36" s="267">
        <v>43923</v>
      </c>
      <c r="B36" s="252">
        <v>0.58680555555555558</v>
      </c>
      <c r="C36" s="252">
        <v>0.60416666666666663</v>
      </c>
      <c r="D36" s="244">
        <f>(C36-B36)</f>
        <v>1.7361111111111049E-2</v>
      </c>
      <c r="E36" s="439" t="s">
        <v>98</v>
      </c>
      <c r="F36" s="478"/>
      <c r="G36" s="492"/>
      <c r="H36" s="29"/>
    </row>
    <row r="37" spans="1:8" ht="16.5" thickBot="1" x14ac:dyDescent="0.3">
      <c r="A37" s="271"/>
      <c r="B37" s="255"/>
      <c r="C37" s="255"/>
      <c r="D37" s="255"/>
      <c r="E37" s="440"/>
      <c r="F37" s="479"/>
      <c r="G37" s="493"/>
      <c r="H37" s="29"/>
    </row>
    <row r="38" spans="1:8" ht="15" customHeight="1" x14ac:dyDescent="0.2">
      <c r="A38" s="333">
        <v>43923</v>
      </c>
      <c r="B38" s="347">
        <v>0.79166666666666663</v>
      </c>
      <c r="C38" s="347">
        <v>0.82291666666666663</v>
      </c>
      <c r="D38" s="334">
        <f>(C38-B38)</f>
        <v>3.125E-2</v>
      </c>
      <c r="E38" s="520" t="s">
        <v>200</v>
      </c>
      <c r="F38" s="528"/>
      <c r="G38" s="492" t="s">
        <v>201</v>
      </c>
    </row>
    <row r="39" spans="1:8" ht="16.5" thickBot="1" x14ac:dyDescent="0.3">
      <c r="A39" s="355"/>
      <c r="B39" s="356"/>
      <c r="C39" s="356"/>
      <c r="D39" s="356"/>
      <c r="E39" s="521"/>
      <c r="F39" s="529"/>
      <c r="G39" s="493"/>
    </row>
    <row r="40" spans="1:8" ht="15.75" x14ac:dyDescent="0.2">
      <c r="A40" s="333">
        <v>43924</v>
      </c>
      <c r="B40" s="347">
        <v>0.56597222222222221</v>
      </c>
      <c r="C40" s="347">
        <v>0.59722222222222221</v>
      </c>
      <c r="D40" s="334">
        <f>(C40-B40)</f>
        <v>3.125E-2</v>
      </c>
      <c r="E40" s="520" t="s">
        <v>202</v>
      </c>
      <c r="F40" s="528"/>
      <c r="G40" s="492" t="s">
        <v>185</v>
      </c>
    </row>
    <row r="41" spans="1:8" ht="16.5" thickBot="1" x14ac:dyDescent="0.3">
      <c r="A41" s="355"/>
      <c r="B41" s="356"/>
      <c r="C41" s="356"/>
      <c r="D41" s="356"/>
      <c r="E41" s="521"/>
      <c r="F41" s="529"/>
      <c r="G41" s="493"/>
    </row>
    <row r="42" spans="1:8" ht="15.75" x14ac:dyDescent="0.2">
      <c r="A42" s="267">
        <v>43925</v>
      </c>
      <c r="B42" s="252">
        <v>0.58680555555555558</v>
      </c>
      <c r="C42" s="252">
        <v>0.60416666666666663</v>
      </c>
      <c r="D42" s="244">
        <f>(C42-B42)</f>
        <v>1.7361111111111049E-2</v>
      </c>
      <c r="E42" s="439" t="s">
        <v>98</v>
      </c>
      <c r="F42" s="476"/>
      <c r="G42" s="492"/>
    </row>
    <row r="43" spans="1:8" ht="16.5" thickBot="1" x14ac:dyDescent="0.3">
      <c r="A43" s="271"/>
      <c r="B43" s="255"/>
      <c r="C43" s="255"/>
      <c r="D43" s="255"/>
      <c r="E43" s="449"/>
      <c r="F43" s="477"/>
      <c r="G43" s="493"/>
    </row>
    <row r="44" spans="1:8" ht="15.75" x14ac:dyDescent="0.2">
      <c r="A44" s="342">
        <v>43926</v>
      </c>
      <c r="B44" s="343">
        <v>0.55555555555555558</v>
      </c>
      <c r="C44" s="343">
        <v>0.57291666666666663</v>
      </c>
      <c r="D44" s="344">
        <f>(C44-B44)</f>
        <v>1.7361111111111049E-2</v>
      </c>
      <c r="E44" s="530" t="s">
        <v>203</v>
      </c>
      <c r="F44" s="541"/>
      <c r="G44" s="492"/>
    </row>
    <row r="45" spans="1:8" ht="16.5" thickBot="1" x14ac:dyDescent="0.3">
      <c r="A45" s="357"/>
      <c r="B45" s="358"/>
      <c r="C45" s="358"/>
      <c r="D45" s="358"/>
      <c r="E45" s="542"/>
      <c r="F45" s="543"/>
      <c r="G45" s="493"/>
    </row>
    <row r="47" spans="1:8" ht="18" customHeight="1" x14ac:dyDescent="0.2"/>
    <row r="51" spans="1:7" ht="18.75" customHeight="1" thickBot="1" x14ac:dyDescent="0.4">
      <c r="A51" s="28" t="s">
        <v>26</v>
      </c>
      <c r="B51" s="28"/>
      <c r="C51" s="27"/>
      <c r="D51" s="27"/>
      <c r="E51" s="27"/>
      <c r="F51" s="98"/>
      <c r="G51" s="98"/>
    </row>
    <row r="52" spans="1:7" ht="12.75" customHeight="1" thickBot="1" x14ac:dyDescent="0.25">
      <c r="A52" s="234"/>
      <c r="B52" s="234"/>
      <c r="C52" s="234"/>
      <c r="D52" s="234"/>
      <c r="E52" s="234"/>
      <c r="F52" s="234"/>
      <c r="G52" s="234"/>
    </row>
    <row r="53" spans="1:7" ht="12.75" customHeight="1" x14ac:dyDescent="0.2">
      <c r="A53" s="494" t="s">
        <v>204</v>
      </c>
      <c r="B53" s="495"/>
      <c r="C53" s="495"/>
      <c r="D53" s="495"/>
      <c r="E53" s="495"/>
      <c r="F53" s="495"/>
      <c r="G53" s="496"/>
    </row>
    <row r="54" spans="1:7" ht="12.75" customHeight="1" x14ac:dyDescent="0.2">
      <c r="A54" s="497"/>
      <c r="B54" s="498"/>
      <c r="C54" s="498"/>
      <c r="D54" s="498"/>
      <c r="E54" s="498"/>
      <c r="F54" s="498"/>
      <c r="G54" s="499"/>
    </row>
    <row r="55" spans="1:7" ht="12.75" customHeight="1" x14ac:dyDescent="0.2">
      <c r="A55" s="497"/>
      <c r="B55" s="498"/>
      <c r="C55" s="498"/>
      <c r="D55" s="498"/>
      <c r="E55" s="498"/>
      <c r="F55" s="498"/>
      <c r="G55" s="499"/>
    </row>
    <row r="56" spans="1:7" ht="12.75" customHeight="1" x14ac:dyDescent="0.2">
      <c r="A56" s="497"/>
      <c r="B56" s="498"/>
      <c r="C56" s="498"/>
      <c r="D56" s="498"/>
      <c r="E56" s="498"/>
      <c r="F56" s="498"/>
      <c r="G56" s="499"/>
    </row>
    <row r="57" spans="1:7" ht="12.75" customHeight="1" x14ac:dyDescent="0.2">
      <c r="A57" s="497"/>
      <c r="B57" s="498"/>
      <c r="C57" s="498"/>
      <c r="D57" s="498"/>
      <c r="E57" s="498"/>
      <c r="F57" s="498"/>
      <c r="G57" s="499"/>
    </row>
    <row r="58" spans="1:7" ht="12.75" customHeight="1" x14ac:dyDescent="0.2">
      <c r="A58" s="497"/>
      <c r="B58" s="498"/>
      <c r="C58" s="498"/>
      <c r="D58" s="498"/>
      <c r="E58" s="498"/>
      <c r="F58" s="498"/>
      <c r="G58" s="499"/>
    </row>
    <row r="59" spans="1:7" ht="12.75" customHeight="1" x14ac:dyDescent="0.2">
      <c r="A59" s="497"/>
      <c r="B59" s="498"/>
      <c r="C59" s="498"/>
      <c r="D59" s="498"/>
      <c r="E59" s="498"/>
      <c r="F59" s="498"/>
      <c r="G59" s="499"/>
    </row>
    <row r="60" spans="1:7" ht="12.75" customHeight="1" x14ac:dyDescent="0.2">
      <c r="A60" s="497"/>
      <c r="B60" s="498"/>
      <c r="C60" s="498"/>
      <c r="D60" s="498"/>
      <c r="E60" s="498"/>
      <c r="F60" s="498"/>
      <c r="G60" s="499"/>
    </row>
    <row r="61" spans="1:7" ht="12.6" customHeight="1" x14ac:dyDescent="0.2">
      <c r="A61" s="497"/>
      <c r="B61" s="498"/>
      <c r="C61" s="498"/>
      <c r="D61" s="498"/>
      <c r="E61" s="498"/>
      <c r="F61" s="498"/>
      <c r="G61" s="499"/>
    </row>
    <row r="62" spans="1:7" ht="12.75" customHeight="1" x14ac:dyDescent="0.2">
      <c r="A62" s="497"/>
      <c r="B62" s="498"/>
      <c r="C62" s="498"/>
      <c r="D62" s="498"/>
      <c r="E62" s="498"/>
      <c r="F62" s="498"/>
      <c r="G62" s="499"/>
    </row>
    <row r="63" spans="1:7" ht="12.75" customHeight="1" x14ac:dyDescent="0.2">
      <c r="A63" s="497"/>
      <c r="B63" s="498"/>
      <c r="C63" s="498"/>
      <c r="D63" s="498"/>
      <c r="E63" s="498"/>
      <c r="F63" s="498"/>
      <c r="G63" s="499"/>
    </row>
    <row r="64" spans="1:7" ht="12.75" customHeight="1" x14ac:dyDescent="0.2">
      <c r="A64" s="497"/>
      <c r="B64" s="498"/>
      <c r="C64" s="498"/>
      <c r="D64" s="498"/>
      <c r="E64" s="498"/>
      <c r="F64" s="498"/>
      <c r="G64" s="499"/>
    </row>
    <row r="65" spans="1:7" ht="12.75" customHeight="1" x14ac:dyDescent="0.2">
      <c r="A65" s="497"/>
      <c r="B65" s="498"/>
      <c r="C65" s="498"/>
      <c r="D65" s="498"/>
      <c r="E65" s="498"/>
      <c r="F65" s="498"/>
      <c r="G65" s="499"/>
    </row>
    <row r="66" spans="1:7" ht="12.75" customHeight="1" x14ac:dyDescent="0.2">
      <c r="A66" s="497"/>
      <c r="B66" s="498"/>
      <c r="C66" s="498"/>
      <c r="D66" s="498"/>
      <c r="E66" s="498"/>
      <c r="F66" s="498"/>
      <c r="G66" s="499"/>
    </row>
    <row r="67" spans="1:7" ht="12.75" customHeight="1" x14ac:dyDescent="0.2">
      <c r="A67" s="497"/>
      <c r="B67" s="498"/>
      <c r="C67" s="498"/>
      <c r="D67" s="498"/>
      <c r="E67" s="498"/>
      <c r="F67" s="498"/>
      <c r="G67" s="499"/>
    </row>
    <row r="68" spans="1:7" ht="12.75" customHeight="1" x14ac:dyDescent="0.2">
      <c r="A68" s="497"/>
      <c r="B68" s="498"/>
      <c r="C68" s="498"/>
      <c r="D68" s="498"/>
      <c r="E68" s="498"/>
      <c r="F68" s="498"/>
      <c r="G68" s="499"/>
    </row>
    <row r="69" spans="1:7" ht="12.75" customHeight="1" x14ac:dyDescent="0.2">
      <c r="A69" s="497"/>
      <c r="B69" s="498"/>
      <c r="C69" s="498"/>
      <c r="D69" s="498"/>
      <c r="E69" s="498"/>
      <c r="F69" s="498"/>
      <c r="G69" s="499"/>
    </row>
    <row r="70" spans="1:7" ht="12.6" customHeight="1" x14ac:dyDescent="0.2">
      <c r="A70" s="497"/>
      <c r="B70" s="498"/>
      <c r="C70" s="498"/>
      <c r="D70" s="498"/>
      <c r="E70" s="498"/>
      <c r="F70" s="498"/>
      <c r="G70" s="499"/>
    </row>
    <row r="71" spans="1:7" ht="12.6" customHeight="1" x14ac:dyDescent="0.2">
      <c r="A71" s="497"/>
      <c r="B71" s="498"/>
      <c r="C71" s="498"/>
      <c r="D71" s="498"/>
      <c r="E71" s="498"/>
      <c r="F71" s="498"/>
      <c r="G71" s="499"/>
    </row>
    <row r="72" spans="1:7" ht="12.6" customHeight="1" x14ac:dyDescent="0.2">
      <c r="A72" s="497"/>
      <c r="B72" s="498"/>
      <c r="C72" s="498"/>
      <c r="D72" s="498"/>
      <c r="E72" s="498"/>
      <c r="F72" s="498"/>
      <c r="G72" s="499"/>
    </row>
    <row r="73" spans="1:7" ht="12.6" customHeight="1" x14ac:dyDescent="0.2">
      <c r="A73" s="497"/>
      <c r="B73" s="498"/>
      <c r="C73" s="498"/>
      <c r="D73" s="498"/>
      <c r="E73" s="498"/>
      <c r="F73" s="498"/>
      <c r="G73" s="499"/>
    </row>
    <row r="74" spans="1:7" ht="12.6" customHeight="1" x14ac:dyDescent="0.2">
      <c r="A74" s="497"/>
      <c r="B74" s="498"/>
      <c r="C74" s="498"/>
      <c r="D74" s="498"/>
      <c r="E74" s="498"/>
      <c r="F74" s="498"/>
      <c r="G74" s="499"/>
    </row>
    <row r="75" spans="1:7" ht="12.6" customHeight="1" x14ac:dyDescent="0.2">
      <c r="A75" s="497"/>
      <c r="B75" s="498"/>
      <c r="C75" s="498"/>
      <c r="D75" s="498"/>
      <c r="E75" s="498"/>
      <c r="F75" s="498"/>
      <c r="G75" s="499"/>
    </row>
    <row r="76" spans="1:7" ht="12.6" customHeight="1" x14ac:dyDescent="0.2">
      <c r="A76" s="497"/>
      <c r="B76" s="498"/>
      <c r="C76" s="498"/>
      <c r="D76" s="498"/>
      <c r="E76" s="498"/>
      <c r="F76" s="498"/>
      <c r="G76" s="499"/>
    </row>
    <row r="77" spans="1:7" ht="12.6" customHeight="1" x14ac:dyDescent="0.2">
      <c r="A77" s="497"/>
      <c r="B77" s="498"/>
      <c r="C77" s="498"/>
      <c r="D77" s="498"/>
      <c r="E77" s="498"/>
      <c r="F77" s="498"/>
      <c r="G77" s="499"/>
    </row>
    <row r="78" spans="1:7" ht="12.6" customHeight="1" x14ac:dyDescent="0.2">
      <c r="A78" s="497"/>
      <c r="B78" s="498"/>
      <c r="C78" s="498"/>
      <c r="D78" s="498"/>
      <c r="E78" s="498"/>
      <c r="F78" s="498"/>
      <c r="G78" s="499"/>
    </row>
    <row r="79" spans="1:7" ht="12.6" customHeight="1" x14ac:dyDescent="0.2">
      <c r="A79" s="497"/>
      <c r="B79" s="498"/>
      <c r="C79" s="498"/>
      <c r="D79" s="498"/>
      <c r="E79" s="498"/>
      <c r="F79" s="498"/>
      <c r="G79" s="499"/>
    </row>
    <row r="80" spans="1:7" ht="12.6" customHeight="1" x14ac:dyDescent="0.2">
      <c r="A80" s="497"/>
      <c r="B80" s="498"/>
      <c r="C80" s="498"/>
      <c r="D80" s="498"/>
      <c r="E80" s="498"/>
      <c r="F80" s="498"/>
      <c r="G80" s="499"/>
    </row>
    <row r="81" spans="1:7" ht="13.15" customHeight="1" x14ac:dyDescent="0.2">
      <c r="A81" s="497"/>
      <c r="B81" s="498"/>
      <c r="C81" s="498"/>
      <c r="D81" s="498"/>
      <c r="E81" s="498"/>
      <c r="F81" s="498"/>
      <c r="G81" s="499"/>
    </row>
    <row r="82" spans="1:7" ht="12.75" customHeight="1" x14ac:dyDescent="0.2">
      <c r="A82" s="497"/>
      <c r="B82" s="498"/>
      <c r="C82" s="498"/>
      <c r="D82" s="498"/>
      <c r="E82" s="498"/>
      <c r="F82" s="498"/>
      <c r="G82" s="499"/>
    </row>
    <row r="83" spans="1:7" ht="12.75" customHeight="1" x14ac:dyDescent="0.2">
      <c r="A83" s="497"/>
      <c r="B83" s="498"/>
      <c r="C83" s="498"/>
      <c r="D83" s="498"/>
      <c r="E83" s="498"/>
      <c r="F83" s="498"/>
      <c r="G83" s="499"/>
    </row>
    <row r="84" spans="1:7" ht="12.75" customHeight="1" x14ac:dyDescent="0.2">
      <c r="A84" s="497"/>
      <c r="B84" s="498"/>
      <c r="C84" s="498"/>
      <c r="D84" s="498"/>
      <c r="E84" s="498"/>
      <c r="F84" s="498"/>
      <c r="G84" s="499"/>
    </row>
    <row r="85" spans="1:7" ht="12.75" customHeight="1" x14ac:dyDescent="0.2">
      <c r="A85" s="497"/>
      <c r="B85" s="498"/>
      <c r="C85" s="498"/>
      <c r="D85" s="498"/>
      <c r="E85" s="498"/>
      <c r="F85" s="498"/>
      <c r="G85" s="499"/>
    </row>
    <row r="86" spans="1:7" ht="12.75" customHeight="1" x14ac:dyDescent="0.2">
      <c r="A86" s="497"/>
      <c r="B86" s="498"/>
      <c r="C86" s="498"/>
      <c r="D86" s="498"/>
      <c r="E86" s="498"/>
      <c r="F86" s="498"/>
      <c r="G86" s="499"/>
    </row>
    <row r="87" spans="1:7" ht="12.75" customHeight="1" x14ac:dyDescent="0.2">
      <c r="A87" s="497"/>
      <c r="B87" s="498"/>
      <c r="C87" s="498"/>
      <c r="D87" s="498"/>
      <c r="E87" s="498"/>
      <c r="F87" s="498"/>
      <c r="G87" s="499"/>
    </row>
    <row r="88" spans="1:7" ht="12.75" customHeight="1" x14ac:dyDescent="0.2">
      <c r="A88" s="497"/>
      <c r="B88" s="498"/>
      <c r="C88" s="498"/>
      <c r="D88" s="498"/>
      <c r="E88" s="498"/>
      <c r="F88" s="498"/>
      <c r="G88" s="499"/>
    </row>
    <row r="89" spans="1:7" ht="12.75" customHeight="1" x14ac:dyDescent="0.2">
      <c r="A89" s="497"/>
      <c r="B89" s="498"/>
      <c r="C89" s="498"/>
      <c r="D89" s="498"/>
      <c r="E89" s="498"/>
      <c r="F89" s="498"/>
      <c r="G89" s="499"/>
    </row>
    <row r="90" spans="1:7" ht="12.75" customHeight="1" x14ac:dyDescent="0.2">
      <c r="A90" s="497"/>
      <c r="B90" s="498"/>
      <c r="C90" s="498"/>
      <c r="D90" s="498"/>
      <c r="E90" s="498"/>
      <c r="F90" s="498"/>
      <c r="G90" s="499"/>
    </row>
    <row r="91" spans="1:7" ht="12.75" customHeight="1" x14ac:dyDescent="0.2">
      <c r="A91" s="497"/>
      <c r="B91" s="498"/>
      <c r="C91" s="498"/>
      <c r="D91" s="498"/>
      <c r="E91" s="498"/>
      <c r="F91" s="498"/>
      <c r="G91" s="499"/>
    </row>
    <row r="92" spans="1:7" ht="12.75" customHeight="1" x14ac:dyDescent="0.2">
      <c r="A92" s="497"/>
      <c r="B92" s="498"/>
      <c r="C92" s="498"/>
      <c r="D92" s="498"/>
      <c r="E92" s="498"/>
      <c r="F92" s="498"/>
      <c r="G92" s="499"/>
    </row>
    <row r="93" spans="1:7" ht="12.75" customHeight="1" x14ac:dyDescent="0.2">
      <c r="A93" s="497"/>
      <c r="B93" s="498"/>
      <c r="C93" s="498"/>
      <c r="D93" s="498"/>
      <c r="E93" s="498"/>
      <c r="F93" s="498"/>
      <c r="G93" s="499"/>
    </row>
    <row r="94" spans="1:7" ht="12.75" customHeight="1" x14ac:dyDescent="0.2">
      <c r="A94" s="497"/>
      <c r="B94" s="498"/>
      <c r="C94" s="498"/>
      <c r="D94" s="498"/>
      <c r="E94" s="498"/>
      <c r="F94" s="498"/>
      <c r="G94" s="499"/>
    </row>
    <row r="95" spans="1:7" ht="12.75" customHeight="1" x14ac:dyDescent="0.2">
      <c r="A95" s="497"/>
      <c r="B95" s="498"/>
      <c r="C95" s="498"/>
      <c r="D95" s="498"/>
      <c r="E95" s="498"/>
      <c r="F95" s="498"/>
      <c r="G95" s="499"/>
    </row>
    <row r="96" spans="1:7" ht="12.75" customHeight="1" x14ac:dyDescent="0.2">
      <c r="A96" s="497"/>
      <c r="B96" s="498"/>
      <c r="C96" s="498"/>
      <c r="D96" s="498"/>
      <c r="E96" s="498"/>
      <c r="F96" s="498"/>
      <c r="G96" s="499"/>
    </row>
    <row r="97" spans="1:8" ht="12.75" customHeight="1" x14ac:dyDescent="0.2">
      <c r="A97" s="497"/>
      <c r="B97" s="498"/>
      <c r="C97" s="498"/>
      <c r="D97" s="498"/>
      <c r="E97" s="498"/>
      <c r="F97" s="498"/>
      <c r="G97" s="499"/>
    </row>
    <row r="98" spans="1:8" ht="12.75" customHeight="1" x14ac:dyDescent="0.2">
      <c r="A98" s="497"/>
      <c r="B98" s="498"/>
      <c r="C98" s="498"/>
      <c r="D98" s="498"/>
      <c r="E98" s="498"/>
      <c r="F98" s="498"/>
      <c r="G98" s="499"/>
    </row>
    <row r="99" spans="1:8" ht="12.75" customHeight="1" x14ac:dyDescent="0.2">
      <c r="A99" s="497"/>
      <c r="B99" s="498"/>
      <c r="C99" s="498"/>
      <c r="D99" s="498"/>
      <c r="E99" s="498"/>
      <c r="F99" s="498"/>
      <c r="G99" s="499"/>
      <c r="H99" s="5"/>
    </row>
    <row r="100" spans="1:8" ht="12.75" customHeight="1" x14ac:dyDescent="0.2">
      <c r="A100" s="497"/>
      <c r="B100" s="498"/>
      <c r="C100" s="498"/>
      <c r="D100" s="498"/>
      <c r="E100" s="498"/>
      <c r="F100" s="498"/>
      <c r="G100" s="499"/>
      <c r="H100" s="5"/>
    </row>
    <row r="101" spans="1:8" ht="12.75" customHeight="1" x14ac:dyDescent="0.2">
      <c r="A101" s="497"/>
      <c r="B101" s="498"/>
      <c r="C101" s="498"/>
      <c r="D101" s="498"/>
      <c r="E101" s="498"/>
      <c r="F101" s="498"/>
      <c r="G101" s="499"/>
      <c r="H101" s="5"/>
    </row>
    <row r="102" spans="1:8" ht="12.75" customHeight="1" x14ac:dyDescent="0.2">
      <c r="A102" s="497"/>
      <c r="B102" s="498"/>
      <c r="C102" s="498"/>
      <c r="D102" s="498"/>
      <c r="E102" s="498"/>
      <c r="F102" s="498"/>
      <c r="G102" s="499"/>
      <c r="H102" s="5"/>
    </row>
    <row r="103" spans="1:8" ht="12.75" customHeight="1" x14ac:dyDescent="0.2">
      <c r="A103" s="497"/>
      <c r="B103" s="498"/>
      <c r="C103" s="498"/>
      <c r="D103" s="498"/>
      <c r="E103" s="498"/>
      <c r="F103" s="498"/>
      <c r="G103" s="499"/>
      <c r="H103" s="5"/>
    </row>
    <row r="104" spans="1:8" ht="12.75" customHeight="1" x14ac:dyDescent="0.2">
      <c r="A104" s="497"/>
      <c r="B104" s="498"/>
      <c r="C104" s="498"/>
      <c r="D104" s="498"/>
      <c r="E104" s="498"/>
      <c r="F104" s="498"/>
      <c r="G104" s="499"/>
      <c r="H104" s="5"/>
    </row>
    <row r="105" spans="1:8" ht="12.75" customHeight="1" x14ac:dyDescent="0.2">
      <c r="A105" s="497"/>
      <c r="B105" s="498"/>
      <c r="C105" s="498"/>
      <c r="D105" s="498"/>
      <c r="E105" s="498"/>
      <c r="F105" s="498"/>
      <c r="G105" s="499"/>
      <c r="H105" s="5"/>
    </row>
    <row r="106" spans="1:8" ht="12.75" customHeight="1" x14ac:dyDescent="0.2">
      <c r="A106" s="497"/>
      <c r="B106" s="498"/>
      <c r="C106" s="498"/>
      <c r="D106" s="498"/>
      <c r="E106" s="498"/>
      <c r="F106" s="498"/>
      <c r="G106" s="499"/>
      <c r="H106" s="5"/>
    </row>
    <row r="107" spans="1:8" ht="12.75" customHeight="1" x14ac:dyDescent="0.2">
      <c r="A107" s="497"/>
      <c r="B107" s="498"/>
      <c r="C107" s="498"/>
      <c r="D107" s="498"/>
      <c r="E107" s="498"/>
      <c r="F107" s="498"/>
      <c r="G107" s="499"/>
      <c r="H107" s="5"/>
    </row>
    <row r="108" spans="1:8" ht="12.75" customHeight="1" x14ac:dyDescent="0.2">
      <c r="A108" s="497"/>
      <c r="B108" s="498"/>
      <c r="C108" s="498"/>
      <c r="D108" s="498"/>
      <c r="E108" s="498"/>
      <c r="F108" s="498"/>
      <c r="G108" s="499"/>
      <c r="H108" s="5"/>
    </row>
    <row r="109" spans="1:8" ht="12.75" customHeight="1" x14ac:dyDescent="0.2">
      <c r="A109" s="497"/>
      <c r="B109" s="498"/>
      <c r="C109" s="498"/>
      <c r="D109" s="498"/>
      <c r="E109" s="498"/>
      <c r="F109" s="498"/>
      <c r="G109" s="499"/>
      <c r="H109" s="5"/>
    </row>
    <row r="110" spans="1:8" ht="12.75" customHeight="1" x14ac:dyDescent="0.2">
      <c r="A110" s="497"/>
      <c r="B110" s="498"/>
      <c r="C110" s="498"/>
      <c r="D110" s="498"/>
      <c r="E110" s="498"/>
      <c r="F110" s="498"/>
      <c r="G110" s="499"/>
      <c r="H110" s="5"/>
    </row>
    <row r="111" spans="1:8" ht="12.75" customHeight="1" x14ac:dyDescent="0.2">
      <c r="A111" s="497"/>
      <c r="B111" s="498"/>
      <c r="C111" s="498"/>
      <c r="D111" s="498"/>
      <c r="E111" s="498"/>
      <c r="F111" s="498"/>
      <c r="G111" s="499"/>
      <c r="H111" s="5"/>
    </row>
    <row r="112" spans="1:8" ht="12.75" customHeight="1" x14ac:dyDescent="0.2">
      <c r="A112" s="497"/>
      <c r="B112" s="498"/>
      <c r="C112" s="498"/>
      <c r="D112" s="498"/>
      <c r="E112" s="498"/>
      <c r="F112" s="498"/>
      <c r="G112" s="499"/>
      <c r="H112" s="5"/>
    </row>
    <row r="113" spans="1:8" ht="12.75" customHeight="1" thickBot="1" x14ac:dyDescent="0.25">
      <c r="A113" s="500"/>
      <c r="B113" s="501"/>
      <c r="C113" s="501"/>
      <c r="D113" s="501"/>
      <c r="E113" s="501"/>
      <c r="F113" s="501"/>
      <c r="G113" s="502"/>
      <c r="H113" s="5"/>
    </row>
    <row r="114" spans="1:8" ht="12.75" customHeight="1" x14ac:dyDescent="0.2">
      <c r="H114" s="5"/>
    </row>
    <row r="115" spans="1:8" ht="13.5" customHeight="1" x14ac:dyDescent="0.2"/>
    <row r="116" spans="1:8" ht="18.75" customHeight="1" x14ac:dyDescent="0.2"/>
    <row r="117" spans="1:8" ht="12.75" customHeight="1" x14ac:dyDescent="0.2"/>
    <row r="118" spans="1:8" ht="12.75" customHeight="1" x14ac:dyDescent="0.2"/>
    <row r="119" spans="1:8" ht="12.75" customHeight="1" x14ac:dyDescent="0.2"/>
    <row r="120" spans="1:8" ht="12.75" customHeight="1" x14ac:dyDescent="0.2"/>
    <row r="121" spans="1:8" ht="12.75" customHeight="1" x14ac:dyDescent="0.2"/>
    <row r="122" spans="1:8" ht="12.75" customHeight="1" x14ac:dyDescent="0.2"/>
    <row r="123" spans="1:8" ht="12.75" customHeight="1" x14ac:dyDescent="0.2"/>
    <row r="124" spans="1:8" ht="12.75" customHeight="1" x14ac:dyDescent="0.2"/>
    <row r="125" spans="1:8" ht="12.75" customHeight="1" x14ac:dyDescent="0.2"/>
    <row r="126" spans="1:8" ht="12.75" customHeight="1" x14ac:dyDescent="0.2"/>
    <row r="127" spans="1:8" ht="12.75" customHeight="1" x14ac:dyDescent="0.2"/>
    <row r="128" spans="1:8" ht="12.75" customHeight="1" x14ac:dyDescent="0.2"/>
    <row r="129" ht="12.75" customHeight="1" x14ac:dyDescent="0.2"/>
    <row r="130" ht="12.75" customHeight="1" x14ac:dyDescent="0.2"/>
    <row r="131" ht="12.75" customHeight="1" x14ac:dyDescent="0.2"/>
    <row r="132" ht="13.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41">
    <mergeCell ref="A53:G113"/>
    <mergeCell ref="E42:F43"/>
    <mergeCell ref="G42:G43"/>
    <mergeCell ref="E44:F45"/>
    <mergeCell ref="G44:G45"/>
    <mergeCell ref="E36:F37"/>
    <mergeCell ref="G36:G37"/>
    <mergeCell ref="E38:F39"/>
    <mergeCell ref="G38:G39"/>
    <mergeCell ref="E40:F41"/>
    <mergeCell ref="G40:G41"/>
    <mergeCell ref="E30:F31"/>
    <mergeCell ref="G30:G31"/>
    <mergeCell ref="E32:F33"/>
    <mergeCell ref="G32:G33"/>
    <mergeCell ref="E34:F35"/>
    <mergeCell ref="G34:G35"/>
    <mergeCell ref="E24:F25"/>
    <mergeCell ref="G24:G25"/>
    <mergeCell ref="E26:F27"/>
    <mergeCell ref="G26:G27"/>
    <mergeCell ref="E28:F29"/>
    <mergeCell ref="G28:G29"/>
    <mergeCell ref="E18:F19"/>
    <mergeCell ref="G18:G19"/>
    <mergeCell ref="E20:F21"/>
    <mergeCell ref="G20:G21"/>
    <mergeCell ref="E22:F23"/>
    <mergeCell ref="G22:G23"/>
    <mergeCell ref="E12:F13"/>
    <mergeCell ref="G12:G13"/>
    <mergeCell ref="E14:F15"/>
    <mergeCell ref="G14:G15"/>
    <mergeCell ref="E16:F17"/>
    <mergeCell ref="G16:G17"/>
    <mergeCell ref="A1:D1"/>
    <mergeCell ref="A4:A5"/>
    <mergeCell ref="C4:C5"/>
    <mergeCell ref="J4:J5"/>
    <mergeCell ref="E10:F11"/>
    <mergeCell ref="G10:G11"/>
  </mergeCells>
  <conditionalFormatting sqref="I19 H20:I20 I21 H24">
    <cfRule type="expression" dxfId="33" priority="3">
      <formula>ISNUMBER(SEARCH(TEXT(#REF!,"ddd"),#REF!))</formula>
    </cfRule>
  </conditionalFormatting>
  <conditionalFormatting sqref="A22:D22 A14:D14 A16:D16 A24:C24 A18:D18">
    <cfRule type="expression" dxfId="32" priority="4">
      <formula>ISNUMBER(SEARCH(TEXT(#REF!,"ddd"),#REF!))</formula>
    </cfRule>
  </conditionalFormatting>
  <conditionalFormatting sqref="K22:K24">
    <cfRule type="expression" dxfId="31" priority="5">
      <formula>ISNUMBER(SEARCH(TEXT(#REF!,"ddd"),#REF!))</formula>
    </cfRule>
  </conditionalFormatting>
  <conditionalFormatting sqref="D20">
    <cfRule type="expression" dxfId="30" priority="2">
      <formula>ISNUMBER(SEARCH(TEXT(#REF!,"ddd"),#REF!))</formula>
    </cfRule>
  </conditionalFormatting>
  <conditionalFormatting sqref="A20:C20">
    <cfRule type="expression" dxfId="29" priority="1">
      <formula>ISNUMBER(SEARCH(TEXT(#REF!,"ddd"),#REF!))</formula>
    </cfRule>
  </conditionalFormatting>
  <dataValidations count="2">
    <dataValidation type="custom" allowBlank="1" showInputMessage="1" showErrorMessage="1" sqref="B16:C16 B18:C18 B20:C20 B24:C24 B22:C22 B14" xr:uid="{5D364909-88BC-40B2-AECA-4098FE380891}">
      <formula1>AND($B14&lt;=1,ISNUMBER($B14))</formula1>
    </dataValidation>
    <dataValidation type="custom" allowBlank="1" showInputMessage="1" showErrorMessage="1" sqref="C14" xr:uid="{DEEFD062-6190-43F7-89B7-B226BEE85D1A}">
      <formula1>AND($C14&lt;=1,ISNUMBER($C14),($C14&gt;=$B14))</formula1>
    </dataValidation>
  </dataValidations>
  <pageMargins left="0.23622047244094491" right="0.23622047244094491" top="0.74803149606299213" bottom="0.74803149606299213" header="0.31496062992125984" footer="0.31496062992125984"/>
  <pageSetup paperSize="9" scale="85" fitToHeight="0"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90A0-1BE9-4A8F-B4FF-6F9D5B2389D1}">
  <sheetPr codeName="Sheet21"/>
  <dimension ref="A1:L212"/>
  <sheetViews>
    <sheetView showGridLines="0" zoomScaleNormal="100" workbookViewId="0">
      <selection activeCell="C7" sqref="C7"/>
    </sheetView>
  </sheetViews>
  <sheetFormatPr baseColWidth="10" defaultColWidth="9" defaultRowHeight="12.75" x14ac:dyDescent="0.2"/>
  <cols>
    <col min="1" max="1" width="13.37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2" ht="27" thickTop="1" x14ac:dyDescent="0.4">
      <c r="A1" s="419" t="s">
        <v>49</v>
      </c>
      <c r="B1" s="419"/>
      <c r="C1" s="419"/>
      <c r="D1" s="419"/>
      <c r="E1" s="45">
        <f>WEEKNUM(A10)</f>
        <v>15</v>
      </c>
      <c r="F1" s="46"/>
      <c r="G1" s="47"/>
      <c r="H1" s="26"/>
      <c r="J1" s="1"/>
    </row>
    <row r="2" spans="1:12" s="1" customFormat="1" ht="14.25" customHeight="1" x14ac:dyDescent="0.25">
      <c r="A2" s="38" t="s">
        <v>1</v>
      </c>
      <c r="B2" s="38"/>
      <c r="C2" s="38" t="s">
        <v>2</v>
      </c>
      <c r="D2" s="38"/>
      <c r="E2" s="250" t="s">
        <v>3</v>
      </c>
      <c r="F2" s="44" t="s">
        <v>4</v>
      </c>
      <c r="G2" s="44" t="s">
        <v>29</v>
      </c>
      <c r="H2" s="20"/>
      <c r="I2" s="13"/>
      <c r="J2" s="6"/>
      <c r="K2" s="1" t="s">
        <v>69</v>
      </c>
    </row>
    <row r="3" spans="1:12" ht="16.5" thickBot="1" x14ac:dyDescent="0.25">
      <c r="A3" s="274">
        <f>A10</f>
        <v>43927</v>
      </c>
      <c r="B3" s="382"/>
      <c r="C3" s="274">
        <f>A10</f>
        <v>43927</v>
      </c>
      <c r="D3" s="382"/>
      <c r="E3" s="249" t="s">
        <v>6</v>
      </c>
      <c r="F3" s="261">
        <f>Sumcolor(E3,D10:D46)</f>
        <v>0</v>
      </c>
      <c r="G3" s="259">
        <f>SUM(Først:Sist!F3)</f>
        <v>0.93402777777777768</v>
      </c>
      <c r="H3" s="22"/>
      <c r="I3" s="7"/>
      <c r="J3" s="7"/>
      <c r="K3" t="s">
        <v>70</v>
      </c>
    </row>
    <row r="4" spans="1:12" ht="15" customHeight="1" x14ac:dyDescent="0.2">
      <c r="A4" s="420" t="s">
        <v>96</v>
      </c>
      <c r="B4" s="383"/>
      <c r="C4" s="420" t="s">
        <v>51</v>
      </c>
      <c r="D4" s="384"/>
      <c r="E4" s="246" t="s">
        <v>9</v>
      </c>
      <c r="F4" s="261">
        <f>Sumcolor(E4,D10:D46)</f>
        <v>0</v>
      </c>
      <c r="G4" s="259">
        <f>SUM(Først:Sist!F4)</f>
        <v>6.5486111111111125</v>
      </c>
      <c r="H4" s="22"/>
      <c r="I4" s="7"/>
      <c r="J4" s="399"/>
    </row>
    <row r="5" spans="1:12" ht="15.75" x14ac:dyDescent="0.2">
      <c r="A5" s="447"/>
      <c r="B5" s="384"/>
      <c r="C5" s="421"/>
      <c r="D5" s="384"/>
      <c r="E5" s="247" t="s">
        <v>10</v>
      </c>
      <c r="F5" s="261">
        <f>Sumcolor(E5,D10:D46)</f>
        <v>2.7777777777777679E-2</v>
      </c>
      <c r="G5" s="259">
        <f>SUM(Først:Sist!F5)</f>
        <v>1.3368055555555545</v>
      </c>
      <c r="H5" s="22"/>
      <c r="I5" s="7"/>
      <c r="J5" s="399"/>
      <c r="K5" t="s">
        <v>71</v>
      </c>
    </row>
    <row r="6" spans="1:12" ht="18.75" customHeight="1" thickBot="1" x14ac:dyDescent="0.25">
      <c r="A6" s="328">
        <f>SUM(D10:D46)</f>
        <v>3.4722222222221988E-2</v>
      </c>
      <c r="B6" s="40"/>
      <c r="C6" s="240">
        <f>SUM('Først:Uke15'!A6)</f>
        <v>7.2326388888888875</v>
      </c>
      <c r="D6" s="42"/>
      <c r="E6" s="248" t="s">
        <v>11</v>
      </c>
      <c r="F6" s="260">
        <f>Sumcolor(E6,D10:D46)</f>
        <v>6.9444444444443088E-3</v>
      </c>
      <c r="G6" s="260">
        <f>SUM(Først:Sist!F6)</f>
        <v>2.4791666666666661</v>
      </c>
      <c r="H6" s="22"/>
      <c r="I6" s="7"/>
      <c r="J6" s="7"/>
      <c r="K6" t="s">
        <v>72</v>
      </c>
    </row>
    <row r="7" spans="1:12" ht="12.75" customHeight="1" x14ac:dyDescent="0.2">
      <c r="A7" s="19"/>
      <c r="B7" s="23"/>
      <c r="C7" s="24"/>
      <c r="D7" s="14"/>
      <c r="E7" s="23"/>
      <c r="F7" s="23"/>
      <c r="G7" s="25"/>
      <c r="H7" s="25"/>
    </row>
    <row r="8" spans="1:12" x14ac:dyDescent="0.2">
      <c r="A8" s="23"/>
      <c r="B8" s="25"/>
      <c r="C8" s="14"/>
      <c r="D8" s="25"/>
      <c r="E8" s="23"/>
      <c r="F8" s="23"/>
      <c r="G8" s="25"/>
      <c r="H8" s="25"/>
      <c r="K8" t="s">
        <v>73</v>
      </c>
    </row>
    <row r="9" spans="1:12" ht="16.5" thickBot="1" x14ac:dyDescent="0.3">
      <c r="A9" s="30" t="s">
        <v>15</v>
      </c>
      <c r="B9" s="30" t="s">
        <v>18</v>
      </c>
      <c r="C9" s="30" t="s">
        <v>19</v>
      </c>
      <c r="D9" s="30" t="s">
        <v>20</v>
      </c>
      <c r="E9" s="30" t="s">
        <v>21</v>
      </c>
      <c r="G9" s="30" t="s">
        <v>42</v>
      </c>
      <c r="H9" s="25"/>
      <c r="K9" t="s">
        <v>74</v>
      </c>
    </row>
    <row r="10" spans="1:12" ht="15.6" customHeight="1" x14ac:dyDescent="0.25">
      <c r="A10" s="322">
        <v>43927</v>
      </c>
      <c r="B10" s="323">
        <v>0.59027777777777779</v>
      </c>
      <c r="C10" s="323">
        <v>0.60416666666666663</v>
      </c>
      <c r="D10" s="324">
        <f>(C10-B10)</f>
        <v>1.388888888888884E-2</v>
      </c>
      <c r="E10" s="507" t="s">
        <v>98</v>
      </c>
      <c r="F10" s="508"/>
      <c r="G10" s="492"/>
      <c r="H10" s="25"/>
    </row>
    <row r="11" spans="1:12" ht="18" customHeight="1" thickBot="1" x14ac:dyDescent="0.3">
      <c r="A11" s="325"/>
      <c r="B11" s="326"/>
      <c r="C11" s="326"/>
      <c r="D11" s="327"/>
      <c r="E11" s="509"/>
      <c r="F11" s="510"/>
      <c r="G11" s="493"/>
      <c r="H11" s="25"/>
      <c r="K11" t="s">
        <v>76</v>
      </c>
    </row>
    <row r="12" spans="1:12" ht="17.25" customHeight="1" x14ac:dyDescent="0.25">
      <c r="A12" s="322">
        <v>43929</v>
      </c>
      <c r="B12" s="323">
        <v>0.58333333333333337</v>
      </c>
      <c r="C12" s="323">
        <v>0.59722222222222221</v>
      </c>
      <c r="D12" s="324">
        <f>(C12-B12)</f>
        <v>1.388888888888884E-2</v>
      </c>
      <c r="E12" s="515" t="s">
        <v>98</v>
      </c>
      <c r="F12" s="516"/>
      <c r="G12" s="492"/>
      <c r="K12" t="s">
        <v>78</v>
      </c>
    </row>
    <row r="13" spans="1:12" ht="15.6" customHeight="1" thickBot="1" x14ac:dyDescent="0.3">
      <c r="A13" s="332"/>
      <c r="B13" s="327"/>
      <c r="C13" s="327"/>
      <c r="D13" s="327"/>
      <c r="E13" s="517"/>
      <c r="F13" s="518"/>
      <c r="G13" s="493"/>
    </row>
    <row r="14" spans="1:12" ht="15.75" customHeight="1" x14ac:dyDescent="0.25">
      <c r="A14" s="359">
        <v>43933</v>
      </c>
      <c r="B14" s="360">
        <v>0.89236111111111116</v>
      </c>
      <c r="C14" s="360">
        <v>0.89930555555555547</v>
      </c>
      <c r="D14" s="361">
        <f>(C14-B14)</f>
        <v>6.9444444444443088E-3</v>
      </c>
      <c r="E14" s="544" t="s">
        <v>205</v>
      </c>
      <c r="F14" s="545"/>
      <c r="G14" s="492"/>
    </row>
    <row r="15" spans="1:12" ht="16.5" thickBot="1" x14ac:dyDescent="0.3">
      <c r="A15" s="362"/>
      <c r="B15" s="363"/>
      <c r="C15" s="363"/>
      <c r="D15" s="363"/>
      <c r="E15" s="546"/>
      <c r="F15" s="547"/>
      <c r="G15" s="493"/>
    </row>
    <row r="16" spans="1:12" ht="15.6" customHeight="1" x14ac:dyDescent="0.2">
      <c r="K16" s="329"/>
      <c r="L16" s="329"/>
    </row>
    <row r="17" spans="1:12" ht="24" thickBot="1" x14ac:dyDescent="0.4">
      <c r="A17" s="28" t="s">
        <v>26</v>
      </c>
      <c r="B17" s="28"/>
      <c r="C17" s="27"/>
      <c r="D17" s="27"/>
      <c r="E17" s="27"/>
      <c r="F17" s="98"/>
      <c r="G17" s="98"/>
    </row>
    <row r="18" spans="1:12" ht="16.5" thickBot="1" x14ac:dyDescent="0.25">
      <c r="A18" s="234"/>
      <c r="B18" s="234"/>
      <c r="C18" s="234"/>
      <c r="D18" s="234"/>
      <c r="E18" s="234"/>
      <c r="F18" s="234"/>
      <c r="G18" s="234"/>
    </row>
    <row r="19" spans="1:12" ht="15.75" customHeight="1" x14ac:dyDescent="0.2">
      <c r="A19" s="494" t="s">
        <v>206</v>
      </c>
      <c r="B19" s="495"/>
      <c r="C19" s="495"/>
      <c r="D19" s="495"/>
      <c r="E19" s="495"/>
      <c r="F19" s="495"/>
      <c r="G19" s="496"/>
      <c r="I19" s="8"/>
    </row>
    <row r="20" spans="1:12" ht="15.75" customHeight="1" x14ac:dyDescent="0.2">
      <c r="A20" s="497"/>
      <c r="B20" s="498"/>
      <c r="C20" s="498"/>
      <c r="D20" s="498"/>
      <c r="E20" s="498"/>
      <c r="F20" s="498"/>
      <c r="G20" s="499"/>
      <c r="H20" s="8"/>
      <c r="I20" s="8"/>
      <c r="L20" s="21"/>
    </row>
    <row r="21" spans="1:12" ht="15.75" customHeight="1" x14ac:dyDescent="0.2">
      <c r="A21" s="497"/>
      <c r="B21" s="498"/>
      <c r="C21" s="498"/>
      <c r="D21" s="498"/>
      <c r="E21" s="498"/>
      <c r="F21" s="498"/>
      <c r="G21" s="499"/>
      <c r="I21" s="8"/>
    </row>
    <row r="22" spans="1:12" ht="15.6" customHeight="1" x14ac:dyDescent="0.2">
      <c r="A22" s="497"/>
      <c r="B22" s="498"/>
      <c r="C22" s="498"/>
      <c r="D22" s="498"/>
      <c r="E22" s="498"/>
      <c r="F22" s="498"/>
      <c r="G22" s="499"/>
      <c r="I22" s="9"/>
      <c r="K22" s="8"/>
    </row>
    <row r="23" spans="1:12" ht="12.75" customHeight="1" x14ac:dyDescent="0.2">
      <c r="A23" s="497"/>
      <c r="B23" s="498"/>
      <c r="C23" s="498"/>
      <c r="D23" s="498"/>
      <c r="E23" s="498"/>
      <c r="F23" s="498"/>
      <c r="G23" s="499"/>
      <c r="I23" s="10"/>
      <c r="K23" s="8"/>
    </row>
    <row r="24" spans="1:12" ht="12.75" customHeight="1" x14ac:dyDescent="0.2">
      <c r="A24" s="497"/>
      <c r="B24" s="498"/>
      <c r="C24" s="498"/>
      <c r="D24" s="498"/>
      <c r="E24" s="498"/>
      <c r="F24" s="498"/>
      <c r="G24" s="499"/>
      <c r="H24" s="8"/>
      <c r="K24" s="8"/>
    </row>
    <row r="25" spans="1:12" ht="12.75" customHeight="1" x14ac:dyDescent="0.2">
      <c r="A25" s="497"/>
      <c r="B25" s="498"/>
      <c r="C25" s="498"/>
      <c r="D25" s="498"/>
      <c r="E25" s="498"/>
      <c r="F25" s="498"/>
      <c r="G25" s="499"/>
      <c r="H25" s="9"/>
      <c r="K25" s="9"/>
    </row>
    <row r="26" spans="1:12" ht="12.75" customHeight="1" x14ac:dyDescent="0.2">
      <c r="A26" s="497"/>
      <c r="B26" s="498"/>
      <c r="C26" s="498"/>
      <c r="D26" s="498"/>
      <c r="E26" s="498"/>
      <c r="F26" s="498"/>
      <c r="G26" s="499"/>
      <c r="H26" s="10"/>
      <c r="K26" s="11"/>
    </row>
    <row r="27" spans="1:12" ht="12.75" customHeight="1" x14ac:dyDescent="0.2">
      <c r="A27" s="497"/>
      <c r="B27" s="498"/>
      <c r="C27" s="498"/>
      <c r="D27" s="498"/>
      <c r="E27" s="498"/>
      <c r="F27" s="498"/>
      <c r="G27" s="499"/>
      <c r="H27" s="29"/>
      <c r="K27" s="7"/>
    </row>
    <row r="28" spans="1:12" ht="12.75" customHeight="1" x14ac:dyDescent="0.2">
      <c r="A28" s="497"/>
      <c r="B28" s="498"/>
      <c r="C28" s="498"/>
      <c r="D28" s="498"/>
      <c r="E28" s="498"/>
      <c r="F28" s="498"/>
      <c r="G28" s="499"/>
      <c r="H28" s="29"/>
    </row>
    <row r="29" spans="1:12" ht="12.75" customHeight="1" thickBot="1" x14ac:dyDescent="0.25">
      <c r="A29" s="500"/>
      <c r="B29" s="501"/>
      <c r="C29" s="501"/>
      <c r="D29" s="501"/>
      <c r="E29" s="501"/>
      <c r="F29" s="501"/>
      <c r="G29" s="502"/>
      <c r="H29" s="29"/>
    </row>
    <row r="30" spans="1:12" ht="12.75" customHeight="1" x14ac:dyDescent="0.2"/>
    <row r="31" spans="1:12" ht="13.5" customHeight="1" x14ac:dyDescent="0.2"/>
    <row r="32" spans="1:12" ht="12.75" customHeight="1" x14ac:dyDescent="0.2"/>
    <row r="33" spans="8:8" ht="34.5" customHeight="1" x14ac:dyDescent="0.2">
      <c r="H33" s="29"/>
    </row>
    <row r="34" spans="8:8" x14ac:dyDescent="0.2">
      <c r="H34" s="29"/>
    </row>
    <row r="35" spans="8:8" ht="32.25" customHeight="1" x14ac:dyDescent="0.2">
      <c r="H35" s="29"/>
    </row>
    <row r="36" spans="8:8" x14ac:dyDescent="0.2">
      <c r="H36" s="29"/>
    </row>
    <row r="37" spans="8:8" x14ac:dyDescent="0.2">
      <c r="H37" s="29"/>
    </row>
    <row r="38" spans="8:8" ht="15" customHeight="1" x14ac:dyDescent="0.2"/>
    <row r="47" spans="8:8" ht="18" customHeight="1" x14ac:dyDescent="0.2"/>
    <row r="51" ht="18.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6"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6" customHeight="1" x14ac:dyDescent="0.2"/>
    <row r="71" ht="12.6" customHeight="1" x14ac:dyDescent="0.2"/>
    <row r="72" ht="12.6" customHeight="1" x14ac:dyDescent="0.2"/>
    <row r="73" ht="12.6" customHeight="1" x14ac:dyDescent="0.2"/>
    <row r="74" ht="12.6" customHeight="1" x14ac:dyDescent="0.2"/>
    <row r="75" ht="12.6" customHeight="1" x14ac:dyDescent="0.2"/>
    <row r="76" ht="12.6" customHeight="1" x14ac:dyDescent="0.2"/>
    <row r="77" ht="12.6" customHeight="1" x14ac:dyDescent="0.2"/>
    <row r="78" ht="12.6" customHeight="1" x14ac:dyDescent="0.2"/>
    <row r="79" ht="12.6" customHeight="1" x14ac:dyDescent="0.2"/>
    <row r="80" ht="12.6" customHeight="1" x14ac:dyDescent="0.2"/>
    <row r="81" ht="13.1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3.5" customHeight="1" x14ac:dyDescent="0.2"/>
    <row r="116" ht="18.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3.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11">
    <mergeCell ref="A1:D1"/>
    <mergeCell ref="A4:A5"/>
    <mergeCell ref="C4:C5"/>
    <mergeCell ref="J4:J5"/>
    <mergeCell ref="E10:F11"/>
    <mergeCell ref="G10:G11"/>
    <mergeCell ref="E12:F13"/>
    <mergeCell ref="G12:G13"/>
    <mergeCell ref="E14:F15"/>
    <mergeCell ref="G14:G15"/>
    <mergeCell ref="A19:G29"/>
  </mergeCells>
  <conditionalFormatting sqref="I19 H20:I20 I21 H24">
    <cfRule type="expression" dxfId="28" priority="3">
      <formula>ISNUMBER(SEARCH(TEXT(#REF!,"ddd"),#REF!))</formula>
    </cfRule>
  </conditionalFormatting>
  <conditionalFormatting sqref="K22:K24">
    <cfRule type="expression" dxfId="27" priority="5">
      <formula>ISNUMBER(SEARCH(TEXT(#REF!,"ddd"),#REF!))</formula>
    </cfRule>
  </conditionalFormatting>
  <pageMargins left="0.23622047244094491" right="0.23622047244094491" top="0.74803149606299213" bottom="0.74803149606299213" header="0.31496062992125984" footer="0.31496062992125984"/>
  <pageSetup paperSize="9" scale="85" fitToHeight="0" orientation="portrait" horizontalDpi="4294967293" vertic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7E6FA-39B9-4ACE-B52B-1C64BE3CCBAF}">
  <sheetPr codeName="Sheet22"/>
  <dimension ref="A1:L212"/>
  <sheetViews>
    <sheetView showGridLines="0" zoomScaleNormal="100" workbookViewId="0">
      <selection activeCell="C6" sqref="C6"/>
    </sheetView>
  </sheetViews>
  <sheetFormatPr baseColWidth="10" defaultColWidth="9" defaultRowHeight="12.75" x14ac:dyDescent="0.2"/>
  <cols>
    <col min="1" max="1" width="13.37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2" ht="27" thickTop="1" x14ac:dyDescent="0.4">
      <c r="A1" s="419" t="s">
        <v>49</v>
      </c>
      <c r="B1" s="419"/>
      <c r="C1" s="419"/>
      <c r="D1" s="419"/>
      <c r="E1" s="45">
        <f>WEEKNUM(A10)</f>
        <v>16</v>
      </c>
      <c r="F1" s="46"/>
      <c r="G1" s="47"/>
      <c r="H1" s="26"/>
      <c r="J1" s="1"/>
    </row>
    <row r="2" spans="1:12" s="1" customFormat="1" ht="14.25" customHeight="1" x14ac:dyDescent="0.25">
      <c r="A2" s="38" t="s">
        <v>1</v>
      </c>
      <c r="B2" s="38"/>
      <c r="C2" s="38" t="s">
        <v>2</v>
      </c>
      <c r="D2" s="38"/>
      <c r="E2" s="250" t="s">
        <v>3</v>
      </c>
      <c r="F2" s="44" t="s">
        <v>4</v>
      </c>
      <c r="G2" s="44" t="s">
        <v>29</v>
      </c>
      <c r="H2" s="20"/>
      <c r="I2" s="13"/>
      <c r="J2" s="6"/>
      <c r="K2" s="1" t="s">
        <v>69</v>
      </c>
    </row>
    <row r="3" spans="1:12" ht="16.5" thickBot="1" x14ac:dyDescent="0.25">
      <c r="A3" s="274">
        <f>A10</f>
        <v>43936</v>
      </c>
      <c r="B3" s="382"/>
      <c r="C3" s="274">
        <f>A26</f>
        <v>43940</v>
      </c>
      <c r="D3" s="382"/>
      <c r="E3" s="249" t="s">
        <v>6</v>
      </c>
      <c r="F3" s="261">
        <f>Sumcolor(E3,D10:D28)</f>
        <v>5.9027777777777735E-2</v>
      </c>
      <c r="G3" s="259">
        <f>SUM(Først:Sist!F3)</f>
        <v>0.93402777777777768</v>
      </c>
      <c r="H3" s="22"/>
      <c r="I3" s="7"/>
      <c r="J3" s="7"/>
      <c r="K3" t="s">
        <v>70</v>
      </c>
    </row>
    <row r="4" spans="1:12" ht="15" customHeight="1" x14ac:dyDescent="0.2">
      <c r="A4" s="420" t="s">
        <v>96</v>
      </c>
      <c r="B4" s="383"/>
      <c r="C4" s="420" t="s">
        <v>51</v>
      </c>
      <c r="D4" s="384"/>
      <c r="E4" s="246" t="s">
        <v>9</v>
      </c>
      <c r="F4" s="261">
        <f>Sumcolor(E4,D10:D28)</f>
        <v>0.19444444444444453</v>
      </c>
      <c r="G4" s="259">
        <f>SUM(Først:Sist!F4)</f>
        <v>6.5486111111111125</v>
      </c>
      <c r="H4" s="22"/>
      <c r="I4" s="7"/>
      <c r="J4" s="399"/>
    </row>
    <row r="5" spans="1:12" ht="15.75" x14ac:dyDescent="0.2">
      <c r="A5" s="447"/>
      <c r="B5" s="384"/>
      <c r="C5" s="421"/>
      <c r="D5" s="384"/>
      <c r="E5" s="247" t="s">
        <v>10</v>
      </c>
      <c r="F5" s="261">
        <f>Sumcolor(E5,D10:D28)</f>
        <v>4.1666666666666519E-2</v>
      </c>
      <c r="G5" s="259">
        <f>SUM(Først:Sist!F5)</f>
        <v>1.3368055555555545</v>
      </c>
      <c r="H5" s="22"/>
      <c r="I5" s="7"/>
      <c r="J5" s="399"/>
      <c r="K5" t="s">
        <v>71</v>
      </c>
    </row>
    <row r="6" spans="1:12" ht="18.75" customHeight="1" thickBot="1" x14ac:dyDescent="0.25">
      <c r="A6" s="328">
        <f>SUM(D10:D26)</f>
        <v>0.37500000000000017</v>
      </c>
      <c r="B6" s="40"/>
      <c r="C6" s="240">
        <f>SUM('Først:Uke16'!A6)</f>
        <v>7.6076388888888875</v>
      </c>
      <c r="D6" s="42"/>
      <c r="E6" s="248" t="s">
        <v>11</v>
      </c>
      <c r="F6" s="260">
        <f>Sumcolor(E6,D10:D28)</f>
        <v>7.9861111111111382E-2</v>
      </c>
      <c r="G6" s="260">
        <f>SUM(Først:Sist!F6)</f>
        <v>2.4791666666666661</v>
      </c>
      <c r="H6" s="22"/>
      <c r="I6" s="7"/>
      <c r="J6" s="7"/>
      <c r="K6" t="s">
        <v>72</v>
      </c>
    </row>
    <row r="7" spans="1:12" ht="12.75" customHeight="1" x14ac:dyDescent="0.2">
      <c r="A7" s="19"/>
      <c r="B7" s="23"/>
      <c r="C7" s="24"/>
      <c r="D7" s="14"/>
      <c r="E7" s="23"/>
      <c r="F7" s="23"/>
      <c r="G7" s="25"/>
      <c r="H7" s="25"/>
    </row>
    <row r="8" spans="1:12" x14ac:dyDescent="0.2">
      <c r="A8" s="23"/>
      <c r="B8" s="25"/>
      <c r="C8" s="14"/>
      <c r="D8" s="25"/>
      <c r="E8" s="23"/>
      <c r="F8" s="23"/>
      <c r="G8" s="25"/>
      <c r="H8" s="25"/>
      <c r="K8" t="s">
        <v>73</v>
      </c>
    </row>
    <row r="9" spans="1:12" ht="16.5" thickBot="1" x14ac:dyDescent="0.3">
      <c r="A9" s="30" t="s">
        <v>15</v>
      </c>
      <c r="B9" s="30" t="s">
        <v>18</v>
      </c>
      <c r="C9" s="30" t="s">
        <v>19</v>
      </c>
      <c r="D9" s="30" t="s">
        <v>20</v>
      </c>
      <c r="E9" s="30" t="s">
        <v>21</v>
      </c>
      <c r="G9" s="30" t="s">
        <v>42</v>
      </c>
      <c r="H9" s="25"/>
      <c r="K9" t="s">
        <v>74</v>
      </c>
    </row>
    <row r="10" spans="1:12" ht="15.6" customHeight="1" x14ac:dyDescent="0.25">
      <c r="A10" s="364">
        <v>43936</v>
      </c>
      <c r="B10" s="365">
        <v>0.48958333333333331</v>
      </c>
      <c r="C10" s="365">
        <v>0.54861111111111105</v>
      </c>
      <c r="D10" s="366">
        <f>(C10-B10)</f>
        <v>5.9027777777777735E-2</v>
      </c>
      <c r="E10" s="552" t="s">
        <v>207</v>
      </c>
      <c r="F10" s="553"/>
      <c r="G10" s="492"/>
      <c r="H10" s="25"/>
    </row>
    <row r="11" spans="1:12" ht="18" customHeight="1" thickBot="1" x14ac:dyDescent="0.3">
      <c r="A11" s="367"/>
      <c r="B11" s="368"/>
      <c r="C11" s="368"/>
      <c r="D11" s="369"/>
      <c r="E11" s="554"/>
      <c r="F11" s="555"/>
      <c r="G11" s="493"/>
      <c r="H11" s="25"/>
      <c r="K11" t="s">
        <v>76</v>
      </c>
    </row>
    <row r="12" spans="1:12" ht="17.25" customHeight="1" x14ac:dyDescent="0.25">
      <c r="A12" s="370">
        <v>43936</v>
      </c>
      <c r="B12" s="371">
        <v>0.54861111111111105</v>
      </c>
      <c r="C12" s="371">
        <v>0.61458333333333337</v>
      </c>
      <c r="D12" s="372">
        <f>(C12-B12)</f>
        <v>6.5972222222222321E-2</v>
      </c>
      <c r="E12" s="548" t="s">
        <v>208</v>
      </c>
      <c r="F12" s="549"/>
      <c r="G12" s="492"/>
      <c r="K12" t="s">
        <v>78</v>
      </c>
    </row>
    <row r="13" spans="1:12" ht="15.6" customHeight="1" thickBot="1" x14ac:dyDescent="0.3">
      <c r="A13" s="373"/>
      <c r="B13" s="374"/>
      <c r="C13" s="374"/>
      <c r="D13" s="374"/>
      <c r="E13" s="550"/>
      <c r="F13" s="551"/>
      <c r="G13" s="493"/>
    </row>
    <row r="14" spans="1:12" ht="15.75" customHeight="1" x14ac:dyDescent="0.2">
      <c r="A14" s="267">
        <v>43937</v>
      </c>
      <c r="B14" s="244">
        <v>0.58333333333333337</v>
      </c>
      <c r="C14" s="244">
        <v>0.60069444444444442</v>
      </c>
      <c r="D14" s="244">
        <f t="shared" ref="D14" si="0">(C14-B14)</f>
        <v>1.7361111111111049E-2</v>
      </c>
      <c r="E14" s="439" t="s">
        <v>98</v>
      </c>
      <c r="F14" s="448"/>
      <c r="G14" s="492"/>
    </row>
    <row r="15" spans="1:12" ht="15.75" thickBot="1" x14ac:dyDescent="0.3">
      <c r="A15" s="305"/>
      <c r="B15" s="306"/>
      <c r="C15" s="306"/>
      <c r="D15" s="306"/>
      <c r="E15" s="449"/>
      <c r="F15" s="449"/>
      <c r="G15" s="493"/>
    </row>
    <row r="16" spans="1:12" ht="15.6" customHeight="1" x14ac:dyDescent="0.2">
      <c r="A16" s="337">
        <v>43937</v>
      </c>
      <c r="B16" s="338">
        <v>0.61805555555555558</v>
      </c>
      <c r="C16" s="338">
        <v>0.64930555555555558</v>
      </c>
      <c r="D16" s="339">
        <f>(C16-B16)</f>
        <v>3.125E-2</v>
      </c>
      <c r="E16" s="522" t="s">
        <v>209</v>
      </c>
      <c r="F16" s="523"/>
      <c r="G16" s="492"/>
      <c r="K16" s="329"/>
      <c r="L16" s="329"/>
    </row>
    <row r="17" spans="1:12" ht="16.149999999999999" customHeight="1" thickBot="1" x14ac:dyDescent="0.25">
      <c r="A17" s="340"/>
      <c r="B17" s="341"/>
      <c r="C17" s="341"/>
      <c r="D17" s="341"/>
      <c r="E17" s="524"/>
      <c r="F17" s="524"/>
      <c r="G17" s="493"/>
    </row>
    <row r="18" spans="1:12" ht="15.75" x14ac:dyDescent="0.2">
      <c r="A18" s="264">
        <v>43939</v>
      </c>
      <c r="B18" s="241">
        <v>0.58680555555555558</v>
      </c>
      <c r="C18" s="241">
        <v>0.61111111111111105</v>
      </c>
      <c r="D18" s="242">
        <f>(C18-B18)</f>
        <v>2.4305555555555469E-2</v>
      </c>
      <c r="E18" s="511" t="s">
        <v>98</v>
      </c>
      <c r="F18" s="512"/>
      <c r="G18" s="492"/>
    </row>
    <row r="19" spans="1:12" ht="15.75" customHeight="1" thickBot="1" x14ac:dyDescent="0.25">
      <c r="A19" s="265"/>
      <c r="B19" s="243"/>
      <c r="C19" s="243"/>
      <c r="D19" s="243"/>
      <c r="E19" s="513"/>
      <c r="F19" s="514"/>
      <c r="G19" s="493"/>
      <c r="I19" s="8"/>
    </row>
    <row r="20" spans="1:12" ht="15.75" customHeight="1" x14ac:dyDescent="0.25">
      <c r="A20" s="375">
        <v>43939</v>
      </c>
      <c r="B20" s="376">
        <v>0.64583333333333337</v>
      </c>
      <c r="C20" s="376">
        <v>0.73958333333333337</v>
      </c>
      <c r="D20" s="334">
        <f>(C20-B20)</f>
        <v>9.375E-2</v>
      </c>
      <c r="E20" s="519" t="s">
        <v>210</v>
      </c>
      <c r="F20" s="528"/>
      <c r="G20" s="492"/>
      <c r="H20" s="8"/>
      <c r="I20" s="8"/>
      <c r="L20" s="21"/>
    </row>
    <row r="21" spans="1:12" ht="33.75" customHeight="1" thickBot="1" x14ac:dyDescent="0.3">
      <c r="A21" s="335"/>
      <c r="B21" s="336"/>
      <c r="C21" s="336"/>
      <c r="D21" s="336"/>
      <c r="E21" s="521"/>
      <c r="F21" s="529"/>
      <c r="G21" s="493"/>
      <c r="I21" s="8"/>
    </row>
    <row r="22" spans="1:12" ht="15.6" customHeight="1" x14ac:dyDescent="0.2">
      <c r="A22" s="333">
        <v>43939</v>
      </c>
      <c r="B22" s="334">
        <v>0.74652777777777779</v>
      </c>
      <c r="C22" s="334">
        <v>0.75</v>
      </c>
      <c r="D22" s="334">
        <f>(C22-B22)</f>
        <v>3.4722222222222099E-3</v>
      </c>
      <c r="E22" s="520" t="s">
        <v>211</v>
      </c>
      <c r="F22" s="528"/>
      <c r="G22" s="492" t="s">
        <v>212</v>
      </c>
      <c r="I22" s="9"/>
      <c r="K22" s="8"/>
    </row>
    <row r="23" spans="1:12" ht="19.5" customHeight="1" thickBot="1" x14ac:dyDescent="0.3">
      <c r="A23" s="335"/>
      <c r="B23" s="336"/>
      <c r="C23" s="336"/>
      <c r="D23" s="336"/>
      <c r="E23" s="521"/>
      <c r="F23" s="529"/>
      <c r="G23" s="493"/>
      <c r="I23" s="10"/>
      <c r="K23" s="8"/>
    </row>
    <row r="24" spans="1:12" ht="15.75" x14ac:dyDescent="0.2">
      <c r="A24" s="342">
        <v>43939</v>
      </c>
      <c r="B24" s="344">
        <v>0.75347222222222221</v>
      </c>
      <c r="C24" s="344">
        <v>0.81944444444444453</v>
      </c>
      <c r="D24" s="344">
        <f>(C24-B24)</f>
        <v>6.5972222222222321E-2</v>
      </c>
      <c r="E24" s="530" t="s">
        <v>213</v>
      </c>
      <c r="F24" s="531"/>
      <c r="G24" s="492"/>
      <c r="H24" s="8"/>
      <c r="K24" s="8"/>
    </row>
    <row r="25" spans="1:12" ht="18" customHeight="1" thickBot="1" x14ac:dyDescent="0.25">
      <c r="A25" s="377"/>
      <c r="B25" s="378"/>
      <c r="C25" s="378"/>
      <c r="D25" s="378"/>
      <c r="E25" s="532"/>
      <c r="F25" s="533"/>
      <c r="G25" s="493"/>
      <c r="H25" s="9"/>
      <c r="K25" s="9"/>
    </row>
    <row r="26" spans="1:12" ht="15.75" x14ac:dyDescent="0.2">
      <c r="A26" s="342">
        <v>43940</v>
      </c>
      <c r="B26" s="343">
        <v>0.80555555555555547</v>
      </c>
      <c r="C26" s="343">
        <v>0.81944444444444453</v>
      </c>
      <c r="D26" s="344">
        <f>(C26-B26)</f>
        <v>1.3888888888889062E-2</v>
      </c>
      <c r="E26" s="530" t="s">
        <v>214</v>
      </c>
      <c r="F26" s="531"/>
      <c r="G26" s="492"/>
      <c r="H26" s="10"/>
      <c r="K26" s="11"/>
    </row>
    <row r="27" spans="1:12" ht="15.75" thickBot="1" x14ac:dyDescent="0.3">
      <c r="A27" s="345"/>
      <c r="B27" s="346"/>
      <c r="C27" s="346"/>
      <c r="D27" s="346"/>
      <c r="E27" s="532"/>
      <c r="F27" s="533"/>
      <c r="G27" s="493"/>
      <c r="H27" s="29"/>
      <c r="K27" s="7"/>
    </row>
    <row r="28" spans="1:12" ht="15.6" customHeight="1" x14ac:dyDescent="0.2">
      <c r="H28" s="29"/>
    </row>
    <row r="29" spans="1:12" x14ac:dyDescent="0.2">
      <c r="H29" s="29"/>
    </row>
    <row r="30" spans="1:12" ht="12.75" customHeight="1" x14ac:dyDescent="0.2">
      <c r="H30" s="29"/>
    </row>
    <row r="31" spans="1:12" x14ac:dyDescent="0.2">
      <c r="H31" s="29"/>
    </row>
    <row r="32" spans="1:12" ht="12.75" customHeight="1" x14ac:dyDescent="0.2">
      <c r="H32" s="29"/>
    </row>
    <row r="33" spans="8:8" x14ac:dyDescent="0.2">
      <c r="H33" s="29"/>
    </row>
    <row r="34" spans="8:8" x14ac:dyDescent="0.2">
      <c r="H34" s="29"/>
    </row>
    <row r="35" spans="8:8" x14ac:dyDescent="0.2">
      <c r="H35" s="29"/>
    </row>
    <row r="36" spans="8:8" x14ac:dyDescent="0.2">
      <c r="H36" s="29"/>
    </row>
    <row r="37" spans="8:8" x14ac:dyDescent="0.2">
      <c r="H37" s="29"/>
    </row>
    <row r="52" spans="1:7" ht="12.75" customHeight="1" x14ac:dyDescent="0.2"/>
    <row r="53" spans="1:7" ht="12.75" customHeight="1" x14ac:dyDescent="0.2"/>
    <row r="54" spans="1:7" ht="12.75" customHeight="1" x14ac:dyDescent="0.2"/>
    <row r="55" spans="1:7" ht="12.75" customHeight="1" x14ac:dyDescent="0.2"/>
    <row r="56" spans="1:7" ht="12.75" customHeight="1" x14ac:dyDescent="0.2"/>
    <row r="57" spans="1:7" ht="12.75" customHeight="1" x14ac:dyDescent="0.2"/>
    <row r="58" spans="1:7" ht="24" thickBot="1" x14ac:dyDescent="0.4">
      <c r="A58" s="28" t="s">
        <v>26</v>
      </c>
      <c r="B58" s="28"/>
      <c r="C58" s="27"/>
      <c r="D58" s="27"/>
      <c r="E58" s="27"/>
      <c r="F58" s="98"/>
      <c r="G58" s="98"/>
    </row>
    <row r="59" spans="1:7" ht="12.75" customHeight="1" thickBot="1" x14ac:dyDescent="0.25">
      <c r="A59" s="234"/>
      <c r="B59" s="234"/>
      <c r="C59" s="234"/>
      <c r="D59" s="234"/>
      <c r="E59" s="234"/>
      <c r="F59" s="234"/>
      <c r="G59" s="234"/>
    </row>
    <row r="60" spans="1:7" ht="12.75" customHeight="1" x14ac:dyDescent="0.2">
      <c r="A60" s="494" t="s">
        <v>215</v>
      </c>
      <c r="B60" s="495"/>
      <c r="C60" s="495"/>
      <c r="D60" s="495"/>
      <c r="E60" s="495"/>
      <c r="F60" s="495"/>
      <c r="G60" s="496"/>
    </row>
    <row r="61" spans="1:7" ht="12.6" customHeight="1" x14ac:dyDescent="0.2">
      <c r="A61" s="497"/>
      <c r="B61" s="498"/>
      <c r="C61" s="498"/>
      <c r="D61" s="498"/>
      <c r="E61" s="498"/>
      <c r="F61" s="498"/>
      <c r="G61" s="499"/>
    </row>
    <row r="62" spans="1:7" ht="12.75" customHeight="1" x14ac:dyDescent="0.2">
      <c r="A62" s="497"/>
      <c r="B62" s="498"/>
      <c r="C62" s="498"/>
      <c r="D62" s="498"/>
      <c r="E62" s="498"/>
      <c r="F62" s="498"/>
      <c r="G62" s="499"/>
    </row>
    <row r="63" spans="1:7" ht="12.75" customHeight="1" x14ac:dyDescent="0.2">
      <c r="A63" s="497"/>
      <c r="B63" s="498"/>
      <c r="C63" s="498"/>
      <c r="D63" s="498"/>
      <c r="E63" s="498"/>
      <c r="F63" s="498"/>
      <c r="G63" s="499"/>
    </row>
    <row r="64" spans="1:7" ht="12.75" customHeight="1" x14ac:dyDescent="0.2">
      <c r="A64" s="497"/>
      <c r="B64" s="498"/>
      <c r="C64" s="498"/>
      <c r="D64" s="498"/>
      <c r="E64" s="498"/>
      <c r="F64" s="498"/>
      <c r="G64" s="499"/>
    </row>
    <row r="65" spans="1:7" ht="12.75" customHeight="1" x14ac:dyDescent="0.2">
      <c r="A65" s="497"/>
      <c r="B65" s="498"/>
      <c r="C65" s="498"/>
      <c r="D65" s="498"/>
      <c r="E65" s="498"/>
      <c r="F65" s="498"/>
      <c r="G65" s="499"/>
    </row>
    <row r="66" spans="1:7" ht="12.75" customHeight="1" x14ac:dyDescent="0.2">
      <c r="A66" s="497"/>
      <c r="B66" s="498"/>
      <c r="C66" s="498"/>
      <c r="D66" s="498"/>
      <c r="E66" s="498"/>
      <c r="F66" s="498"/>
      <c r="G66" s="499"/>
    </row>
    <row r="67" spans="1:7" ht="12.75" customHeight="1" x14ac:dyDescent="0.2">
      <c r="A67" s="497"/>
      <c r="B67" s="498"/>
      <c r="C67" s="498"/>
      <c r="D67" s="498"/>
      <c r="E67" s="498"/>
      <c r="F67" s="498"/>
      <c r="G67" s="499"/>
    </row>
    <row r="68" spans="1:7" ht="12.75" customHeight="1" x14ac:dyDescent="0.2">
      <c r="A68" s="497"/>
      <c r="B68" s="498"/>
      <c r="C68" s="498"/>
      <c r="D68" s="498"/>
      <c r="E68" s="498"/>
      <c r="F68" s="498"/>
      <c r="G68" s="499"/>
    </row>
    <row r="69" spans="1:7" ht="12.75" customHeight="1" x14ac:dyDescent="0.2">
      <c r="A69" s="497"/>
      <c r="B69" s="498"/>
      <c r="C69" s="498"/>
      <c r="D69" s="498"/>
      <c r="E69" s="498"/>
      <c r="F69" s="498"/>
      <c r="G69" s="499"/>
    </row>
    <row r="70" spans="1:7" ht="12.6" customHeight="1" x14ac:dyDescent="0.2">
      <c r="A70" s="497"/>
      <c r="B70" s="498"/>
      <c r="C70" s="498"/>
      <c r="D70" s="498"/>
      <c r="E70" s="498"/>
      <c r="F70" s="498"/>
      <c r="G70" s="499"/>
    </row>
    <row r="71" spans="1:7" ht="12.6" customHeight="1" x14ac:dyDescent="0.2">
      <c r="A71" s="497"/>
      <c r="B71" s="498"/>
      <c r="C71" s="498"/>
      <c r="D71" s="498"/>
      <c r="E71" s="498"/>
      <c r="F71" s="498"/>
      <c r="G71" s="499"/>
    </row>
    <row r="72" spans="1:7" ht="12.6" customHeight="1" x14ac:dyDescent="0.2">
      <c r="A72" s="497"/>
      <c r="B72" s="498"/>
      <c r="C72" s="498"/>
      <c r="D72" s="498"/>
      <c r="E72" s="498"/>
      <c r="F72" s="498"/>
      <c r="G72" s="499"/>
    </row>
    <row r="73" spans="1:7" ht="12.6" customHeight="1" x14ac:dyDescent="0.2">
      <c r="A73" s="497"/>
      <c r="B73" s="498"/>
      <c r="C73" s="498"/>
      <c r="D73" s="498"/>
      <c r="E73" s="498"/>
      <c r="F73" s="498"/>
      <c r="G73" s="499"/>
    </row>
    <row r="74" spans="1:7" ht="12.6" customHeight="1" x14ac:dyDescent="0.2">
      <c r="A74" s="497"/>
      <c r="B74" s="498"/>
      <c r="C74" s="498"/>
      <c r="D74" s="498"/>
      <c r="E74" s="498"/>
      <c r="F74" s="498"/>
      <c r="G74" s="499"/>
    </row>
    <row r="75" spans="1:7" ht="12.6" customHeight="1" x14ac:dyDescent="0.2">
      <c r="A75" s="497"/>
      <c r="B75" s="498"/>
      <c r="C75" s="498"/>
      <c r="D75" s="498"/>
      <c r="E75" s="498"/>
      <c r="F75" s="498"/>
      <c r="G75" s="499"/>
    </row>
    <row r="76" spans="1:7" ht="12.6" customHeight="1" x14ac:dyDescent="0.2">
      <c r="A76" s="497"/>
      <c r="B76" s="498"/>
      <c r="C76" s="498"/>
      <c r="D76" s="498"/>
      <c r="E76" s="498"/>
      <c r="F76" s="498"/>
      <c r="G76" s="499"/>
    </row>
    <row r="77" spans="1:7" ht="12.6" customHeight="1" x14ac:dyDescent="0.2">
      <c r="A77" s="497"/>
      <c r="B77" s="498"/>
      <c r="C77" s="498"/>
      <c r="D77" s="498"/>
      <c r="E77" s="498"/>
      <c r="F77" s="498"/>
      <c r="G77" s="499"/>
    </row>
    <row r="78" spans="1:7" ht="12.6" customHeight="1" x14ac:dyDescent="0.2">
      <c r="A78" s="497"/>
      <c r="B78" s="498"/>
      <c r="C78" s="498"/>
      <c r="D78" s="498"/>
      <c r="E78" s="498"/>
      <c r="F78" s="498"/>
      <c r="G78" s="499"/>
    </row>
    <row r="79" spans="1:7" ht="12.6" customHeight="1" x14ac:dyDescent="0.2">
      <c r="A79" s="497"/>
      <c r="B79" s="498"/>
      <c r="C79" s="498"/>
      <c r="D79" s="498"/>
      <c r="E79" s="498"/>
      <c r="F79" s="498"/>
      <c r="G79" s="499"/>
    </row>
    <row r="80" spans="1:7" ht="12.6" customHeight="1" x14ac:dyDescent="0.2">
      <c r="A80" s="497"/>
      <c r="B80" s="498"/>
      <c r="C80" s="498"/>
      <c r="D80" s="498"/>
      <c r="E80" s="498"/>
      <c r="F80" s="498"/>
      <c r="G80" s="499"/>
    </row>
    <row r="81" spans="1:7" ht="13.15" customHeight="1" x14ac:dyDescent="0.2">
      <c r="A81" s="497"/>
      <c r="B81" s="498"/>
      <c r="C81" s="498"/>
      <c r="D81" s="498"/>
      <c r="E81" s="498"/>
      <c r="F81" s="498"/>
      <c r="G81" s="499"/>
    </row>
    <row r="82" spans="1:7" ht="12.75" customHeight="1" x14ac:dyDescent="0.2">
      <c r="A82" s="497"/>
      <c r="B82" s="498"/>
      <c r="C82" s="498"/>
      <c r="D82" s="498"/>
      <c r="E82" s="498"/>
      <c r="F82" s="498"/>
      <c r="G82" s="499"/>
    </row>
    <row r="83" spans="1:7" ht="12.75" customHeight="1" x14ac:dyDescent="0.2">
      <c r="A83" s="497"/>
      <c r="B83" s="498"/>
      <c r="C83" s="498"/>
      <c r="D83" s="498"/>
      <c r="E83" s="498"/>
      <c r="F83" s="498"/>
      <c r="G83" s="499"/>
    </row>
    <row r="84" spans="1:7" ht="12.75" customHeight="1" x14ac:dyDescent="0.2">
      <c r="A84" s="497"/>
      <c r="B84" s="498"/>
      <c r="C84" s="498"/>
      <c r="D84" s="498"/>
      <c r="E84" s="498"/>
      <c r="F84" s="498"/>
      <c r="G84" s="499"/>
    </row>
    <row r="85" spans="1:7" ht="12.75" customHeight="1" x14ac:dyDescent="0.2">
      <c r="A85" s="497"/>
      <c r="B85" s="498"/>
      <c r="C85" s="498"/>
      <c r="D85" s="498"/>
      <c r="E85" s="498"/>
      <c r="F85" s="498"/>
      <c r="G85" s="499"/>
    </row>
    <row r="86" spans="1:7" ht="12.75" customHeight="1" x14ac:dyDescent="0.2">
      <c r="A86" s="497"/>
      <c r="B86" s="498"/>
      <c r="C86" s="498"/>
      <c r="D86" s="498"/>
      <c r="E86" s="498"/>
      <c r="F86" s="498"/>
      <c r="G86" s="499"/>
    </row>
    <row r="87" spans="1:7" ht="12.75" customHeight="1" x14ac:dyDescent="0.2">
      <c r="A87" s="497"/>
      <c r="B87" s="498"/>
      <c r="C87" s="498"/>
      <c r="D87" s="498"/>
      <c r="E87" s="498"/>
      <c r="F87" s="498"/>
      <c r="G87" s="499"/>
    </row>
    <row r="88" spans="1:7" ht="12.75" customHeight="1" x14ac:dyDescent="0.2">
      <c r="A88" s="497"/>
      <c r="B88" s="498"/>
      <c r="C88" s="498"/>
      <c r="D88" s="498"/>
      <c r="E88" s="498"/>
      <c r="F88" s="498"/>
      <c r="G88" s="499"/>
    </row>
    <row r="89" spans="1:7" ht="12.75" customHeight="1" x14ac:dyDescent="0.2">
      <c r="A89" s="497"/>
      <c r="B89" s="498"/>
      <c r="C89" s="498"/>
      <c r="D89" s="498"/>
      <c r="E89" s="498"/>
      <c r="F89" s="498"/>
      <c r="G89" s="499"/>
    </row>
    <row r="90" spans="1:7" ht="12.75" customHeight="1" x14ac:dyDescent="0.2">
      <c r="A90" s="497"/>
      <c r="B90" s="498"/>
      <c r="C90" s="498"/>
      <c r="D90" s="498"/>
      <c r="E90" s="498"/>
      <c r="F90" s="498"/>
      <c r="G90" s="499"/>
    </row>
    <row r="91" spans="1:7" ht="12.75" customHeight="1" x14ac:dyDescent="0.2">
      <c r="A91" s="497"/>
      <c r="B91" s="498"/>
      <c r="C91" s="498"/>
      <c r="D91" s="498"/>
      <c r="E91" s="498"/>
      <c r="F91" s="498"/>
      <c r="G91" s="499"/>
    </row>
    <row r="92" spans="1:7" ht="12.75" customHeight="1" x14ac:dyDescent="0.2">
      <c r="A92" s="497"/>
      <c r="B92" s="498"/>
      <c r="C92" s="498"/>
      <c r="D92" s="498"/>
      <c r="E92" s="498"/>
      <c r="F92" s="498"/>
      <c r="G92" s="499"/>
    </row>
    <row r="93" spans="1:7" ht="12.75" customHeight="1" x14ac:dyDescent="0.2">
      <c r="A93" s="497"/>
      <c r="B93" s="498"/>
      <c r="C93" s="498"/>
      <c r="D93" s="498"/>
      <c r="E93" s="498"/>
      <c r="F93" s="498"/>
      <c r="G93" s="499"/>
    </row>
    <row r="94" spans="1:7" ht="12.75" customHeight="1" x14ac:dyDescent="0.2">
      <c r="A94" s="497"/>
      <c r="B94" s="498"/>
      <c r="C94" s="498"/>
      <c r="D94" s="498"/>
      <c r="E94" s="498"/>
      <c r="F94" s="498"/>
      <c r="G94" s="499"/>
    </row>
    <row r="95" spans="1:7" ht="12.75" customHeight="1" x14ac:dyDescent="0.2">
      <c r="A95" s="497"/>
      <c r="B95" s="498"/>
      <c r="C95" s="498"/>
      <c r="D95" s="498"/>
      <c r="E95" s="498"/>
      <c r="F95" s="498"/>
      <c r="G95" s="499"/>
    </row>
    <row r="96" spans="1:7" ht="12.75" customHeight="1" x14ac:dyDescent="0.2">
      <c r="A96" s="497"/>
      <c r="B96" s="498"/>
      <c r="C96" s="498"/>
      <c r="D96" s="498"/>
      <c r="E96" s="498"/>
      <c r="F96" s="498"/>
      <c r="G96" s="499"/>
    </row>
    <row r="97" spans="1:7" ht="12.75" customHeight="1" thickBot="1" x14ac:dyDescent="0.25">
      <c r="A97" s="500"/>
      <c r="B97" s="501"/>
      <c r="C97" s="501"/>
      <c r="D97" s="501"/>
      <c r="E97" s="501"/>
      <c r="F97" s="501"/>
      <c r="G97" s="502"/>
    </row>
    <row r="98" spans="1:7" ht="12.75" customHeight="1" x14ac:dyDescent="0.2"/>
    <row r="99" spans="1:7" ht="12.75" customHeight="1" x14ac:dyDescent="0.2"/>
    <row r="100" spans="1:7" ht="12.75" customHeight="1" x14ac:dyDescent="0.2"/>
    <row r="101" spans="1:7" ht="12.75" customHeight="1" x14ac:dyDescent="0.2"/>
    <row r="102" spans="1:7" ht="12.75" customHeight="1" x14ac:dyDescent="0.2"/>
    <row r="103" spans="1:7" ht="12.75" customHeight="1" x14ac:dyDescent="0.2"/>
    <row r="104" spans="1:7" ht="12.75" customHeight="1" x14ac:dyDescent="0.2"/>
    <row r="105" spans="1:7" ht="12.75" customHeight="1" x14ac:dyDescent="0.2"/>
    <row r="106" spans="1:7" ht="12.75" customHeight="1" x14ac:dyDescent="0.2"/>
    <row r="107" spans="1:7" ht="12.75" customHeight="1" x14ac:dyDescent="0.2"/>
    <row r="108" spans="1:7" ht="12.75" customHeight="1" x14ac:dyDescent="0.2"/>
    <row r="109" spans="1:7" ht="12.75" customHeight="1" x14ac:dyDescent="0.2"/>
    <row r="110" spans="1:7" ht="12.75" customHeight="1" x14ac:dyDescent="0.2"/>
    <row r="111" spans="1:7" ht="12.75" customHeight="1" x14ac:dyDescent="0.2"/>
    <row r="112" spans="1:7" ht="12.75" customHeight="1" x14ac:dyDescent="0.2"/>
    <row r="113" ht="12.75" customHeight="1" x14ac:dyDescent="0.2"/>
    <row r="114" ht="12.75" customHeight="1" x14ac:dyDescent="0.2"/>
    <row r="115" ht="13.5" customHeight="1" x14ac:dyDescent="0.2"/>
    <row r="116" ht="18.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3.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23">
    <mergeCell ref="A1:D1"/>
    <mergeCell ref="A4:A5"/>
    <mergeCell ref="C4:C5"/>
    <mergeCell ref="J4:J5"/>
    <mergeCell ref="E10:F11"/>
    <mergeCell ref="G10:G11"/>
    <mergeCell ref="E12:F13"/>
    <mergeCell ref="G12:G13"/>
    <mergeCell ref="E14:F15"/>
    <mergeCell ref="G14:G15"/>
    <mergeCell ref="E16:F17"/>
    <mergeCell ref="G16:G17"/>
    <mergeCell ref="E18:F19"/>
    <mergeCell ref="G18:G19"/>
    <mergeCell ref="E20:F21"/>
    <mergeCell ref="G20:G21"/>
    <mergeCell ref="E22:F23"/>
    <mergeCell ref="G22:G23"/>
    <mergeCell ref="E24:F25"/>
    <mergeCell ref="G24:G25"/>
    <mergeCell ref="E26:F27"/>
    <mergeCell ref="G26:G27"/>
    <mergeCell ref="A60:G97"/>
  </mergeCells>
  <conditionalFormatting sqref="I19 H20:I20 I21 H24">
    <cfRule type="expression" dxfId="26" priority="3">
      <formula>ISNUMBER(SEARCH(TEXT(#REF!,"ddd"),#REF!))</formula>
    </cfRule>
  </conditionalFormatting>
  <conditionalFormatting sqref="A22:D22 A14:D14 A16:D16 A24:C24 A18:D18">
    <cfRule type="expression" dxfId="25" priority="4">
      <formula>ISNUMBER(SEARCH(TEXT(#REF!,"ddd"),#REF!))</formula>
    </cfRule>
  </conditionalFormatting>
  <conditionalFormatting sqref="K22:K24">
    <cfRule type="expression" dxfId="24" priority="5">
      <formula>ISNUMBER(SEARCH(TEXT(#REF!,"ddd"),#REF!))</formula>
    </cfRule>
  </conditionalFormatting>
  <conditionalFormatting sqref="D20">
    <cfRule type="expression" dxfId="23" priority="2">
      <formula>ISNUMBER(SEARCH(TEXT(#REF!,"ddd"),#REF!))</formula>
    </cfRule>
  </conditionalFormatting>
  <conditionalFormatting sqref="A20:C20">
    <cfRule type="expression" dxfId="22" priority="1">
      <formula>ISNUMBER(SEARCH(TEXT(#REF!,"ddd"),#REF!))</formula>
    </cfRule>
  </conditionalFormatting>
  <dataValidations count="2">
    <dataValidation type="custom" allowBlank="1" showInputMessage="1" showErrorMessage="1" sqref="C14" xr:uid="{09D8B9B4-AA06-4D9E-AFAA-7596C77E962C}">
      <formula1>AND($C14&lt;=1,ISNUMBER($C14),($C14&gt;=$B14))</formula1>
    </dataValidation>
    <dataValidation type="custom" allowBlank="1" showInputMessage="1" showErrorMessage="1" sqref="B16:C16 B18:C18 B20:C20 B24:C24 B22:C22 B14" xr:uid="{5204BD12-FD91-4AB7-B51A-E93C85854A38}">
      <formula1>AND($B14&lt;=1,ISNUMBER($B14))</formula1>
    </dataValidation>
  </dataValidations>
  <pageMargins left="0.23622047244094491" right="0.23622047244094491" top="0.74803149606299213" bottom="0.74803149606299213" header="0.31496062992125984" footer="0.31496062992125984"/>
  <pageSetup paperSize="9" scale="85" fitToHeight="0" orientation="portrait" horizontalDpi="4294967293" vertic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0171F-636E-494D-96FE-88F3E7AD2250}">
  <sheetPr codeName="Sheet23"/>
  <dimension ref="A1:L212"/>
  <sheetViews>
    <sheetView showGridLines="0" zoomScaleNormal="100" workbookViewId="0">
      <selection activeCell="C6" sqref="C6"/>
    </sheetView>
  </sheetViews>
  <sheetFormatPr baseColWidth="10" defaultColWidth="9" defaultRowHeight="12.75" x14ac:dyDescent="0.2"/>
  <cols>
    <col min="1" max="1" width="13.37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2" ht="27" thickTop="1" x14ac:dyDescent="0.4">
      <c r="A1" s="419" t="s">
        <v>49</v>
      </c>
      <c r="B1" s="419"/>
      <c r="C1" s="419"/>
      <c r="D1" s="419"/>
      <c r="E1" s="45">
        <f>WEEKNUM(A10)</f>
        <v>17</v>
      </c>
      <c r="F1" s="46"/>
      <c r="G1" s="47"/>
      <c r="H1" s="26"/>
      <c r="J1" s="1"/>
    </row>
    <row r="2" spans="1:12" s="1" customFormat="1" ht="14.25" customHeight="1" x14ac:dyDescent="0.25">
      <c r="A2" s="38" t="s">
        <v>1</v>
      </c>
      <c r="B2" s="38"/>
      <c r="C2" s="38" t="s">
        <v>2</v>
      </c>
      <c r="D2" s="38"/>
      <c r="E2" s="250" t="s">
        <v>3</v>
      </c>
      <c r="F2" s="44" t="s">
        <v>4</v>
      </c>
      <c r="G2" s="44" t="s">
        <v>29</v>
      </c>
      <c r="H2" s="20"/>
      <c r="I2" s="13"/>
      <c r="J2" s="6"/>
      <c r="K2" s="1" t="s">
        <v>69</v>
      </c>
    </row>
    <row r="3" spans="1:12" ht="16.5" thickBot="1" x14ac:dyDescent="0.25">
      <c r="A3" s="274">
        <f>A10</f>
        <v>43941</v>
      </c>
      <c r="B3" s="382"/>
      <c r="C3" s="274">
        <f>A26</f>
        <v>43945</v>
      </c>
      <c r="D3" s="382"/>
      <c r="E3" s="249" t="s">
        <v>6</v>
      </c>
      <c r="F3" s="261">
        <f>Sumcolor(E3,D10:D40)</f>
        <v>0</v>
      </c>
      <c r="G3" s="259">
        <f>SUM(Først:Sist!F3)</f>
        <v>0.93402777777777768</v>
      </c>
      <c r="H3" s="22"/>
      <c r="I3" s="7"/>
      <c r="J3" s="7"/>
      <c r="K3" t="s">
        <v>70</v>
      </c>
    </row>
    <row r="4" spans="1:12" ht="15" customHeight="1" x14ac:dyDescent="0.2">
      <c r="A4" s="420" t="s">
        <v>96</v>
      </c>
      <c r="B4" s="383"/>
      <c r="C4" s="420" t="s">
        <v>51</v>
      </c>
      <c r="D4" s="384"/>
      <c r="E4" s="246" t="s">
        <v>9</v>
      </c>
      <c r="F4" s="261">
        <f>Sumcolor(E4,D10:D40)</f>
        <v>0.62500000000000022</v>
      </c>
      <c r="G4" s="259">
        <f>SUM(Først:Sist!F4)</f>
        <v>6.5486111111111125</v>
      </c>
      <c r="H4" s="22"/>
      <c r="I4" s="7"/>
      <c r="J4" s="399"/>
    </row>
    <row r="5" spans="1:12" ht="15.75" x14ac:dyDescent="0.2">
      <c r="A5" s="447"/>
      <c r="B5" s="384"/>
      <c r="C5" s="421"/>
      <c r="D5" s="384"/>
      <c r="E5" s="247" t="s">
        <v>10</v>
      </c>
      <c r="F5" s="261">
        <f>Sumcolor(E5,D10:D40)</f>
        <v>7.291666666666663E-2</v>
      </c>
      <c r="G5" s="259">
        <f>SUM(Først:Sist!F5)</f>
        <v>1.3368055555555545</v>
      </c>
      <c r="H5" s="22"/>
      <c r="I5" s="7"/>
      <c r="J5" s="399"/>
      <c r="K5" t="s">
        <v>71</v>
      </c>
    </row>
    <row r="6" spans="1:12" ht="18.75" customHeight="1" thickBot="1" x14ac:dyDescent="0.25">
      <c r="A6" s="328">
        <f>SUM(D10:D40)</f>
        <v>0.76041666666666685</v>
      </c>
      <c r="B6" s="40"/>
      <c r="C6" s="240">
        <f>SUM('Først:Uke17'!A6)</f>
        <v>8.3680555555555536</v>
      </c>
      <c r="D6" s="42"/>
      <c r="E6" s="248" t="s">
        <v>11</v>
      </c>
      <c r="F6" s="260">
        <f>Sumcolor(E6,D10:D40)</f>
        <v>6.25E-2</v>
      </c>
      <c r="G6" s="260">
        <f>SUM(Først:Sist!F6)</f>
        <v>2.4791666666666661</v>
      </c>
      <c r="H6" s="22"/>
      <c r="I6" s="7"/>
      <c r="J6" s="7"/>
      <c r="K6" t="s">
        <v>72</v>
      </c>
    </row>
    <row r="7" spans="1:12" ht="12.75" customHeight="1" x14ac:dyDescent="0.2">
      <c r="A7" s="19"/>
      <c r="B7" s="23"/>
      <c r="C7" s="24"/>
      <c r="D7" s="14"/>
      <c r="E7" s="23"/>
      <c r="F7" s="23"/>
      <c r="G7" s="25"/>
      <c r="H7" s="25"/>
    </row>
    <row r="8" spans="1:12" x14ac:dyDescent="0.2">
      <c r="A8" s="23"/>
      <c r="B8" s="25"/>
      <c r="C8" s="14"/>
      <c r="D8" s="25"/>
      <c r="E8" s="23"/>
      <c r="F8" s="23"/>
      <c r="G8" s="25"/>
      <c r="H8" s="25"/>
      <c r="K8" t="s">
        <v>73</v>
      </c>
    </row>
    <row r="9" spans="1:12" ht="16.5" thickBot="1" x14ac:dyDescent="0.3">
      <c r="A9" s="30" t="s">
        <v>15</v>
      </c>
      <c r="B9" s="30" t="s">
        <v>18</v>
      </c>
      <c r="C9" s="30" t="s">
        <v>19</v>
      </c>
      <c r="D9" s="30" t="s">
        <v>20</v>
      </c>
      <c r="E9" s="30" t="s">
        <v>21</v>
      </c>
      <c r="G9" s="30" t="s">
        <v>42</v>
      </c>
      <c r="H9" s="25"/>
      <c r="K9" t="s">
        <v>74</v>
      </c>
    </row>
    <row r="10" spans="1:12" ht="15.6" customHeight="1" x14ac:dyDescent="0.25">
      <c r="A10" s="322">
        <v>43941</v>
      </c>
      <c r="B10" s="323">
        <v>0.59722222222222221</v>
      </c>
      <c r="C10" s="323">
        <v>0.60763888888888895</v>
      </c>
      <c r="D10" s="324">
        <f>(C10-B10)</f>
        <v>1.0416666666666741E-2</v>
      </c>
      <c r="E10" s="515" t="s">
        <v>98</v>
      </c>
      <c r="F10" s="516"/>
      <c r="G10" s="492"/>
      <c r="H10" s="25"/>
    </row>
    <row r="11" spans="1:12" ht="18" customHeight="1" thickBot="1" x14ac:dyDescent="0.3">
      <c r="A11" s="325"/>
      <c r="B11" s="326"/>
      <c r="C11" s="326"/>
      <c r="D11" s="327"/>
      <c r="E11" s="517"/>
      <c r="F11" s="518"/>
      <c r="G11" s="493"/>
      <c r="H11" s="25"/>
      <c r="K11" t="s">
        <v>76</v>
      </c>
    </row>
    <row r="12" spans="1:12" ht="17.25" customHeight="1" x14ac:dyDescent="0.25">
      <c r="A12" s="322">
        <v>43941</v>
      </c>
      <c r="B12" s="323">
        <v>0.625</v>
      </c>
      <c r="C12" s="323">
        <v>0.64930555555555558</v>
      </c>
      <c r="D12" s="324">
        <f>(C12-B12)</f>
        <v>2.430555555555558E-2</v>
      </c>
      <c r="E12" s="515" t="s">
        <v>190</v>
      </c>
      <c r="F12" s="516"/>
      <c r="G12" s="492"/>
      <c r="K12" t="s">
        <v>78</v>
      </c>
    </row>
    <row r="13" spans="1:12" ht="15.6" customHeight="1" thickBot="1" x14ac:dyDescent="0.3">
      <c r="A13" s="332"/>
      <c r="B13" s="327"/>
      <c r="C13" s="327"/>
      <c r="D13" s="327"/>
      <c r="E13" s="517"/>
      <c r="F13" s="518"/>
      <c r="G13" s="493"/>
    </row>
    <row r="14" spans="1:12" ht="15.75" customHeight="1" x14ac:dyDescent="0.2">
      <c r="A14" s="342">
        <v>43942</v>
      </c>
      <c r="B14" s="344">
        <v>0.82638888888888884</v>
      </c>
      <c r="C14" s="344">
        <v>0.87152777777777779</v>
      </c>
      <c r="D14" s="344">
        <f t="shared" ref="D14" si="0">(C14-B14)</f>
        <v>4.5138888888888951E-2</v>
      </c>
      <c r="E14" s="530" t="s">
        <v>216</v>
      </c>
      <c r="F14" s="556"/>
      <c r="G14" s="492"/>
    </row>
    <row r="15" spans="1:12" ht="15.75" thickBot="1" x14ac:dyDescent="0.3">
      <c r="A15" s="345"/>
      <c r="B15" s="346"/>
      <c r="C15" s="346"/>
      <c r="D15" s="346"/>
      <c r="E15" s="532"/>
      <c r="F15" s="532"/>
      <c r="G15" s="493"/>
    </row>
    <row r="16" spans="1:12" ht="15.6" customHeight="1" x14ac:dyDescent="0.2">
      <c r="A16" s="264">
        <v>43944</v>
      </c>
      <c r="B16" s="241">
        <v>0.58680555555555558</v>
      </c>
      <c r="C16" s="241">
        <v>0.60416666666666663</v>
      </c>
      <c r="D16" s="242">
        <f>(C16-B16)</f>
        <v>1.7361111111111049E-2</v>
      </c>
      <c r="E16" s="511" t="s">
        <v>98</v>
      </c>
      <c r="F16" s="445"/>
      <c r="G16" s="492"/>
      <c r="K16" s="329"/>
      <c r="L16" s="329"/>
    </row>
    <row r="17" spans="1:12" ht="16.149999999999999" customHeight="1" thickBot="1" x14ac:dyDescent="0.25">
      <c r="A17" s="265"/>
      <c r="B17" s="243"/>
      <c r="C17" s="243"/>
      <c r="D17" s="243"/>
      <c r="E17" s="446"/>
      <c r="F17" s="446"/>
      <c r="G17" s="493"/>
    </row>
    <row r="18" spans="1:12" ht="15.75" x14ac:dyDescent="0.2">
      <c r="A18" s="337">
        <v>43944</v>
      </c>
      <c r="B18" s="338">
        <v>0.60416666666666663</v>
      </c>
      <c r="C18" s="338">
        <v>0.67361111111111116</v>
      </c>
      <c r="D18" s="339">
        <f>(C18-B18)</f>
        <v>6.9444444444444531E-2</v>
      </c>
      <c r="E18" s="522" t="s">
        <v>217</v>
      </c>
      <c r="F18" s="525"/>
      <c r="G18" s="492" t="s">
        <v>291</v>
      </c>
    </row>
    <row r="19" spans="1:12" ht="15.75" customHeight="1" thickBot="1" x14ac:dyDescent="0.25">
      <c r="A19" s="340"/>
      <c r="B19" s="341"/>
      <c r="C19" s="341"/>
      <c r="D19" s="341"/>
      <c r="E19" s="526"/>
      <c r="F19" s="527"/>
      <c r="G19" s="493"/>
      <c r="I19" s="8"/>
    </row>
    <row r="20" spans="1:12" ht="15.75" customHeight="1" x14ac:dyDescent="0.25">
      <c r="A20" s="375">
        <v>43944</v>
      </c>
      <c r="B20" s="376">
        <v>0.69791666666666663</v>
      </c>
      <c r="C20" s="376">
        <v>0.79861111111111116</v>
      </c>
      <c r="D20" s="334">
        <f>(C20-B20)</f>
        <v>0.10069444444444453</v>
      </c>
      <c r="E20" s="519" t="s">
        <v>218</v>
      </c>
      <c r="F20" s="528"/>
      <c r="G20" s="492" t="s">
        <v>291</v>
      </c>
      <c r="H20" s="8"/>
      <c r="I20" s="8"/>
      <c r="L20" s="21"/>
    </row>
    <row r="21" spans="1:12" ht="48.75" customHeight="1" thickBot="1" x14ac:dyDescent="0.3">
      <c r="A21" s="335"/>
      <c r="B21" s="336"/>
      <c r="C21" s="336"/>
      <c r="D21" s="336"/>
      <c r="E21" s="521"/>
      <c r="F21" s="529"/>
      <c r="G21" s="493"/>
      <c r="I21" s="8"/>
    </row>
    <row r="22" spans="1:12" ht="15.6" customHeight="1" x14ac:dyDescent="0.2">
      <c r="A22" s="333">
        <v>43944</v>
      </c>
      <c r="B22" s="334">
        <v>0.80902777777777779</v>
      </c>
      <c r="C22" s="334">
        <v>0.86111111111111116</v>
      </c>
      <c r="D22" s="334">
        <f>(C22-B22)</f>
        <v>5.208333333333337E-2</v>
      </c>
      <c r="E22" s="520" t="s">
        <v>219</v>
      </c>
      <c r="F22" s="528"/>
      <c r="G22" s="492" t="s">
        <v>293</v>
      </c>
      <c r="I22" s="9"/>
      <c r="K22" s="8"/>
    </row>
    <row r="23" spans="1:12" ht="19.5" customHeight="1" thickBot="1" x14ac:dyDescent="0.3">
      <c r="A23" s="335"/>
      <c r="B23" s="336"/>
      <c r="C23" s="336"/>
      <c r="D23" s="336"/>
      <c r="E23" s="521"/>
      <c r="F23" s="529"/>
      <c r="G23" s="493"/>
      <c r="I23" s="10"/>
      <c r="K23" s="8"/>
    </row>
    <row r="24" spans="1:12" ht="15.75" x14ac:dyDescent="0.2">
      <c r="A24" s="333">
        <v>43945</v>
      </c>
      <c r="B24" s="334">
        <v>0.51736111111111105</v>
      </c>
      <c r="C24" s="334">
        <v>0.54513888888888895</v>
      </c>
      <c r="D24" s="334">
        <f>(C24-B24)</f>
        <v>2.7777777777777901E-2</v>
      </c>
      <c r="E24" s="519" t="s">
        <v>220</v>
      </c>
      <c r="F24" s="528"/>
      <c r="G24" s="492" t="s">
        <v>292</v>
      </c>
      <c r="H24" s="8"/>
      <c r="K24" s="8"/>
    </row>
    <row r="25" spans="1:12" ht="32.25" customHeight="1" thickBot="1" x14ac:dyDescent="0.25">
      <c r="A25" s="340"/>
      <c r="B25" s="341"/>
      <c r="C25" s="341"/>
      <c r="D25" s="341"/>
      <c r="E25" s="521"/>
      <c r="F25" s="529"/>
      <c r="G25" s="493"/>
      <c r="H25" s="9"/>
      <c r="K25" s="9"/>
    </row>
    <row r="26" spans="1:12" ht="15.75" x14ac:dyDescent="0.2">
      <c r="A26" s="333">
        <v>43945</v>
      </c>
      <c r="B26" s="347">
        <v>0.54861111111111105</v>
      </c>
      <c r="C26" s="347">
        <v>0.60416666666666663</v>
      </c>
      <c r="D26" s="334">
        <f>(C26-B26)</f>
        <v>5.555555555555558E-2</v>
      </c>
      <c r="E26" s="519" t="s">
        <v>221</v>
      </c>
      <c r="F26" s="528"/>
      <c r="G26" s="492" t="s">
        <v>291</v>
      </c>
      <c r="H26" s="10"/>
      <c r="K26" s="11"/>
    </row>
    <row r="27" spans="1:12" ht="35.25" customHeight="1" thickBot="1" x14ac:dyDescent="0.3">
      <c r="A27" s="335"/>
      <c r="B27" s="336"/>
      <c r="C27" s="336"/>
      <c r="D27" s="336"/>
      <c r="E27" s="521"/>
      <c r="F27" s="529"/>
      <c r="G27" s="493"/>
      <c r="H27" s="29"/>
      <c r="K27" s="7"/>
    </row>
    <row r="28" spans="1:12" ht="15.6" customHeight="1" x14ac:dyDescent="0.2">
      <c r="A28" s="333">
        <v>43945</v>
      </c>
      <c r="B28" s="347">
        <v>0.61458333333333337</v>
      </c>
      <c r="C28" s="347">
        <v>0.65277777777777779</v>
      </c>
      <c r="D28" s="334">
        <f t="shared" ref="D28" si="1">(C28-B28)</f>
        <v>3.819444444444442E-2</v>
      </c>
      <c r="E28" s="519" t="s">
        <v>222</v>
      </c>
      <c r="F28" s="528"/>
      <c r="G28" s="492" t="s">
        <v>293</v>
      </c>
      <c r="H28" s="29"/>
    </row>
    <row r="29" spans="1:12" ht="17.25" customHeight="1" thickBot="1" x14ac:dyDescent="0.3">
      <c r="A29" s="335"/>
      <c r="B29" s="336"/>
      <c r="C29" s="336"/>
      <c r="D29" s="336"/>
      <c r="E29" s="521"/>
      <c r="F29" s="529"/>
      <c r="G29" s="493"/>
      <c r="H29" s="29"/>
    </row>
    <row r="30" spans="1:12" ht="12.75" customHeight="1" x14ac:dyDescent="0.2">
      <c r="A30" s="333">
        <v>43945</v>
      </c>
      <c r="B30" s="347">
        <v>0.65277777777777779</v>
      </c>
      <c r="C30" s="347">
        <v>0.74305555555555547</v>
      </c>
      <c r="D30" s="334">
        <f t="shared" ref="D30" si="2">(C30-B30)</f>
        <v>9.0277777777777679E-2</v>
      </c>
      <c r="E30" s="519" t="s">
        <v>223</v>
      </c>
      <c r="F30" s="528"/>
      <c r="G30" s="492" t="s">
        <v>291</v>
      </c>
      <c r="H30" s="29"/>
    </row>
    <row r="31" spans="1:12" ht="35.25" customHeight="1" thickBot="1" x14ac:dyDescent="0.3">
      <c r="A31" s="335"/>
      <c r="B31" s="336"/>
      <c r="C31" s="336"/>
      <c r="D31" s="336"/>
      <c r="E31" s="521"/>
      <c r="F31" s="529"/>
      <c r="G31" s="493"/>
      <c r="H31" s="29"/>
    </row>
    <row r="32" spans="1:12" ht="12.75" customHeight="1" x14ac:dyDescent="0.2">
      <c r="A32" s="333">
        <v>43946</v>
      </c>
      <c r="B32" s="347">
        <v>0.50694444444444442</v>
      </c>
      <c r="C32" s="347">
        <v>0.57986111111111105</v>
      </c>
      <c r="D32" s="334">
        <f t="shared" ref="D32" si="3">(C32-B32)</f>
        <v>7.291666666666663E-2</v>
      </c>
      <c r="E32" s="519" t="s">
        <v>224</v>
      </c>
      <c r="F32" s="528"/>
      <c r="G32" s="492" t="s">
        <v>291</v>
      </c>
      <c r="H32" s="29"/>
    </row>
    <row r="33" spans="1:8" ht="21" customHeight="1" thickBot="1" x14ac:dyDescent="0.3">
      <c r="A33" s="335"/>
      <c r="B33" s="336"/>
      <c r="C33" s="336"/>
      <c r="D33" s="336"/>
      <c r="E33" s="521"/>
      <c r="F33" s="529"/>
      <c r="G33" s="493"/>
      <c r="H33" s="29"/>
    </row>
    <row r="34" spans="1:8" ht="15.75" x14ac:dyDescent="0.2">
      <c r="A34" s="267">
        <v>43946</v>
      </c>
      <c r="B34" s="252">
        <v>0.58333333333333337</v>
      </c>
      <c r="C34" s="252">
        <v>0.60416666666666663</v>
      </c>
      <c r="D34" s="244">
        <f t="shared" ref="D34" si="4">(C34-B34)</f>
        <v>2.0833333333333259E-2</v>
      </c>
      <c r="E34" s="439" t="s">
        <v>98</v>
      </c>
      <c r="F34" s="476"/>
      <c r="G34" s="492"/>
      <c r="H34" s="29"/>
    </row>
    <row r="35" spans="1:8" ht="15.75" thickBot="1" x14ac:dyDescent="0.3">
      <c r="A35" s="305"/>
      <c r="B35" s="306"/>
      <c r="C35" s="306"/>
      <c r="D35" s="306"/>
      <c r="E35" s="449"/>
      <c r="F35" s="477"/>
      <c r="G35" s="493"/>
      <c r="H35" s="29"/>
    </row>
    <row r="36" spans="1:8" ht="15.75" x14ac:dyDescent="0.2">
      <c r="A36" s="333">
        <v>43946</v>
      </c>
      <c r="B36" s="347">
        <v>0.60416666666666663</v>
      </c>
      <c r="C36" s="347">
        <v>0.67361111111111116</v>
      </c>
      <c r="D36" s="334">
        <f t="shared" ref="D36" si="5">(C36-B36)</f>
        <v>6.9444444444444531E-2</v>
      </c>
      <c r="E36" s="519" t="s">
        <v>225</v>
      </c>
      <c r="F36" s="528"/>
      <c r="G36" s="492" t="s">
        <v>292</v>
      </c>
      <c r="H36" s="29"/>
    </row>
    <row r="37" spans="1:8" ht="15.75" thickBot="1" x14ac:dyDescent="0.3">
      <c r="A37" s="335"/>
      <c r="B37" s="336"/>
      <c r="C37" s="336"/>
      <c r="D37" s="336"/>
      <c r="E37" s="521"/>
      <c r="F37" s="529"/>
      <c r="G37" s="493"/>
      <c r="H37" s="29"/>
    </row>
    <row r="38" spans="1:8" ht="15.75" x14ac:dyDescent="0.2">
      <c r="A38" s="333">
        <v>43947</v>
      </c>
      <c r="B38" s="347">
        <v>0.55555555555555558</v>
      </c>
      <c r="C38" s="347">
        <v>0.60416666666666663</v>
      </c>
      <c r="D38" s="334">
        <f t="shared" ref="D38" si="6">(C38-B38)</f>
        <v>4.8611111111111049E-2</v>
      </c>
      <c r="E38" s="519" t="s">
        <v>226</v>
      </c>
      <c r="F38" s="528"/>
      <c r="G38" s="492" t="s">
        <v>292</v>
      </c>
    </row>
    <row r="39" spans="1:8" ht="15.75" thickBot="1" x14ac:dyDescent="0.3">
      <c r="A39" s="335"/>
      <c r="B39" s="336"/>
      <c r="C39" s="336"/>
      <c r="D39" s="336"/>
      <c r="E39" s="521"/>
      <c r="F39" s="529"/>
      <c r="G39" s="493"/>
    </row>
    <row r="40" spans="1:8" ht="15.75" x14ac:dyDescent="0.2">
      <c r="A40" s="342">
        <v>43947</v>
      </c>
      <c r="B40" s="343">
        <v>0.67361111111111116</v>
      </c>
      <c r="C40" s="343">
        <v>0.69097222222222221</v>
      </c>
      <c r="D40" s="344">
        <f t="shared" ref="D40" si="7">(C40-B40)</f>
        <v>1.7361111111111049E-2</v>
      </c>
      <c r="E40" s="530" t="s">
        <v>227</v>
      </c>
      <c r="F40" s="531"/>
      <c r="G40" s="492"/>
    </row>
    <row r="41" spans="1:8" ht="15.75" thickBot="1" x14ac:dyDescent="0.3">
      <c r="A41" s="345"/>
      <c r="B41" s="346"/>
      <c r="C41" s="346"/>
      <c r="D41" s="346"/>
      <c r="E41" s="532"/>
      <c r="F41" s="533"/>
      <c r="G41" s="493"/>
    </row>
    <row r="49" spans="1:7" ht="24" thickBot="1" x14ac:dyDescent="0.4">
      <c r="A49" s="28" t="s">
        <v>26</v>
      </c>
      <c r="B49" s="28"/>
      <c r="C49" s="27"/>
      <c r="D49" s="27"/>
      <c r="E49" s="27"/>
      <c r="F49" s="98"/>
      <c r="G49" s="98"/>
    </row>
    <row r="50" spans="1:7" ht="16.5" thickBot="1" x14ac:dyDescent="0.25">
      <c r="A50" s="234"/>
      <c r="B50" s="234"/>
      <c r="C50" s="234"/>
      <c r="D50" s="234"/>
      <c r="E50" s="234"/>
      <c r="F50" s="234"/>
      <c r="G50" s="234"/>
    </row>
    <row r="51" spans="1:7" x14ac:dyDescent="0.2">
      <c r="A51" s="494" t="s">
        <v>228</v>
      </c>
      <c r="B51" s="495"/>
      <c r="C51" s="495"/>
      <c r="D51" s="495"/>
      <c r="E51" s="495"/>
      <c r="F51" s="495"/>
      <c r="G51" s="496"/>
    </row>
    <row r="52" spans="1:7" ht="12.75" customHeight="1" x14ac:dyDescent="0.2">
      <c r="A52" s="497"/>
      <c r="B52" s="498"/>
      <c r="C52" s="498"/>
      <c r="D52" s="498"/>
      <c r="E52" s="498"/>
      <c r="F52" s="498"/>
      <c r="G52" s="499"/>
    </row>
    <row r="53" spans="1:7" ht="12.75" customHeight="1" x14ac:dyDescent="0.2">
      <c r="A53" s="497"/>
      <c r="B53" s="498"/>
      <c r="C53" s="498"/>
      <c r="D53" s="498"/>
      <c r="E53" s="498"/>
      <c r="F53" s="498"/>
      <c r="G53" s="499"/>
    </row>
    <row r="54" spans="1:7" ht="12.75" customHeight="1" x14ac:dyDescent="0.2">
      <c r="A54" s="497"/>
      <c r="B54" s="498"/>
      <c r="C54" s="498"/>
      <c r="D54" s="498"/>
      <c r="E54" s="498"/>
      <c r="F54" s="498"/>
      <c r="G54" s="499"/>
    </row>
    <row r="55" spans="1:7" ht="12.75" customHeight="1" x14ac:dyDescent="0.2">
      <c r="A55" s="497"/>
      <c r="B55" s="498"/>
      <c r="C55" s="498"/>
      <c r="D55" s="498"/>
      <c r="E55" s="498"/>
      <c r="F55" s="498"/>
      <c r="G55" s="499"/>
    </row>
    <row r="56" spans="1:7" ht="12.75" customHeight="1" x14ac:dyDescent="0.2">
      <c r="A56" s="497"/>
      <c r="B56" s="498"/>
      <c r="C56" s="498"/>
      <c r="D56" s="498"/>
      <c r="E56" s="498"/>
      <c r="F56" s="498"/>
      <c r="G56" s="499"/>
    </row>
    <row r="57" spans="1:7" ht="12.75" customHeight="1" x14ac:dyDescent="0.2">
      <c r="A57" s="497"/>
      <c r="B57" s="498"/>
      <c r="C57" s="498"/>
      <c r="D57" s="498"/>
      <c r="E57" s="498"/>
      <c r="F57" s="498"/>
      <c r="G57" s="499"/>
    </row>
    <row r="58" spans="1:7" x14ac:dyDescent="0.2">
      <c r="A58" s="497"/>
      <c r="B58" s="498"/>
      <c r="C58" s="498"/>
      <c r="D58" s="498"/>
      <c r="E58" s="498"/>
      <c r="F58" s="498"/>
      <c r="G58" s="499"/>
    </row>
    <row r="59" spans="1:7" ht="12.75" customHeight="1" x14ac:dyDescent="0.2">
      <c r="A59" s="497"/>
      <c r="B59" s="498"/>
      <c r="C59" s="498"/>
      <c r="D59" s="498"/>
      <c r="E59" s="498"/>
      <c r="F59" s="498"/>
      <c r="G59" s="499"/>
    </row>
    <row r="60" spans="1:7" ht="12.75" customHeight="1" x14ac:dyDescent="0.2">
      <c r="A60" s="497"/>
      <c r="B60" s="498"/>
      <c r="C60" s="498"/>
      <c r="D60" s="498"/>
      <c r="E60" s="498"/>
      <c r="F60" s="498"/>
      <c r="G60" s="499"/>
    </row>
    <row r="61" spans="1:7" ht="12.6" customHeight="1" x14ac:dyDescent="0.2">
      <c r="A61" s="497"/>
      <c r="B61" s="498"/>
      <c r="C61" s="498"/>
      <c r="D61" s="498"/>
      <c r="E61" s="498"/>
      <c r="F61" s="498"/>
      <c r="G61" s="499"/>
    </row>
    <row r="62" spans="1:7" ht="12.75" customHeight="1" x14ac:dyDescent="0.2">
      <c r="A62" s="497"/>
      <c r="B62" s="498"/>
      <c r="C62" s="498"/>
      <c r="D62" s="498"/>
      <c r="E62" s="498"/>
      <c r="F62" s="498"/>
      <c r="G62" s="499"/>
    </row>
    <row r="63" spans="1:7" ht="12.75" customHeight="1" x14ac:dyDescent="0.2">
      <c r="A63" s="497"/>
      <c r="B63" s="498"/>
      <c r="C63" s="498"/>
      <c r="D63" s="498"/>
      <c r="E63" s="498"/>
      <c r="F63" s="498"/>
      <c r="G63" s="499"/>
    </row>
    <row r="64" spans="1:7" ht="12.75" customHeight="1" x14ac:dyDescent="0.2">
      <c r="A64" s="497"/>
      <c r="B64" s="498"/>
      <c r="C64" s="498"/>
      <c r="D64" s="498"/>
      <c r="E64" s="498"/>
      <c r="F64" s="498"/>
      <c r="G64" s="499"/>
    </row>
    <row r="65" spans="1:7" ht="12.75" customHeight="1" x14ac:dyDescent="0.2">
      <c r="A65" s="497"/>
      <c r="B65" s="498"/>
      <c r="C65" s="498"/>
      <c r="D65" s="498"/>
      <c r="E65" s="498"/>
      <c r="F65" s="498"/>
      <c r="G65" s="499"/>
    </row>
    <row r="66" spans="1:7" ht="12.75" customHeight="1" x14ac:dyDescent="0.2">
      <c r="A66" s="497"/>
      <c r="B66" s="498"/>
      <c r="C66" s="498"/>
      <c r="D66" s="498"/>
      <c r="E66" s="498"/>
      <c r="F66" s="498"/>
      <c r="G66" s="499"/>
    </row>
    <row r="67" spans="1:7" ht="12.75" customHeight="1" x14ac:dyDescent="0.2">
      <c r="A67" s="497"/>
      <c r="B67" s="498"/>
      <c r="C67" s="498"/>
      <c r="D67" s="498"/>
      <c r="E67" s="498"/>
      <c r="F67" s="498"/>
      <c r="G67" s="499"/>
    </row>
    <row r="68" spans="1:7" ht="12.75" customHeight="1" x14ac:dyDescent="0.2">
      <c r="A68" s="497"/>
      <c r="B68" s="498"/>
      <c r="C68" s="498"/>
      <c r="D68" s="498"/>
      <c r="E68" s="498"/>
      <c r="F68" s="498"/>
      <c r="G68" s="499"/>
    </row>
    <row r="69" spans="1:7" ht="12.75" customHeight="1" x14ac:dyDescent="0.2">
      <c r="A69" s="497"/>
      <c r="B69" s="498"/>
      <c r="C69" s="498"/>
      <c r="D69" s="498"/>
      <c r="E69" s="498"/>
      <c r="F69" s="498"/>
      <c r="G69" s="499"/>
    </row>
    <row r="70" spans="1:7" ht="12.6" customHeight="1" x14ac:dyDescent="0.2">
      <c r="A70" s="497"/>
      <c r="B70" s="498"/>
      <c r="C70" s="498"/>
      <c r="D70" s="498"/>
      <c r="E70" s="498"/>
      <c r="F70" s="498"/>
      <c r="G70" s="499"/>
    </row>
    <row r="71" spans="1:7" ht="12.6" customHeight="1" x14ac:dyDescent="0.2">
      <c r="A71" s="497"/>
      <c r="B71" s="498"/>
      <c r="C71" s="498"/>
      <c r="D71" s="498"/>
      <c r="E71" s="498"/>
      <c r="F71" s="498"/>
      <c r="G71" s="499"/>
    </row>
    <row r="72" spans="1:7" ht="12.6" customHeight="1" x14ac:dyDescent="0.2">
      <c r="A72" s="497"/>
      <c r="B72" s="498"/>
      <c r="C72" s="498"/>
      <c r="D72" s="498"/>
      <c r="E72" s="498"/>
      <c r="F72" s="498"/>
      <c r="G72" s="499"/>
    </row>
    <row r="73" spans="1:7" ht="12.6" customHeight="1" x14ac:dyDescent="0.2">
      <c r="A73" s="497"/>
      <c r="B73" s="498"/>
      <c r="C73" s="498"/>
      <c r="D73" s="498"/>
      <c r="E73" s="498"/>
      <c r="F73" s="498"/>
      <c r="G73" s="499"/>
    </row>
    <row r="74" spans="1:7" ht="12.6" customHeight="1" x14ac:dyDescent="0.2">
      <c r="A74" s="497"/>
      <c r="B74" s="498"/>
      <c r="C74" s="498"/>
      <c r="D74" s="498"/>
      <c r="E74" s="498"/>
      <c r="F74" s="498"/>
      <c r="G74" s="499"/>
    </row>
    <row r="75" spans="1:7" ht="12.6" customHeight="1" x14ac:dyDescent="0.2">
      <c r="A75" s="497"/>
      <c r="B75" s="498"/>
      <c r="C75" s="498"/>
      <c r="D75" s="498"/>
      <c r="E75" s="498"/>
      <c r="F75" s="498"/>
      <c r="G75" s="499"/>
    </row>
    <row r="76" spans="1:7" ht="12.6" customHeight="1" x14ac:dyDescent="0.2">
      <c r="A76" s="497"/>
      <c r="B76" s="498"/>
      <c r="C76" s="498"/>
      <c r="D76" s="498"/>
      <c r="E76" s="498"/>
      <c r="F76" s="498"/>
      <c r="G76" s="499"/>
    </row>
    <row r="77" spans="1:7" ht="12.6" customHeight="1" x14ac:dyDescent="0.2">
      <c r="A77" s="497"/>
      <c r="B77" s="498"/>
      <c r="C77" s="498"/>
      <c r="D77" s="498"/>
      <c r="E77" s="498"/>
      <c r="F77" s="498"/>
      <c r="G77" s="499"/>
    </row>
    <row r="78" spans="1:7" ht="12.6" customHeight="1" x14ac:dyDescent="0.2">
      <c r="A78" s="497"/>
      <c r="B78" s="498"/>
      <c r="C78" s="498"/>
      <c r="D78" s="498"/>
      <c r="E78" s="498"/>
      <c r="F78" s="498"/>
      <c r="G78" s="499"/>
    </row>
    <row r="79" spans="1:7" ht="12.6" customHeight="1" x14ac:dyDescent="0.2">
      <c r="A79" s="497"/>
      <c r="B79" s="498"/>
      <c r="C79" s="498"/>
      <c r="D79" s="498"/>
      <c r="E79" s="498"/>
      <c r="F79" s="498"/>
      <c r="G79" s="499"/>
    </row>
    <row r="80" spans="1:7" ht="12.6" customHeight="1" x14ac:dyDescent="0.2">
      <c r="A80" s="497"/>
      <c r="B80" s="498"/>
      <c r="C80" s="498"/>
      <c r="D80" s="498"/>
      <c r="E80" s="498"/>
      <c r="F80" s="498"/>
      <c r="G80" s="499"/>
    </row>
    <row r="81" spans="1:7" ht="13.15" customHeight="1" x14ac:dyDescent="0.2">
      <c r="A81" s="497"/>
      <c r="B81" s="498"/>
      <c r="C81" s="498"/>
      <c r="D81" s="498"/>
      <c r="E81" s="498"/>
      <c r="F81" s="498"/>
      <c r="G81" s="499"/>
    </row>
    <row r="82" spans="1:7" ht="12.75" customHeight="1" x14ac:dyDescent="0.2">
      <c r="A82" s="497"/>
      <c r="B82" s="498"/>
      <c r="C82" s="498"/>
      <c r="D82" s="498"/>
      <c r="E82" s="498"/>
      <c r="F82" s="498"/>
      <c r="G82" s="499"/>
    </row>
    <row r="83" spans="1:7" ht="12.75" customHeight="1" x14ac:dyDescent="0.2">
      <c r="A83" s="497"/>
      <c r="B83" s="498"/>
      <c r="C83" s="498"/>
      <c r="D83" s="498"/>
      <c r="E83" s="498"/>
      <c r="F83" s="498"/>
      <c r="G83" s="499"/>
    </row>
    <row r="84" spans="1:7" ht="12.75" customHeight="1" x14ac:dyDescent="0.2">
      <c r="A84" s="497"/>
      <c r="B84" s="498"/>
      <c r="C84" s="498"/>
      <c r="D84" s="498"/>
      <c r="E84" s="498"/>
      <c r="F84" s="498"/>
      <c r="G84" s="499"/>
    </row>
    <row r="85" spans="1:7" ht="12.75" customHeight="1" x14ac:dyDescent="0.2">
      <c r="A85" s="497"/>
      <c r="B85" s="498"/>
      <c r="C85" s="498"/>
      <c r="D85" s="498"/>
      <c r="E85" s="498"/>
      <c r="F85" s="498"/>
      <c r="G85" s="499"/>
    </row>
    <row r="86" spans="1:7" ht="12.75" customHeight="1" x14ac:dyDescent="0.2">
      <c r="A86" s="497"/>
      <c r="B86" s="498"/>
      <c r="C86" s="498"/>
      <c r="D86" s="498"/>
      <c r="E86" s="498"/>
      <c r="F86" s="498"/>
      <c r="G86" s="499"/>
    </row>
    <row r="87" spans="1:7" ht="12.75" customHeight="1" x14ac:dyDescent="0.2">
      <c r="A87" s="497"/>
      <c r="B87" s="498"/>
      <c r="C87" s="498"/>
      <c r="D87" s="498"/>
      <c r="E87" s="498"/>
      <c r="F87" s="498"/>
      <c r="G87" s="499"/>
    </row>
    <row r="88" spans="1:7" ht="12.75" customHeight="1" x14ac:dyDescent="0.2">
      <c r="A88" s="497"/>
      <c r="B88" s="498"/>
      <c r="C88" s="498"/>
      <c r="D88" s="498"/>
      <c r="E88" s="498"/>
      <c r="F88" s="498"/>
      <c r="G88" s="499"/>
    </row>
    <row r="89" spans="1:7" ht="12.75" customHeight="1" x14ac:dyDescent="0.2">
      <c r="A89" s="497"/>
      <c r="B89" s="498"/>
      <c r="C89" s="498"/>
      <c r="D89" s="498"/>
      <c r="E89" s="498"/>
      <c r="F89" s="498"/>
      <c r="G89" s="499"/>
    </row>
    <row r="90" spans="1:7" ht="12.75" customHeight="1" x14ac:dyDescent="0.2">
      <c r="A90" s="497"/>
      <c r="B90" s="498"/>
      <c r="C90" s="498"/>
      <c r="D90" s="498"/>
      <c r="E90" s="498"/>
      <c r="F90" s="498"/>
      <c r="G90" s="499"/>
    </row>
    <row r="91" spans="1:7" ht="12.75" customHeight="1" x14ac:dyDescent="0.2">
      <c r="A91" s="497"/>
      <c r="B91" s="498"/>
      <c r="C91" s="498"/>
      <c r="D91" s="498"/>
      <c r="E91" s="498"/>
      <c r="F91" s="498"/>
      <c r="G91" s="499"/>
    </row>
    <row r="92" spans="1:7" ht="12.75" customHeight="1" x14ac:dyDescent="0.2">
      <c r="A92" s="497"/>
      <c r="B92" s="498"/>
      <c r="C92" s="498"/>
      <c r="D92" s="498"/>
      <c r="E92" s="498"/>
      <c r="F92" s="498"/>
      <c r="G92" s="499"/>
    </row>
    <row r="93" spans="1:7" ht="12.75" customHeight="1" x14ac:dyDescent="0.2">
      <c r="A93" s="497"/>
      <c r="B93" s="498"/>
      <c r="C93" s="498"/>
      <c r="D93" s="498"/>
      <c r="E93" s="498"/>
      <c r="F93" s="498"/>
      <c r="G93" s="499"/>
    </row>
    <row r="94" spans="1:7" ht="12.75" customHeight="1" x14ac:dyDescent="0.2">
      <c r="A94" s="497"/>
      <c r="B94" s="498"/>
      <c r="C94" s="498"/>
      <c r="D94" s="498"/>
      <c r="E94" s="498"/>
      <c r="F94" s="498"/>
      <c r="G94" s="499"/>
    </row>
    <row r="95" spans="1:7" ht="12.75" customHeight="1" x14ac:dyDescent="0.2">
      <c r="A95" s="497"/>
      <c r="B95" s="498"/>
      <c r="C95" s="498"/>
      <c r="D95" s="498"/>
      <c r="E95" s="498"/>
      <c r="F95" s="498"/>
      <c r="G95" s="499"/>
    </row>
    <row r="96" spans="1:7" ht="12.75" customHeight="1" x14ac:dyDescent="0.2">
      <c r="A96" s="497"/>
      <c r="B96" s="498"/>
      <c r="C96" s="498"/>
      <c r="D96" s="498"/>
      <c r="E96" s="498"/>
      <c r="F96" s="498"/>
      <c r="G96" s="499"/>
    </row>
    <row r="97" spans="1:7" ht="12.75" customHeight="1" x14ac:dyDescent="0.2">
      <c r="A97" s="497"/>
      <c r="B97" s="498"/>
      <c r="C97" s="498"/>
      <c r="D97" s="498"/>
      <c r="E97" s="498"/>
      <c r="F97" s="498"/>
      <c r="G97" s="499"/>
    </row>
    <row r="98" spans="1:7" ht="12.75" customHeight="1" x14ac:dyDescent="0.2">
      <c r="A98" s="497"/>
      <c r="B98" s="498"/>
      <c r="C98" s="498"/>
      <c r="D98" s="498"/>
      <c r="E98" s="498"/>
      <c r="F98" s="498"/>
      <c r="G98" s="499"/>
    </row>
    <row r="99" spans="1:7" ht="12.75" customHeight="1" x14ac:dyDescent="0.2">
      <c r="A99" s="497"/>
      <c r="B99" s="498"/>
      <c r="C99" s="498"/>
      <c r="D99" s="498"/>
      <c r="E99" s="498"/>
      <c r="F99" s="498"/>
      <c r="G99" s="499"/>
    </row>
    <row r="100" spans="1:7" ht="12.75" customHeight="1" x14ac:dyDescent="0.2">
      <c r="A100" s="497"/>
      <c r="B100" s="498"/>
      <c r="C100" s="498"/>
      <c r="D100" s="498"/>
      <c r="E100" s="498"/>
      <c r="F100" s="498"/>
      <c r="G100" s="499"/>
    </row>
    <row r="101" spans="1:7" ht="12.75" customHeight="1" x14ac:dyDescent="0.2">
      <c r="A101" s="497"/>
      <c r="B101" s="498"/>
      <c r="C101" s="498"/>
      <c r="D101" s="498"/>
      <c r="E101" s="498"/>
      <c r="F101" s="498"/>
      <c r="G101" s="499"/>
    </row>
    <row r="102" spans="1:7" ht="12.75" customHeight="1" x14ac:dyDescent="0.2">
      <c r="A102" s="497"/>
      <c r="B102" s="498"/>
      <c r="C102" s="498"/>
      <c r="D102" s="498"/>
      <c r="E102" s="498"/>
      <c r="F102" s="498"/>
      <c r="G102" s="499"/>
    </row>
    <row r="103" spans="1:7" ht="12.75" customHeight="1" x14ac:dyDescent="0.2">
      <c r="A103" s="497"/>
      <c r="B103" s="498"/>
      <c r="C103" s="498"/>
      <c r="D103" s="498"/>
      <c r="E103" s="498"/>
      <c r="F103" s="498"/>
      <c r="G103" s="499"/>
    </row>
    <row r="104" spans="1:7" ht="12.75" customHeight="1" thickBot="1" x14ac:dyDescent="0.25">
      <c r="A104" s="500"/>
      <c r="B104" s="501"/>
      <c r="C104" s="501"/>
      <c r="D104" s="501"/>
      <c r="E104" s="501"/>
      <c r="F104" s="501"/>
      <c r="G104" s="502"/>
    </row>
    <row r="105" spans="1:7" ht="12.75" customHeight="1" x14ac:dyDescent="0.2"/>
    <row r="106" spans="1:7" ht="12.75" customHeight="1" x14ac:dyDescent="0.2"/>
    <row r="107" spans="1:7" ht="12.75" customHeight="1" x14ac:dyDescent="0.2"/>
    <row r="108" spans="1:7" ht="12.75" customHeight="1" x14ac:dyDescent="0.2"/>
    <row r="109" spans="1:7" ht="12.75" customHeight="1" x14ac:dyDescent="0.2"/>
    <row r="110" spans="1:7" ht="12.75" customHeight="1" x14ac:dyDescent="0.2"/>
    <row r="111" spans="1:7" ht="12.75" customHeight="1" x14ac:dyDescent="0.2"/>
    <row r="112" spans="1:7" ht="12.75" customHeight="1" x14ac:dyDescent="0.2"/>
    <row r="113" ht="12.75" customHeight="1" x14ac:dyDescent="0.2"/>
    <row r="114" ht="12.75" customHeight="1" x14ac:dyDescent="0.2"/>
    <row r="115" ht="13.5" customHeight="1" x14ac:dyDescent="0.2"/>
    <row r="116" ht="18.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3.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37">
    <mergeCell ref="E38:F39"/>
    <mergeCell ref="G38:G39"/>
    <mergeCell ref="E40:F41"/>
    <mergeCell ref="G40:G41"/>
    <mergeCell ref="E32:F33"/>
    <mergeCell ref="G32:G33"/>
    <mergeCell ref="E34:F35"/>
    <mergeCell ref="G34:G35"/>
    <mergeCell ref="E36:F37"/>
    <mergeCell ref="G36:G37"/>
    <mergeCell ref="E26:F27"/>
    <mergeCell ref="G26:G27"/>
    <mergeCell ref="E28:F29"/>
    <mergeCell ref="G28:G29"/>
    <mergeCell ref="E30:F31"/>
    <mergeCell ref="G30:G31"/>
    <mergeCell ref="G20:G21"/>
    <mergeCell ref="E22:F23"/>
    <mergeCell ref="G22:G23"/>
    <mergeCell ref="E24:F25"/>
    <mergeCell ref="G24:G25"/>
    <mergeCell ref="A51:G104"/>
    <mergeCell ref="A1:D1"/>
    <mergeCell ref="A4:A5"/>
    <mergeCell ref="C4:C5"/>
    <mergeCell ref="J4:J5"/>
    <mergeCell ref="E10:F11"/>
    <mergeCell ref="G10:G11"/>
    <mergeCell ref="E12:F13"/>
    <mergeCell ref="G12:G13"/>
    <mergeCell ref="E14:F15"/>
    <mergeCell ref="G14:G15"/>
    <mergeCell ref="E16:F17"/>
    <mergeCell ref="G16:G17"/>
    <mergeCell ref="E18:F19"/>
    <mergeCell ref="G18:G19"/>
    <mergeCell ref="E20:F21"/>
  </mergeCells>
  <conditionalFormatting sqref="I19 H20:I20 I21 H24">
    <cfRule type="expression" dxfId="21" priority="3">
      <formula>ISNUMBER(SEARCH(TEXT(#REF!,"ddd"),#REF!))</formula>
    </cfRule>
  </conditionalFormatting>
  <conditionalFormatting sqref="A22:D22 A14:D14 A16:D16 A24:C24 A18:D18">
    <cfRule type="expression" dxfId="20" priority="4">
      <formula>ISNUMBER(SEARCH(TEXT(#REF!,"ddd"),#REF!))</formula>
    </cfRule>
  </conditionalFormatting>
  <conditionalFormatting sqref="K22:K24">
    <cfRule type="expression" dxfId="19" priority="5">
      <formula>ISNUMBER(SEARCH(TEXT(#REF!,"ddd"),#REF!))</formula>
    </cfRule>
  </conditionalFormatting>
  <conditionalFormatting sqref="D20">
    <cfRule type="expression" dxfId="18" priority="2">
      <formula>ISNUMBER(SEARCH(TEXT(#REF!,"ddd"),#REF!))</formula>
    </cfRule>
  </conditionalFormatting>
  <conditionalFormatting sqref="A20:C20">
    <cfRule type="expression" dxfId="17" priority="1">
      <formula>ISNUMBER(SEARCH(TEXT(#REF!,"ddd"),#REF!))</formula>
    </cfRule>
  </conditionalFormatting>
  <dataValidations count="2">
    <dataValidation type="custom" allowBlank="1" showInputMessage="1" showErrorMessage="1" sqref="B16:C16 B18:C18 B20:C20 B24:C24 B22:C22 B14" xr:uid="{206E5935-880A-42C6-BED1-A0C947A86F1B}">
      <formula1>AND($B14&lt;=1,ISNUMBER($B14))</formula1>
    </dataValidation>
    <dataValidation type="custom" allowBlank="1" showInputMessage="1" showErrorMessage="1" sqref="C14" xr:uid="{A13527FB-8D0C-4929-AED9-58FCD3186EBC}">
      <formula1>AND($C14&lt;=1,ISNUMBER($C14),($C14&gt;=$B14))</formula1>
    </dataValidation>
  </dataValidations>
  <pageMargins left="0.23622047244094491" right="0.23622047244094491" top="0.74803149606299213" bottom="0.74803149606299213" header="0.31496062992125984" footer="0.31496062992125984"/>
  <pageSetup paperSize="9" scale="85" fitToHeight="0" orientation="portrait" horizontalDpi="4294967293" vertic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F062A-B6EB-4CA9-98E7-D83342035282}">
  <sheetPr codeName="Sheet24"/>
  <dimension ref="A1:L206"/>
  <sheetViews>
    <sheetView showGridLines="0" topLeftCell="A52" zoomScale="70" zoomScaleNormal="70" workbookViewId="0">
      <selection sqref="A1:G100"/>
    </sheetView>
  </sheetViews>
  <sheetFormatPr baseColWidth="10" defaultColWidth="9" defaultRowHeight="12.75" x14ac:dyDescent="0.2"/>
  <cols>
    <col min="1" max="1" width="15.7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2" ht="27" thickTop="1" x14ac:dyDescent="0.4">
      <c r="A1" s="419" t="s">
        <v>49</v>
      </c>
      <c r="B1" s="419"/>
      <c r="C1" s="419"/>
      <c r="D1" s="419"/>
      <c r="E1" s="45">
        <f>WEEKNUM(A10)</f>
        <v>18</v>
      </c>
      <c r="F1" s="46"/>
      <c r="G1" s="47"/>
      <c r="H1" s="26"/>
      <c r="J1" s="1"/>
    </row>
    <row r="2" spans="1:12" s="1" customFormat="1" ht="14.25" customHeight="1" x14ac:dyDescent="0.25">
      <c r="A2" s="38" t="s">
        <v>1</v>
      </c>
      <c r="B2" s="38"/>
      <c r="C2" s="38" t="s">
        <v>2</v>
      </c>
      <c r="D2" s="38"/>
      <c r="E2" s="250" t="s">
        <v>3</v>
      </c>
      <c r="F2" s="44" t="s">
        <v>4</v>
      </c>
      <c r="G2" s="44" t="s">
        <v>29</v>
      </c>
      <c r="H2" s="20"/>
      <c r="I2" s="13"/>
      <c r="J2" s="6"/>
      <c r="K2" s="1" t="s">
        <v>69</v>
      </c>
    </row>
    <row r="3" spans="1:12" ht="16.5" thickBot="1" x14ac:dyDescent="0.25">
      <c r="A3" s="274">
        <f>A10</f>
        <v>43949</v>
      </c>
      <c r="B3" s="382"/>
      <c r="C3" s="274">
        <f>A34</f>
        <v>43953</v>
      </c>
      <c r="D3" s="382"/>
      <c r="E3" s="249" t="s">
        <v>6</v>
      </c>
      <c r="F3" s="261">
        <f>Sumcolor(E3,D10:D35)</f>
        <v>4.1666666666666741E-2</v>
      </c>
      <c r="G3" s="259">
        <f>SUM(Først:Sist!F3)</f>
        <v>0.93402777777777768</v>
      </c>
      <c r="H3" s="22"/>
      <c r="I3" s="7"/>
      <c r="J3" s="7"/>
      <c r="K3" t="s">
        <v>70</v>
      </c>
    </row>
    <row r="4" spans="1:12" ht="15" customHeight="1" x14ac:dyDescent="0.2">
      <c r="A4" s="420" t="s">
        <v>96</v>
      </c>
      <c r="B4" s="383"/>
      <c r="C4" s="420" t="s">
        <v>51</v>
      </c>
      <c r="D4" s="384"/>
      <c r="E4" s="246" t="s">
        <v>9</v>
      </c>
      <c r="F4" s="261">
        <f>Sumcolor(E4,D10:D35)</f>
        <v>0.44097222222222238</v>
      </c>
      <c r="G4" s="259">
        <f>SUM(Først:Sist!F4)</f>
        <v>6.5486111111111125</v>
      </c>
      <c r="H4" s="22"/>
      <c r="I4" s="7"/>
      <c r="J4" s="399"/>
    </row>
    <row r="5" spans="1:12" ht="15.75" x14ac:dyDescent="0.2">
      <c r="A5" s="447"/>
      <c r="B5" s="384"/>
      <c r="C5" s="421"/>
      <c r="D5" s="384"/>
      <c r="E5" s="247" t="s">
        <v>10</v>
      </c>
      <c r="F5" s="261">
        <f>Sumcolor(E5,D10:D35)</f>
        <v>5.5555555555555358E-2</v>
      </c>
      <c r="G5" s="259">
        <f>SUM(Først:Sist!F5)</f>
        <v>1.3368055555555545</v>
      </c>
      <c r="H5" s="22"/>
      <c r="I5" s="7"/>
      <c r="J5" s="399"/>
      <c r="K5" t="s">
        <v>71</v>
      </c>
    </row>
    <row r="6" spans="1:12" ht="18.75" customHeight="1" thickBot="1" x14ac:dyDescent="0.25">
      <c r="A6" s="328">
        <f>SUM(D10:D35)</f>
        <v>0.53819444444444442</v>
      </c>
      <c r="B6" s="40"/>
      <c r="C6" s="240">
        <f>SUM('Først:Uke18'!A6)</f>
        <v>8.9062499999999982</v>
      </c>
      <c r="D6" s="42"/>
      <c r="E6" s="248" t="s">
        <v>11</v>
      </c>
      <c r="F6" s="260">
        <f>Sumcolor(E6,D10:D35)</f>
        <v>0</v>
      </c>
      <c r="G6" s="260">
        <f>SUM(Først:Sist!F6)</f>
        <v>2.4791666666666661</v>
      </c>
      <c r="H6" s="22"/>
      <c r="I6" s="7"/>
      <c r="J6" s="7"/>
      <c r="K6" t="s">
        <v>72</v>
      </c>
    </row>
    <row r="7" spans="1:12" ht="12.75" customHeight="1" x14ac:dyDescent="0.2">
      <c r="A7" s="19"/>
      <c r="B7" s="23"/>
      <c r="C7" s="24"/>
      <c r="D7" s="14"/>
      <c r="E7" s="23"/>
      <c r="F7" s="23"/>
      <c r="G7" s="25"/>
      <c r="H7" s="25"/>
    </row>
    <row r="8" spans="1:12" x14ac:dyDescent="0.2">
      <c r="A8" s="23"/>
      <c r="B8" s="25"/>
      <c r="C8" s="14"/>
      <c r="D8" s="25"/>
      <c r="E8" s="23"/>
      <c r="F8" s="23"/>
      <c r="G8" s="25"/>
      <c r="H8" s="25"/>
      <c r="K8" t="s">
        <v>73</v>
      </c>
    </row>
    <row r="9" spans="1:12" ht="16.5" thickBot="1" x14ac:dyDescent="0.3">
      <c r="A9" s="30" t="s">
        <v>15</v>
      </c>
      <c r="B9" s="30" t="s">
        <v>18</v>
      </c>
      <c r="C9" s="30" t="s">
        <v>19</v>
      </c>
      <c r="D9" s="30" t="s">
        <v>20</v>
      </c>
      <c r="E9" s="30" t="s">
        <v>21</v>
      </c>
      <c r="G9" s="30" t="s">
        <v>42</v>
      </c>
      <c r="H9" s="25"/>
      <c r="K9" t="s">
        <v>74</v>
      </c>
    </row>
    <row r="10" spans="1:12" ht="15.6" customHeight="1" x14ac:dyDescent="0.25">
      <c r="A10" s="364">
        <v>43949</v>
      </c>
      <c r="B10" s="365">
        <v>0.57291666666666663</v>
      </c>
      <c r="C10" s="365">
        <v>0.59722222222222221</v>
      </c>
      <c r="D10" s="366">
        <f>(C10-B10)</f>
        <v>2.430555555555558E-2</v>
      </c>
      <c r="E10" s="552" t="s">
        <v>229</v>
      </c>
      <c r="F10" s="553"/>
      <c r="G10" s="492"/>
      <c r="H10" s="25"/>
    </row>
    <row r="11" spans="1:12" ht="37.5" customHeight="1" thickBot="1" x14ac:dyDescent="0.3">
      <c r="A11" s="367"/>
      <c r="B11" s="368"/>
      <c r="C11" s="368"/>
      <c r="D11" s="369"/>
      <c r="E11" s="554"/>
      <c r="F11" s="555"/>
      <c r="G11" s="493"/>
      <c r="H11" s="25"/>
      <c r="K11" t="s">
        <v>76</v>
      </c>
    </row>
    <row r="12" spans="1:12" ht="17.25" customHeight="1" x14ac:dyDescent="0.25">
      <c r="A12" s="364">
        <v>43949</v>
      </c>
      <c r="B12" s="365">
        <v>0.63541666666666663</v>
      </c>
      <c r="C12" s="365">
        <v>0.65277777777777779</v>
      </c>
      <c r="D12" s="366">
        <f>(C12-B12)</f>
        <v>1.736111111111116E-2</v>
      </c>
      <c r="E12" s="552" t="s">
        <v>230</v>
      </c>
      <c r="F12" s="553"/>
      <c r="G12" s="492"/>
      <c r="K12" t="s">
        <v>78</v>
      </c>
    </row>
    <row r="13" spans="1:12" ht="30.75" customHeight="1" thickBot="1" x14ac:dyDescent="0.3">
      <c r="A13" s="379"/>
      <c r="B13" s="369"/>
      <c r="C13" s="369"/>
      <c r="D13" s="369"/>
      <c r="E13" s="554"/>
      <c r="F13" s="555"/>
      <c r="G13" s="493"/>
    </row>
    <row r="14" spans="1:12" ht="15.75" customHeight="1" x14ac:dyDescent="0.2">
      <c r="A14" s="333">
        <v>43949</v>
      </c>
      <c r="B14" s="334">
        <v>0.69791666666666663</v>
      </c>
      <c r="C14" s="334">
        <v>0.76388888888888884</v>
      </c>
      <c r="D14" s="334">
        <f t="shared" ref="D14" si="0">(C14-B14)</f>
        <v>6.597222222222221E-2</v>
      </c>
      <c r="E14" s="519" t="s">
        <v>231</v>
      </c>
      <c r="F14" s="520"/>
      <c r="G14" s="492" t="s">
        <v>293</v>
      </c>
    </row>
    <row r="15" spans="1:12" ht="35.25" customHeight="1" thickBot="1" x14ac:dyDescent="0.3">
      <c r="A15" s="335"/>
      <c r="B15" s="336"/>
      <c r="C15" s="336"/>
      <c r="D15" s="336"/>
      <c r="E15" s="521"/>
      <c r="F15" s="521"/>
      <c r="G15" s="493"/>
    </row>
    <row r="16" spans="1:12" ht="15.6" customHeight="1" x14ac:dyDescent="0.2">
      <c r="A16" s="337">
        <v>43950</v>
      </c>
      <c r="B16" s="338">
        <v>0.48958333333333331</v>
      </c>
      <c r="C16" s="338">
        <v>0.54513888888888895</v>
      </c>
      <c r="D16" s="339">
        <f>(C16-B16)</f>
        <v>5.5555555555555636E-2</v>
      </c>
      <c r="E16" s="522" t="s">
        <v>232</v>
      </c>
      <c r="F16" s="523"/>
      <c r="G16" s="492" t="s">
        <v>293</v>
      </c>
      <c r="K16" s="329"/>
      <c r="L16" s="329"/>
    </row>
    <row r="17" spans="1:12" ht="48" customHeight="1" thickBot="1" x14ac:dyDescent="0.25">
      <c r="A17" s="340"/>
      <c r="B17" s="341"/>
      <c r="C17" s="341"/>
      <c r="D17" s="341"/>
      <c r="E17" s="524"/>
      <c r="F17" s="524"/>
      <c r="G17" s="493"/>
    </row>
    <row r="18" spans="1:12" ht="15.75" x14ac:dyDescent="0.2">
      <c r="A18" s="337">
        <v>43950</v>
      </c>
      <c r="B18" s="338">
        <v>0.55902777777777779</v>
      </c>
      <c r="C18" s="338">
        <v>0.61805555555555558</v>
      </c>
      <c r="D18" s="339">
        <f>(C18-B18)</f>
        <v>5.902777777777779E-2</v>
      </c>
      <c r="E18" s="522" t="s">
        <v>233</v>
      </c>
      <c r="F18" s="525"/>
      <c r="G18" s="492" t="s">
        <v>293</v>
      </c>
    </row>
    <row r="19" spans="1:12" ht="33" customHeight="1" thickBot="1" x14ac:dyDescent="0.25">
      <c r="A19" s="340"/>
      <c r="B19" s="341"/>
      <c r="C19" s="341"/>
      <c r="D19" s="341"/>
      <c r="E19" s="526"/>
      <c r="F19" s="527"/>
      <c r="G19" s="493"/>
      <c r="I19" s="8"/>
    </row>
    <row r="20" spans="1:12" ht="15.75" customHeight="1" x14ac:dyDescent="0.25">
      <c r="A20" s="375">
        <v>43950</v>
      </c>
      <c r="B20" s="376">
        <v>0.69097222222222221</v>
      </c>
      <c r="C20" s="376">
        <v>0.72916666666666663</v>
      </c>
      <c r="D20" s="334">
        <f>(C20-B20)</f>
        <v>3.819444444444442E-2</v>
      </c>
      <c r="E20" s="519" t="s">
        <v>234</v>
      </c>
      <c r="F20" s="528"/>
      <c r="G20" s="492" t="s">
        <v>292</v>
      </c>
      <c r="H20" s="8"/>
      <c r="I20" s="8"/>
      <c r="L20" s="21"/>
    </row>
    <row r="21" spans="1:12" ht="49.5" customHeight="1" thickBot="1" x14ac:dyDescent="0.3">
      <c r="A21" s="335"/>
      <c r="B21" s="336"/>
      <c r="C21" s="336"/>
      <c r="D21" s="336"/>
      <c r="E21" s="521"/>
      <c r="F21" s="529"/>
      <c r="G21" s="493"/>
      <c r="I21" s="8"/>
    </row>
    <row r="22" spans="1:12" ht="15.6" customHeight="1" x14ac:dyDescent="0.2">
      <c r="A22" s="267">
        <v>43951</v>
      </c>
      <c r="B22" s="244">
        <v>0.58333333333333337</v>
      </c>
      <c r="C22" s="244">
        <v>0.61111111111111105</v>
      </c>
      <c r="D22" s="244">
        <f>(C22-B22)</f>
        <v>2.7777777777777679E-2</v>
      </c>
      <c r="E22" s="448" t="s">
        <v>105</v>
      </c>
      <c r="F22" s="476"/>
      <c r="G22" s="492"/>
      <c r="I22" s="9"/>
      <c r="K22" s="8"/>
    </row>
    <row r="23" spans="1:12" ht="19.5" customHeight="1" thickBot="1" x14ac:dyDescent="0.3">
      <c r="A23" s="305"/>
      <c r="B23" s="306"/>
      <c r="C23" s="306"/>
      <c r="D23" s="306"/>
      <c r="E23" s="449"/>
      <c r="F23" s="477"/>
      <c r="G23" s="493"/>
      <c r="I23" s="10"/>
      <c r="K23" s="8"/>
    </row>
    <row r="24" spans="1:12" ht="15.75" x14ac:dyDescent="0.2">
      <c r="A24" s="333">
        <v>43951</v>
      </c>
      <c r="B24" s="334">
        <v>0.70138888888888884</v>
      </c>
      <c r="C24" s="334">
        <v>0.74652777777777779</v>
      </c>
      <c r="D24" s="334">
        <f>(C24-B24)</f>
        <v>4.5138888888888951E-2</v>
      </c>
      <c r="E24" s="519" t="s">
        <v>235</v>
      </c>
      <c r="F24" s="528"/>
      <c r="G24" s="492" t="s">
        <v>294</v>
      </c>
      <c r="H24" s="8"/>
      <c r="K24" s="8"/>
    </row>
    <row r="25" spans="1:12" ht="16.5" customHeight="1" thickBot="1" x14ac:dyDescent="0.25">
      <c r="A25" s="340"/>
      <c r="B25" s="341"/>
      <c r="C25" s="341"/>
      <c r="D25" s="341"/>
      <c r="E25" s="521"/>
      <c r="F25" s="529"/>
      <c r="G25" s="493"/>
      <c r="H25" s="9"/>
      <c r="K25" s="9"/>
    </row>
    <row r="26" spans="1:12" ht="15.75" x14ac:dyDescent="0.2">
      <c r="A26" s="333">
        <v>43951</v>
      </c>
      <c r="B26" s="347">
        <v>0.75347222222222221</v>
      </c>
      <c r="C26" s="347">
        <v>0.77083333333333337</v>
      </c>
      <c r="D26" s="334">
        <f>(C26-B26)</f>
        <v>1.736111111111116E-2</v>
      </c>
      <c r="E26" s="519" t="s">
        <v>236</v>
      </c>
      <c r="F26" s="528"/>
      <c r="G26" s="492" t="s">
        <v>294</v>
      </c>
      <c r="H26" s="10"/>
      <c r="K26" s="11"/>
    </row>
    <row r="27" spans="1:12" ht="32.25" customHeight="1" thickBot="1" x14ac:dyDescent="0.3">
      <c r="A27" s="335"/>
      <c r="B27" s="336"/>
      <c r="C27" s="336"/>
      <c r="D27" s="336"/>
      <c r="E27" s="521"/>
      <c r="F27" s="529"/>
      <c r="G27" s="493"/>
      <c r="H27" s="29"/>
      <c r="K27" s="7"/>
    </row>
    <row r="28" spans="1:12" ht="15.6" customHeight="1" x14ac:dyDescent="0.2">
      <c r="A28" s="333">
        <v>43953</v>
      </c>
      <c r="B28" s="347">
        <v>0.52083333333333337</v>
      </c>
      <c r="C28" s="347">
        <v>0.58333333333333337</v>
      </c>
      <c r="D28" s="334">
        <f t="shared" ref="D28" si="1">(C28-B28)</f>
        <v>6.25E-2</v>
      </c>
      <c r="E28" s="519" t="s">
        <v>237</v>
      </c>
      <c r="F28" s="528"/>
      <c r="G28" s="492" t="s">
        <v>238</v>
      </c>
      <c r="H28" s="29"/>
    </row>
    <row r="29" spans="1:12" ht="17.25" customHeight="1" thickBot="1" x14ac:dyDescent="0.3">
      <c r="A29" s="335"/>
      <c r="B29" s="336"/>
      <c r="C29" s="336"/>
      <c r="D29" s="336"/>
      <c r="E29" s="521"/>
      <c r="F29" s="529"/>
      <c r="G29" s="493"/>
      <c r="H29" s="29"/>
    </row>
    <row r="30" spans="1:12" ht="12.75" customHeight="1" x14ac:dyDescent="0.2">
      <c r="A30" s="267">
        <v>43953</v>
      </c>
      <c r="B30" s="252">
        <v>0.58333333333333337</v>
      </c>
      <c r="C30" s="252">
        <v>0.61111111111111105</v>
      </c>
      <c r="D30" s="244">
        <f t="shared" ref="D30" si="2">(C30-B30)</f>
        <v>2.7777777777777679E-2</v>
      </c>
      <c r="E30" s="439" t="s">
        <v>98</v>
      </c>
      <c r="F30" s="476"/>
      <c r="G30" s="492"/>
      <c r="H30" s="29"/>
    </row>
    <row r="31" spans="1:12" ht="15.75" thickBot="1" x14ac:dyDescent="0.3">
      <c r="A31" s="305"/>
      <c r="B31" s="306"/>
      <c r="C31" s="306"/>
      <c r="D31" s="306"/>
      <c r="E31" s="449"/>
      <c r="F31" s="477"/>
      <c r="G31" s="493"/>
      <c r="H31" s="29"/>
    </row>
    <row r="32" spans="1:12" ht="12.75" customHeight="1" x14ac:dyDescent="0.2">
      <c r="A32" s="333">
        <v>43953</v>
      </c>
      <c r="B32" s="347">
        <v>0.68402777777777779</v>
      </c>
      <c r="C32" s="347">
        <v>0.71527777777777779</v>
      </c>
      <c r="D32" s="334">
        <f t="shared" ref="D32" si="3">(C32-B32)</f>
        <v>3.125E-2</v>
      </c>
      <c r="E32" s="519" t="s">
        <v>239</v>
      </c>
      <c r="F32" s="528"/>
      <c r="G32" s="492" t="s">
        <v>295</v>
      </c>
      <c r="H32" s="29"/>
    </row>
    <row r="33" spans="1:8" ht="21" customHeight="1" thickBot="1" x14ac:dyDescent="0.3">
      <c r="A33" s="335"/>
      <c r="B33" s="336"/>
      <c r="C33" s="336"/>
      <c r="D33" s="336"/>
      <c r="E33" s="521"/>
      <c r="F33" s="529"/>
      <c r="G33" s="493"/>
      <c r="H33" s="29"/>
    </row>
    <row r="34" spans="1:8" ht="15.75" x14ac:dyDescent="0.2">
      <c r="A34" s="333">
        <v>43953</v>
      </c>
      <c r="B34" s="347">
        <v>0.67361111111111116</v>
      </c>
      <c r="C34" s="347">
        <v>0.73958333333333337</v>
      </c>
      <c r="D34" s="334">
        <f t="shared" ref="D34" si="4">(C34-B34)</f>
        <v>6.597222222222221E-2</v>
      </c>
      <c r="E34" s="519" t="s">
        <v>240</v>
      </c>
      <c r="F34" s="528"/>
      <c r="G34" s="492" t="s">
        <v>296</v>
      </c>
      <c r="H34" s="29"/>
    </row>
    <row r="35" spans="1:8" ht="15.75" thickBot="1" x14ac:dyDescent="0.3">
      <c r="A35" s="335"/>
      <c r="B35" s="336"/>
      <c r="C35" s="336"/>
      <c r="D35" s="336"/>
      <c r="E35" s="521"/>
      <c r="F35" s="529"/>
      <c r="G35" s="493"/>
      <c r="H35" s="29"/>
    </row>
    <row r="45" spans="1:8" ht="12.75" customHeight="1" x14ac:dyDescent="0.2"/>
    <row r="47" spans="1:8" ht="12.75" customHeight="1" x14ac:dyDescent="0.2"/>
    <row r="48" spans="1:8" ht="12.75" customHeight="1" x14ac:dyDescent="0.2"/>
    <row r="49" spans="1:7" ht="12.75" customHeight="1" x14ac:dyDescent="0.2"/>
    <row r="50" spans="1:7" ht="12.75" customHeight="1" x14ac:dyDescent="0.2"/>
    <row r="51" spans="1:7" ht="12.75" customHeight="1" x14ac:dyDescent="0.2"/>
    <row r="52" spans="1:7" ht="12.75" customHeight="1" x14ac:dyDescent="0.2"/>
    <row r="53" spans="1:7" ht="24" thickBot="1" x14ac:dyDescent="0.4">
      <c r="A53" s="28" t="s">
        <v>26</v>
      </c>
      <c r="B53" s="28"/>
      <c r="C53" s="27"/>
      <c r="D53" s="27"/>
      <c r="E53" s="27"/>
      <c r="F53" s="98"/>
      <c r="G53" s="98"/>
    </row>
    <row r="54" spans="1:7" ht="12.75" customHeight="1" thickBot="1" x14ac:dyDescent="0.25">
      <c r="A54" s="234"/>
      <c r="B54" s="234"/>
      <c r="C54" s="234"/>
      <c r="D54" s="234"/>
      <c r="E54" s="234"/>
      <c r="F54" s="234"/>
      <c r="G54" s="234"/>
    </row>
    <row r="55" spans="1:7" ht="12.6" customHeight="1" x14ac:dyDescent="0.2">
      <c r="A55" s="494" t="s">
        <v>303</v>
      </c>
      <c r="B55" s="495"/>
      <c r="C55" s="495"/>
      <c r="D55" s="495"/>
      <c r="E55" s="495"/>
      <c r="F55" s="495"/>
      <c r="G55" s="496"/>
    </row>
    <row r="56" spans="1:7" ht="12.75" customHeight="1" x14ac:dyDescent="0.2">
      <c r="A56" s="497"/>
      <c r="B56" s="498"/>
      <c r="C56" s="498"/>
      <c r="D56" s="498"/>
      <c r="E56" s="498"/>
      <c r="F56" s="498"/>
      <c r="G56" s="499"/>
    </row>
    <row r="57" spans="1:7" ht="12.75" customHeight="1" x14ac:dyDescent="0.2">
      <c r="A57" s="497"/>
      <c r="B57" s="498"/>
      <c r="C57" s="498"/>
      <c r="D57" s="498"/>
      <c r="E57" s="498"/>
      <c r="F57" s="498"/>
      <c r="G57" s="499"/>
    </row>
    <row r="58" spans="1:7" ht="12.75" customHeight="1" x14ac:dyDescent="0.2">
      <c r="A58" s="497"/>
      <c r="B58" s="498"/>
      <c r="C58" s="498"/>
      <c r="D58" s="498"/>
      <c r="E58" s="498"/>
      <c r="F58" s="498"/>
      <c r="G58" s="499"/>
    </row>
    <row r="59" spans="1:7" ht="12.75" customHeight="1" x14ac:dyDescent="0.2">
      <c r="A59" s="497"/>
      <c r="B59" s="498"/>
      <c r="C59" s="498"/>
      <c r="D59" s="498"/>
      <c r="E59" s="498"/>
      <c r="F59" s="498"/>
      <c r="G59" s="499"/>
    </row>
    <row r="60" spans="1:7" ht="12.75" customHeight="1" x14ac:dyDescent="0.2">
      <c r="A60" s="497"/>
      <c r="B60" s="498"/>
      <c r="C60" s="498"/>
      <c r="D60" s="498"/>
      <c r="E60" s="498"/>
      <c r="F60" s="498"/>
      <c r="G60" s="499"/>
    </row>
    <row r="61" spans="1:7" ht="12.75" customHeight="1" x14ac:dyDescent="0.2">
      <c r="A61" s="497"/>
      <c r="B61" s="498"/>
      <c r="C61" s="498"/>
      <c r="D61" s="498"/>
      <c r="E61" s="498"/>
      <c r="F61" s="498"/>
      <c r="G61" s="499"/>
    </row>
    <row r="62" spans="1:7" ht="12.75" customHeight="1" x14ac:dyDescent="0.2">
      <c r="A62" s="497"/>
      <c r="B62" s="498"/>
      <c r="C62" s="498"/>
      <c r="D62" s="498"/>
      <c r="E62" s="498"/>
      <c r="F62" s="498"/>
      <c r="G62" s="499"/>
    </row>
    <row r="63" spans="1:7" ht="12.75" customHeight="1" x14ac:dyDescent="0.2">
      <c r="A63" s="497"/>
      <c r="B63" s="498"/>
      <c r="C63" s="498"/>
      <c r="D63" s="498"/>
      <c r="E63" s="498"/>
      <c r="F63" s="498"/>
      <c r="G63" s="499"/>
    </row>
    <row r="64" spans="1:7" ht="12.6" customHeight="1" x14ac:dyDescent="0.2">
      <c r="A64" s="497"/>
      <c r="B64" s="498"/>
      <c r="C64" s="498"/>
      <c r="D64" s="498"/>
      <c r="E64" s="498"/>
      <c r="F64" s="498"/>
      <c r="G64" s="499"/>
    </row>
    <row r="65" spans="1:7" ht="12.6" customHeight="1" x14ac:dyDescent="0.2">
      <c r="A65" s="497"/>
      <c r="B65" s="498"/>
      <c r="C65" s="498"/>
      <c r="D65" s="498"/>
      <c r="E65" s="498"/>
      <c r="F65" s="498"/>
      <c r="G65" s="499"/>
    </row>
    <row r="66" spans="1:7" ht="12.6" customHeight="1" x14ac:dyDescent="0.2">
      <c r="A66" s="497"/>
      <c r="B66" s="498"/>
      <c r="C66" s="498"/>
      <c r="D66" s="498"/>
      <c r="E66" s="498"/>
      <c r="F66" s="498"/>
      <c r="G66" s="499"/>
    </row>
    <row r="67" spans="1:7" ht="12.6" customHeight="1" x14ac:dyDescent="0.2">
      <c r="A67" s="497"/>
      <c r="B67" s="498"/>
      <c r="C67" s="498"/>
      <c r="D67" s="498"/>
      <c r="E67" s="498"/>
      <c r="F67" s="498"/>
      <c r="G67" s="499"/>
    </row>
    <row r="68" spans="1:7" ht="12.6" customHeight="1" x14ac:dyDescent="0.2">
      <c r="A68" s="497"/>
      <c r="B68" s="498"/>
      <c r="C68" s="498"/>
      <c r="D68" s="498"/>
      <c r="E68" s="498"/>
      <c r="F68" s="498"/>
      <c r="G68" s="499"/>
    </row>
    <row r="69" spans="1:7" ht="12.6" customHeight="1" x14ac:dyDescent="0.2">
      <c r="A69" s="497"/>
      <c r="B69" s="498"/>
      <c r="C69" s="498"/>
      <c r="D69" s="498"/>
      <c r="E69" s="498"/>
      <c r="F69" s="498"/>
      <c r="G69" s="499"/>
    </row>
    <row r="70" spans="1:7" ht="12.6" customHeight="1" x14ac:dyDescent="0.2">
      <c r="A70" s="497"/>
      <c r="B70" s="498"/>
      <c r="C70" s="498"/>
      <c r="D70" s="498"/>
      <c r="E70" s="498"/>
      <c r="F70" s="498"/>
      <c r="G70" s="499"/>
    </row>
    <row r="71" spans="1:7" ht="12.6" customHeight="1" x14ac:dyDescent="0.2">
      <c r="A71" s="497"/>
      <c r="B71" s="498"/>
      <c r="C71" s="498"/>
      <c r="D71" s="498"/>
      <c r="E71" s="498"/>
      <c r="F71" s="498"/>
      <c r="G71" s="499"/>
    </row>
    <row r="72" spans="1:7" ht="12.6" customHeight="1" x14ac:dyDescent="0.2">
      <c r="A72" s="497"/>
      <c r="B72" s="498"/>
      <c r="C72" s="498"/>
      <c r="D72" s="498"/>
      <c r="E72" s="498"/>
      <c r="F72" s="498"/>
      <c r="G72" s="499"/>
    </row>
    <row r="73" spans="1:7" ht="12.6" customHeight="1" x14ac:dyDescent="0.2">
      <c r="A73" s="497"/>
      <c r="B73" s="498"/>
      <c r="C73" s="498"/>
      <c r="D73" s="498"/>
      <c r="E73" s="498"/>
      <c r="F73" s="498"/>
      <c r="G73" s="499"/>
    </row>
    <row r="74" spans="1:7" ht="12.6" customHeight="1" x14ac:dyDescent="0.2">
      <c r="A74" s="497"/>
      <c r="B74" s="498"/>
      <c r="C74" s="498"/>
      <c r="D74" s="498"/>
      <c r="E74" s="498"/>
      <c r="F74" s="498"/>
      <c r="G74" s="499"/>
    </row>
    <row r="75" spans="1:7" ht="13.15" customHeight="1" x14ac:dyDescent="0.2">
      <c r="A75" s="497"/>
      <c r="B75" s="498"/>
      <c r="C75" s="498"/>
      <c r="D75" s="498"/>
      <c r="E75" s="498"/>
      <c r="F75" s="498"/>
      <c r="G75" s="499"/>
    </row>
    <row r="76" spans="1:7" ht="12.75" customHeight="1" x14ac:dyDescent="0.2">
      <c r="A76" s="497"/>
      <c r="B76" s="498"/>
      <c r="C76" s="498"/>
      <c r="D76" s="498"/>
      <c r="E76" s="498"/>
      <c r="F76" s="498"/>
      <c r="G76" s="499"/>
    </row>
    <row r="77" spans="1:7" ht="12.75" customHeight="1" x14ac:dyDescent="0.2">
      <c r="A77" s="497"/>
      <c r="B77" s="498"/>
      <c r="C77" s="498"/>
      <c r="D77" s="498"/>
      <c r="E77" s="498"/>
      <c r="F77" s="498"/>
      <c r="G77" s="499"/>
    </row>
    <row r="78" spans="1:7" ht="12.75" customHeight="1" x14ac:dyDescent="0.2">
      <c r="A78" s="497"/>
      <c r="B78" s="498"/>
      <c r="C78" s="498"/>
      <c r="D78" s="498"/>
      <c r="E78" s="498"/>
      <c r="F78" s="498"/>
      <c r="G78" s="499"/>
    </row>
    <row r="79" spans="1:7" ht="12.75" customHeight="1" x14ac:dyDescent="0.2">
      <c r="A79" s="497"/>
      <c r="B79" s="498"/>
      <c r="C79" s="498"/>
      <c r="D79" s="498"/>
      <c r="E79" s="498"/>
      <c r="F79" s="498"/>
      <c r="G79" s="499"/>
    </row>
    <row r="80" spans="1:7" ht="12.75" customHeight="1" x14ac:dyDescent="0.2">
      <c r="A80" s="497"/>
      <c r="B80" s="498"/>
      <c r="C80" s="498"/>
      <c r="D80" s="498"/>
      <c r="E80" s="498"/>
      <c r="F80" s="498"/>
      <c r="G80" s="499"/>
    </row>
    <row r="81" spans="1:7" ht="12.75" customHeight="1" x14ac:dyDescent="0.2">
      <c r="A81" s="497"/>
      <c r="B81" s="498"/>
      <c r="C81" s="498"/>
      <c r="D81" s="498"/>
      <c r="E81" s="498"/>
      <c r="F81" s="498"/>
      <c r="G81" s="499"/>
    </row>
    <row r="82" spans="1:7" ht="12.75" customHeight="1" x14ac:dyDescent="0.2">
      <c r="A82" s="497"/>
      <c r="B82" s="498"/>
      <c r="C82" s="498"/>
      <c r="D82" s="498"/>
      <c r="E82" s="498"/>
      <c r="F82" s="498"/>
      <c r="G82" s="499"/>
    </row>
    <row r="83" spans="1:7" ht="12.75" customHeight="1" x14ac:dyDescent="0.2">
      <c r="A83" s="497"/>
      <c r="B83" s="498"/>
      <c r="C83" s="498"/>
      <c r="D83" s="498"/>
      <c r="E83" s="498"/>
      <c r="F83" s="498"/>
      <c r="G83" s="499"/>
    </row>
    <row r="84" spans="1:7" ht="12.75" customHeight="1" x14ac:dyDescent="0.2">
      <c r="A84" s="497"/>
      <c r="B84" s="498"/>
      <c r="C84" s="498"/>
      <c r="D84" s="498"/>
      <c r="E84" s="498"/>
      <c r="F84" s="498"/>
      <c r="G84" s="499"/>
    </row>
    <row r="85" spans="1:7" ht="12.75" customHeight="1" x14ac:dyDescent="0.2">
      <c r="A85" s="497"/>
      <c r="B85" s="498"/>
      <c r="C85" s="498"/>
      <c r="D85" s="498"/>
      <c r="E85" s="498"/>
      <c r="F85" s="498"/>
      <c r="G85" s="499"/>
    </row>
    <row r="86" spans="1:7" ht="12.75" customHeight="1" x14ac:dyDescent="0.2">
      <c r="A86" s="497"/>
      <c r="B86" s="498"/>
      <c r="C86" s="498"/>
      <c r="D86" s="498"/>
      <c r="E86" s="498"/>
      <c r="F86" s="498"/>
      <c r="G86" s="499"/>
    </row>
    <row r="87" spans="1:7" ht="12.75" customHeight="1" x14ac:dyDescent="0.2">
      <c r="A87" s="497"/>
      <c r="B87" s="498"/>
      <c r="C87" s="498"/>
      <c r="D87" s="498"/>
      <c r="E87" s="498"/>
      <c r="F87" s="498"/>
      <c r="G87" s="499"/>
    </row>
    <row r="88" spans="1:7" ht="12.75" customHeight="1" x14ac:dyDescent="0.2">
      <c r="A88" s="497"/>
      <c r="B88" s="498"/>
      <c r="C88" s="498"/>
      <c r="D88" s="498"/>
      <c r="E88" s="498"/>
      <c r="F88" s="498"/>
      <c r="G88" s="499"/>
    </row>
    <row r="89" spans="1:7" ht="12.75" customHeight="1" x14ac:dyDescent="0.2">
      <c r="A89" s="497"/>
      <c r="B89" s="498"/>
      <c r="C89" s="498"/>
      <c r="D89" s="498"/>
      <c r="E89" s="498"/>
      <c r="F89" s="498"/>
      <c r="G89" s="499"/>
    </row>
    <row r="90" spans="1:7" ht="12.75" customHeight="1" x14ac:dyDescent="0.2">
      <c r="A90" s="497"/>
      <c r="B90" s="498"/>
      <c r="C90" s="498"/>
      <c r="D90" s="498"/>
      <c r="E90" s="498"/>
      <c r="F90" s="498"/>
      <c r="G90" s="499"/>
    </row>
    <row r="91" spans="1:7" ht="12.75" customHeight="1" x14ac:dyDescent="0.2">
      <c r="A91" s="497"/>
      <c r="B91" s="498"/>
      <c r="C91" s="498"/>
      <c r="D91" s="498"/>
      <c r="E91" s="498"/>
      <c r="F91" s="498"/>
      <c r="G91" s="499"/>
    </row>
    <row r="92" spans="1:7" ht="12.75" customHeight="1" x14ac:dyDescent="0.2">
      <c r="A92" s="497"/>
      <c r="B92" s="498"/>
      <c r="C92" s="498"/>
      <c r="D92" s="498"/>
      <c r="E92" s="498"/>
      <c r="F92" s="498"/>
      <c r="G92" s="499"/>
    </row>
    <row r="93" spans="1:7" ht="12.75" customHeight="1" x14ac:dyDescent="0.2">
      <c r="A93" s="497"/>
      <c r="B93" s="498"/>
      <c r="C93" s="498"/>
      <c r="D93" s="498"/>
      <c r="E93" s="498"/>
      <c r="F93" s="498"/>
      <c r="G93" s="499"/>
    </row>
    <row r="94" spans="1:7" ht="12.75" customHeight="1" x14ac:dyDescent="0.2">
      <c r="A94" s="497"/>
      <c r="B94" s="498"/>
      <c r="C94" s="498"/>
      <c r="D94" s="498"/>
      <c r="E94" s="498"/>
      <c r="F94" s="498"/>
      <c r="G94" s="499"/>
    </row>
    <row r="95" spans="1:7" ht="12.75" customHeight="1" x14ac:dyDescent="0.2">
      <c r="A95" s="497"/>
      <c r="B95" s="498"/>
      <c r="C95" s="498"/>
      <c r="D95" s="498"/>
      <c r="E95" s="498"/>
      <c r="F95" s="498"/>
      <c r="G95" s="499"/>
    </row>
    <row r="96" spans="1:7" ht="12.75" customHeight="1" x14ac:dyDescent="0.2">
      <c r="A96" s="497"/>
      <c r="B96" s="498"/>
      <c r="C96" s="498"/>
      <c r="D96" s="498"/>
      <c r="E96" s="498"/>
      <c r="F96" s="498"/>
      <c r="G96" s="499"/>
    </row>
    <row r="97" spans="1:7" ht="12.75" customHeight="1" x14ac:dyDescent="0.2">
      <c r="A97" s="497"/>
      <c r="B97" s="498"/>
      <c r="C97" s="498"/>
      <c r="D97" s="498"/>
      <c r="E97" s="498"/>
      <c r="F97" s="498"/>
      <c r="G97" s="499"/>
    </row>
    <row r="98" spans="1:7" ht="12.75" customHeight="1" x14ac:dyDescent="0.2">
      <c r="A98" s="497"/>
      <c r="B98" s="498"/>
      <c r="C98" s="498"/>
      <c r="D98" s="498"/>
      <c r="E98" s="498"/>
      <c r="F98" s="498"/>
      <c r="G98" s="499"/>
    </row>
    <row r="99" spans="1:7" ht="12.75" customHeight="1" x14ac:dyDescent="0.2">
      <c r="A99" s="497"/>
      <c r="B99" s="498"/>
      <c r="C99" s="498"/>
      <c r="D99" s="498"/>
      <c r="E99" s="498"/>
      <c r="F99" s="498"/>
      <c r="G99" s="499"/>
    </row>
    <row r="100" spans="1:7" ht="12.75" customHeight="1" thickBot="1" x14ac:dyDescent="0.25">
      <c r="A100" s="500"/>
      <c r="B100" s="501"/>
      <c r="C100" s="501"/>
      <c r="D100" s="501"/>
      <c r="E100" s="501"/>
      <c r="F100" s="501"/>
      <c r="G100" s="502"/>
    </row>
    <row r="101" spans="1:7" ht="12.75" customHeight="1" x14ac:dyDescent="0.2"/>
    <row r="102" spans="1:7" ht="12.75" customHeight="1" x14ac:dyDescent="0.2"/>
    <row r="103" spans="1:7" ht="12.75" customHeight="1" x14ac:dyDescent="0.2"/>
    <row r="104" spans="1:7" ht="12.75" customHeight="1" x14ac:dyDescent="0.2"/>
    <row r="105" spans="1:7" ht="12.75" customHeight="1" x14ac:dyDescent="0.2"/>
    <row r="106" spans="1:7" ht="12.75" customHeight="1" x14ac:dyDescent="0.2"/>
    <row r="107" spans="1:7" ht="12.75" customHeight="1" x14ac:dyDescent="0.2"/>
    <row r="108" spans="1:7" ht="12.75" customHeight="1" x14ac:dyDescent="0.2"/>
    <row r="109" spans="1:7" ht="13.5" customHeight="1" x14ac:dyDescent="0.2"/>
    <row r="110" spans="1:7" ht="18.75" customHeight="1" x14ac:dyDescent="0.2"/>
    <row r="111" spans="1:7" ht="12.75" customHeight="1" x14ac:dyDescent="0.2"/>
    <row r="112" spans="1:7"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3.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3.5" customHeight="1" x14ac:dyDescent="0.2"/>
  </sheetData>
  <mergeCells count="31">
    <mergeCell ref="A55:G100"/>
    <mergeCell ref="E30:F31"/>
    <mergeCell ref="G30:G31"/>
    <mergeCell ref="E32:F33"/>
    <mergeCell ref="G32:G33"/>
    <mergeCell ref="E34:F35"/>
    <mergeCell ref="G34:G35"/>
    <mergeCell ref="E24:F25"/>
    <mergeCell ref="G24:G25"/>
    <mergeCell ref="E26:F27"/>
    <mergeCell ref="G26:G27"/>
    <mergeCell ref="E28:F29"/>
    <mergeCell ref="G28:G29"/>
    <mergeCell ref="E18:F19"/>
    <mergeCell ref="G18:G19"/>
    <mergeCell ref="E20:F21"/>
    <mergeCell ref="G20:G21"/>
    <mergeCell ref="E22:F23"/>
    <mergeCell ref="G22:G23"/>
    <mergeCell ref="E12:F13"/>
    <mergeCell ref="G12:G13"/>
    <mergeCell ref="E14:F15"/>
    <mergeCell ref="G14:G15"/>
    <mergeCell ref="E16:F17"/>
    <mergeCell ref="G16:G17"/>
    <mergeCell ref="A1:D1"/>
    <mergeCell ref="A4:A5"/>
    <mergeCell ref="C4:C5"/>
    <mergeCell ref="J4:J5"/>
    <mergeCell ref="E10:F11"/>
    <mergeCell ref="G10:G11"/>
  </mergeCells>
  <conditionalFormatting sqref="I19 H20:I20 I21 H24">
    <cfRule type="expression" dxfId="16" priority="3">
      <formula>ISNUMBER(SEARCH(TEXT(#REF!,"ddd"),#REF!))</formula>
    </cfRule>
  </conditionalFormatting>
  <conditionalFormatting sqref="A22:D22 A14:D14 A16:D16 A24:C24 A18:D18">
    <cfRule type="expression" dxfId="15" priority="4">
      <formula>ISNUMBER(SEARCH(TEXT(#REF!,"ddd"),#REF!))</formula>
    </cfRule>
  </conditionalFormatting>
  <conditionalFormatting sqref="K22:K24">
    <cfRule type="expression" dxfId="14" priority="5">
      <formula>ISNUMBER(SEARCH(TEXT(#REF!,"ddd"),#REF!))</formula>
    </cfRule>
  </conditionalFormatting>
  <conditionalFormatting sqref="D20">
    <cfRule type="expression" dxfId="13" priority="2">
      <formula>ISNUMBER(SEARCH(TEXT(#REF!,"ddd"),#REF!))</formula>
    </cfRule>
  </conditionalFormatting>
  <conditionalFormatting sqref="A20:C20">
    <cfRule type="expression" dxfId="12" priority="1">
      <formula>ISNUMBER(SEARCH(TEXT(#REF!,"ddd"),#REF!))</formula>
    </cfRule>
  </conditionalFormatting>
  <dataValidations count="2">
    <dataValidation type="custom" allowBlank="1" showInputMessage="1" showErrorMessage="1" sqref="C14" xr:uid="{E69D2A8F-A0E2-4807-AF57-067F3ACE6E05}">
      <formula1>AND($C14&lt;=1,ISNUMBER($C14),($C14&gt;=$B14))</formula1>
    </dataValidation>
    <dataValidation type="custom" allowBlank="1" showInputMessage="1" showErrorMessage="1" sqref="B16:C16 B18:C18 B20:C20 B24:C24 B22:C22 B14" xr:uid="{367F1B16-3B46-411A-A3FF-92A5768FFBA1}">
      <formula1>AND($B14&lt;=1,ISNUMBER($B14))</formula1>
    </dataValidation>
  </dataValidations>
  <pageMargins left="0.19685039370078741" right="0" top="0.19685039370078741" bottom="0" header="0.31496062992125984" footer="0.31496062992125984"/>
  <pageSetup paperSize="9" scale="86" fitToHeight="0" orientation="portrait" horizontalDpi="4294967293" vertic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0E05D-6FD9-44AC-A954-C27B9129A34A}">
  <sheetPr codeName="Sheet25"/>
  <dimension ref="A1:K212"/>
  <sheetViews>
    <sheetView showGridLines="0" zoomScaleNormal="100" workbookViewId="0">
      <selection activeCell="C6" sqref="C6"/>
    </sheetView>
  </sheetViews>
  <sheetFormatPr baseColWidth="10" defaultColWidth="9" defaultRowHeight="12.75" x14ac:dyDescent="0.2"/>
  <cols>
    <col min="1" max="1" width="1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1" ht="27" thickTop="1" x14ac:dyDescent="0.4">
      <c r="A1" s="419" t="s">
        <v>49</v>
      </c>
      <c r="B1" s="419"/>
      <c r="C1" s="419"/>
      <c r="D1" s="419"/>
      <c r="E1" s="45">
        <f>WEEKNUM(A10)</f>
        <v>19</v>
      </c>
      <c r="F1" s="46"/>
      <c r="G1" s="47"/>
      <c r="H1" s="26"/>
      <c r="J1" s="1"/>
    </row>
    <row r="2" spans="1:11" s="1" customFormat="1" ht="14.25" customHeight="1" x14ac:dyDescent="0.25">
      <c r="A2" s="38" t="s">
        <v>1</v>
      </c>
      <c r="B2" s="38"/>
      <c r="C2" s="38" t="s">
        <v>2</v>
      </c>
      <c r="D2" s="38"/>
      <c r="E2" s="250" t="s">
        <v>3</v>
      </c>
      <c r="F2" s="44" t="s">
        <v>4</v>
      </c>
      <c r="G2" s="44" t="s">
        <v>29</v>
      </c>
      <c r="H2" s="20"/>
      <c r="I2" s="13"/>
      <c r="J2" s="6"/>
      <c r="K2" s="1" t="s">
        <v>69</v>
      </c>
    </row>
    <row r="3" spans="1:11" ht="16.5" thickBot="1" x14ac:dyDescent="0.25">
      <c r="A3" s="274">
        <f>A10</f>
        <v>43955</v>
      </c>
      <c r="B3" s="382"/>
      <c r="C3" s="274">
        <f>A73</f>
        <v>43961</v>
      </c>
      <c r="D3" s="382"/>
      <c r="E3" s="249" t="s">
        <v>6</v>
      </c>
      <c r="F3" s="261">
        <f>Sumcolor(E3,D10:D73)</f>
        <v>0</v>
      </c>
      <c r="G3" s="259">
        <f>SUM(Først:Sist!F3)</f>
        <v>0.93402777777777768</v>
      </c>
      <c r="H3" s="22"/>
      <c r="I3" s="7"/>
      <c r="J3" s="7"/>
      <c r="K3" t="s">
        <v>70</v>
      </c>
    </row>
    <row r="4" spans="1:11" ht="15" customHeight="1" x14ac:dyDescent="0.2">
      <c r="A4" s="420" t="s">
        <v>96</v>
      </c>
      <c r="B4" s="383"/>
      <c r="C4" s="420" t="s">
        <v>51</v>
      </c>
      <c r="D4" s="384"/>
      <c r="E4" s="246" t="s">
        <v>9</v>
      </c>
      <c r="F4" s="261">
        <f>Sumcolor(E4,D10:D73)</f>
        <v>1.4027777777777781</v>
      </c>
      <c r="G4" s="259">
        <f>SUM(Først:Sist!F4)</f>
        <v>6.5486111111111125</v>
      </c>
      <c r="H4" s="22"/>
      <c r="I4" s="7"/>
      <c r="J4" s="399"/>
    </row>
    <row r="5" spans="1:11" ht="19.5" customHeight="1" x14ac:dyDescent="0.2">
      <c r="A5" s="447"/>
      <c r="B5" s="384"/>
      <c r="C5" s="421"/>
      <c r="D5" s="384"/>
      <c r="E5" s="247" t="s">
        <v>10</v>
      </c>
      <c r="F5" s="261">
        <f>Sumcolor(E5,D10:D73)</f>
        <v>0.13888888888888862</v>
      </c>
      <c r="G5" s="259">
        <f>SUM(Først:Sist!F5)</f>
        <v>1.3368055555555545</v>
      </c>
      <c r="H5" s="22"/>
      <c r="I5" s="7"/>
      <c r="J5" s="399"/>
      <c r="K5" t="s">
        <v>71</v>
      </c>
    </row>
    <row r="6" spans="1:11" ht="18.75" customHeight="1" thickBot="1" x14ac:dyDescent="0.25">
      <c r="A6" s="328">
        <f>SUM(D10:D73)</f>
        <v>1.6388888888888888</v>
      </c>
      <c r="B6" s="40"/>
      <c r="C6" s="240">
        <f>SUM('Først:Uke19'!A6)</f>
        <v>10.545138888888888</v>
      </c>
      <c r="D6" s="42"/>
      <c r="E6" s="248" t="s">
        <v>11</v>
      </c>
      <c r="F6" s="260">
        <f>Sumcolor(E6,D10:D73)</f>
        <v>9.7222222222222321E-2</v>
      </c>
      <c r="G6" s="260">
        <f>SUM(Først:Sist!F6)</f>
        <v>2.4791666666666661</v>
      </c>
      <c r="H6" s="22"/>
      <c r="I6" s="7"/>
      <c r="J6" s="7"/>
      <c r="K6" t="s">
        <v>72</v>
      </c>
    </row>
    <row r="7" spans="1:11" ht="12.75" customHeight="1" x14ac:dyDescent="0.2">
      <c r="A7" s="19"/>
      <c r="B7" s="23"/>
      <c r="C7" s="24"/>
      <c r="D7" s="14"/>
      <c r="E7" s="23"/>
      <c r="F7" s="23"/>
      <c r="G7" s="25"/>
      <c r="H7" s="25"/>
    </row>
    <row r="8" spans="1:11" x14ac:dyDescent="0.2">
      <c r="A8" s="23"/>
      <c r="B8" s="25"/>
      <c r="C8" s="14"/>
      <c r="D8" s="25"/>
      <c r="E8" s="23"/>
      <c r="F8" s="23"/>
      <c r="G8" s="25"/>
      <c r="H8" s="25"/>
      <c r="K8" t="s">
        <v>73</v>
      </c>
    </row>
    <row r="9" spans="1:11" ht="16.5" thickBot="1" x14ac:dyDescent="0.3">
      <c r="A9" s="30" t="s">
        <v>15</v>
      </c>
      <c r="B9" s="30" t="s">
        <v>18</v>
      </c>
      <c r="C9" s="30" t="s">
        <v>19</v>
      </c>
      <c r="D9" s="30" t="s">
        <v>20</v>
      </c>
      <c r="E9" s="30" t="s">
        <v>21</v>
      </c>
      <c r="G9" s="30" t="s">
        <v>42</v>
      </c>
      <c r="H9" s="25"/>
      <c r="K9" t="s">
        <v>74</v>
      </c>
    </row>
    <row r="10" spans="1:11" ht="15.6" customHeight="1" x14ac:dyDescent="0.25">
      <c r="A10" s="322">
        <v>43955</v>
      </c>
      <c r="B10" s="323">
        <v>0.58333333333333337</v>
      </c>
      <c r="C10" s="323">
        <v>0.59722222222222221</v>
      </c>
      <c r="D10" s="324">
        <f>(C10-B10)</f>
        <v>1.388888888888884E-2</v>
      </c>
      <c r="E10" s="515" t="s">
        <v>98</v>
      </c>
      <c r="F10" s="516"/>
      <c r="G10" s="492"/>
      <c r="H10" s="25"/>
    </row>
    <row r="11" spans="1:11" ht="16.5" thickBot="1" x14ac:dyDescent="0.3">
      <c r="A11" s="325"/>
      <c r="B11" s="326"/>
      <c r="C11" s="326"/>
      <c r="D11" s="327"/>
      <c r="E11" s="517"/>
      <c r="F11" s="518"/>
      <c r="G11" s="493"/>
      <c r="H11" s="25"/>
      <c r="K11" t="s">
        <v>76</v>
      </c>
    </row>
    <row r="12" spans="1:11" ht="17.25" customHeight="1" x14ac:dyDescent="0.25">
      <c r="A12" s="370">
        <v>43955</v>
      </c>
      <c r="B12" s="371">
        <v>0.69097222222222221</v>
      </c>
      <c r="C12" s="371">
        <v>0.91319444444444453</v>
      </c>
      <c r="D12" s="372">
        <f>(C12-B12)</f>
        <v>0.22222222222222232</v>
      </c>
      <c r="E12" s="548" t="s">
        <v>241</v>
      </c>
      <c r="F12" s="549"/>
      <c r="G12" s="492" t="s">
        <v>292</v>
      </c>
      <c r="K12" t="s">
        <v>78</v>
      </c>
    </row>
    <row r="13" spans="1:11" ht="34.5" customHeight="1" thickBot="1" x14ac:dyDescent="0.3">
      <c r="A13" s="373"/>
      <c r="B13" s="374"/>
      <c r="C13" s="374"/>
      <c r="D13" s="374"/>
      <c r="E13" s="550"/>
      <c r="F13" s="551"/>
      <c r="G13" s="493"/>
    </row>
    <row r="14" spans="1:11" ht="15.75" customHeight="1" x14ac:dyDescent="0.2">
      <c r="A14" s="333">
        <v>43956</v>
      </c>
      <c r="B14" s="334">
        <v>0.57986111111111105</v>
      </c>
      <c r="C14" s="334">
        <v>0.60763888888888895</v>
      </c>
      <c r="D14" s="334">
        <f t="shared" ref="D14" si="0">(C14-B14)</f>
        <v>2.7777777777777901E-2</v>
      </c>
      <c r="E14" s="519" t="s">
        <v>242</v>
      </c>
      <c r="F14" s="520"/>
      <c r="G14" s="492"/>
    </row>
    <row r="15" spans="1:11" ht="33.75" customHeight="1" thickBot="1" x14ac:dyDescent="0.3">
      <c r="A15" s="335"/>
      <c r="B15" s="336"/>
      <c r="C15" s="336"/>
      <c r="D15" s="336"/>
      <c r="E15" s="521"/>
      <c r="F15" s="521"/>
      <c r="G15" s="493"/>
    </row>
    <row r="16" spans="1:11" ht="15.6" customHeight="1" x14ac:dyDescent="0.2">
      <c r="A16" s="337">
        <v>43956</v>
      </c>
      <c r="B16" s="338">
        <v>0.60763888888888895</v>
      </c>
      <c r="C16" s="338">
        <v>0.63541666666666663</v>
      </c>
      <c r="D16" s="339">
        <f>(C16-B16)</f>
        <v>2.7777777777777679E-2</v>
      </c>
      <c r="E16" s="522" t="s">
        <v>243</v>
      </c>
      <c r="F16" s="523"/>
      <c r="G16" s="492" t="s">
        <v>297</v>
      </c>
      <c r="K16" s="329"/>
    </row>
    <row r="17" spans="1:9" ht="34.5" customHeight="1" thickBot="1" x14ac:dyDescent="0.25">
      <c r="A17" s="340"/>
      <c r="B17" s="341"/>
      <c r="C17" s="341"/>
      <c r="D17" s="341"/>
      <c r="E17" s="524"/>
      <c r="F17" s="524"/>
      <c r="G17" s="493"/>
    </row>
    <row r="18" spans="1:9" ht="15.75" x14ac:dyDescent="0.2">
      <c r="A18" s="337">
        <v>43956</v>
      </c>
      <c r="B18" s="338">
        <v>0.66319444444444442</v>
      </c>
      <c r="C18" s="338">
        <v>0.73263888888888884</v>
      </c>
      <c r="D18" s="339">
        <f>(C18-B18)</f>
        <v>6.944444444444442E-2</v>
      </c>
      <c r="E18" s="522" t="s">
        <v>244</v>
      </c>
      <c r="F18" s="525"/>
      <c r="G18" s="492" t="s">
        <v>297</v>
      </c>
    </row>
    <row r="19" spans="1:9" ht="31.5" customHeight="1" thickBot="1" x14ac:dyDescent="0.25">
      <c r="A19" s="340"/>
      <c r="B19" s="341"/>
      <c r="C19" s="341"/>
      <c r="D19" s="341"/>
      <c r="E19" s="526"/>
      <c r="F19" s="527"/>
      <c r="G19" s="493"/>
      <c r="I19" s="8"/>
    </row>
    <row r="20" spans="1:9" ht="15.75" customHeight="1" x14ac:dyDescent="0.25">
      <c r="A20" s="375">
        <v>43956</v>
      </c>
      <c r="B20" s="376">
        <v>0.74652777777777779</v>
      </c>
      <c r="C20" s="376">
        <v>0.78472222222222221</v>
      </c>
      <c r="D20" s="334">
        <f>(C20-B20)</f>
        <v>3.819444444444442E-2</v>
      </c>
      <c r="E20" s="519" t="s">
        <v>245</v>
      </c>
      <c r="F20" s="528"/>
      <c r="G20" s="492" t="s">
        <v>297</v>
      </c>
      <c r="H20" s="8"/>
      <c r="I20" s="8"/>
    </row>
    <row r="21" spans="1:9" ht="15.75" thickBot="1" x14ac:dyDescent="0.3">
      <c r="A21" s="335"/>
      <c r="B21" s="336"/>
      <c r="C21" s="336"/>
      <c r="D21" s="336"/>
      <c r="E21" s="521"/>
      <c r="F21" s="529"/>
      <c r="G21" s="493"/>
      <c r="I21" s="8"/>
    </row>
    <row r="22" spans="1:9" ht="15.6" customHeight="1" x14ac:dyDescent="0.2">
      <c r="A22" s="333">
        <v>43956</v>
      </c>
      <c r="B22" s="334">
        <v>0.82291666666666663</v>
      </c>
      <c r="C22" s="334">
        <v>0.84375</v>
      </c>
      <c r="D22" s="334">
        <f>(C22-B22)</f>
        <v>2.083333333333337E-2</v>
      </c>
      <c r="E22" s="520" t="s">
        <v>246</v>
      </c>
      <c r="F22" s="528"/>
      <c r="G22" s="492" t="s">
        <v>297</v>
      </c>
      <c r="I22" s="9"/>
    </row>
    <row r="23" spans="1:9" ht="19.5" customHeight="1" thickBot="1" x14ac:dyDescent="0.3">
      <c r="A23" s="335"/>
      <c r="B23" s="336"/>
      <c r="C23" s="336"/>
      <c r="D23" s="336"/>
      <c r="E23" s="521"/>
      <c r="F23" s="529"/>
      <c r="G23" s="493"/>
      <c r="I23" s="10"/>
    </row>
    <row r="24" spans="1:9" ht="15.75" x14ac:dyDescent="0.2">
      <c r="A24" s="333">
        <v>43956</v>
      </c>
      <c r="B24" s="334">
        <v>0.85416666666666663</v>
      </c>
      <c r="C24" s="334">
        <v>0.9375</v>
      </c>
      <c r="D24" s="334">
        <f>(C24-B24)</f>
        <v>8.333333333333337E-2</v>
      </c>
      <c r="E24" s="519" t="s">
        <v>247</v>
      </c>
      <c r="F24" s="528"/>
      <c r="G24" s="492" t="s">
        <v>297</v>
      </c>
      <c r="H24" s="8"/>
    </row>
    <row r="25" spans="1:9" ht="35.25" customHeight="1" thickBot="1" x14ac:dyDescent="0.25">
      <c r="A25" s="340"/>
      <c r="B25" s="341"/>
      <c r="C25" s="341"/>
      <c r="D25" s="341"/>
      <c r="E25" s="521"/>
      <c r="F25" s="529"/>
      <c r="G25" s="493"/>
      <c r="H25" s="9"/>
    </row>
    <row r="26" spans="1:9" ht="15.75" x14ac:dyDescent="0.2">
      <c r="A26" s="333">
        <v>43956</v>
      </c>
      <c r="B26" s="347">
        <v>0.95833333333333337</v>
      </c>
      <c r="C26" s="347">
        <v>0.99652777777777779</v>
      </c>
      <c r="D26" s="334">
        <f>(C26-B26)</f>
        <v>3.819444444444442E-2</v>
      </c>
      <c r="E26" s="519" t="s">
        <v>248</v>
      </c>
      <c r="F26" s="528"/>
      <c r="G26" s="492" t="s">
        <v>297</v>
      </c>
      <c r="H26" s="10"/>
    </row>
    <row r="27" spans="1:9" ht="15.75" thickBot="1" x14ac:dyDescent="0.3">
      <c r="A27" s="335"/>
      <c r="B27" s="336"/>
      <c r="C27" s="336"/>
      <c r="D27" s="336"/>
      <c r="E27" s="521"/>
      <c r="F27" s="529"/>
      <c r="G27" s="493"/>
      <c r="H27" s="29"/>
    </row>
    <row r="28" spans="1:9" ht="15.6" customHeight="1" x14ac:dyDescent="0.2">
      <c r="A28" s="267">
        <v>43957</v>
      </c>
      <c r="B28" s="252">
        <v>0.58333333333333337</v>
      </c>
      <c r="C28" s="252">
        <v>0.60416666666666663</v>
      </c>
      <c r="D28" s="244">
        <f t="shared" ref="D28" si="1">(C28-B28)</f>
        <v>2.0833333333333259E-2</v>
      </c>
      <c r="E28" s="439" t="s">
        <v>98</v>
      </c>
      <c r="F28" s="476"/>
      <c r="G28" s="492"/>
      <c r="H28" s="29"/>
    </row>
    <row r="29" spans="1:9" ht="17.25" customHeight="1" thickBot="1" x14ac:dyDescent="0.3">
      <c r="A29" s="305"/>
      <c r="B29" s="306"/>
      <c r="C29" s="306"/>
      <c r="D29" s="306"/>
      <c r="E29" s="449"/>
      <c r="F29" s="477"/>
      <c r="G29" s="493"/>
      <c r="H29" s="29"/>
    </row>
    <row r="30" spans="1:9" ht="12.75" customHeight="1" x14ac:dyDescent="0.2">
      <c r="A30" s="333">
        <v>43957</v>
      </c>
      <c r="B30" s="347">
        <v>0.6875</v>
      </c>
      <c r="C30" s="347">
        <v>0.85416666666666663</v>
      </c>
      <c r="D30" s="334">
        <f t="shared" ref="D30" si="2">(C30-B30)</f>
        <v>0.16666666666666663</v>
      </c>
      <c r="E30" s="519" t="s">
        <v>249</v>
      </c>
      <c r="F30" s="528"/>
      <c r="G30" s="492" t="s">
        <v>297</v>
      </c>
      <c r="H30" s="29"/>
    </row>
    <row r="31" spans="1:9" ht="50.25" customHeight="1" thickBot="1" x14ac:dyDescent="0.3">
      <c r="A31" s="335"/>
      <c r="B31" s="336"/>
      <c r="C31" s="336"/>
      <c r="D31" s="336"/>
      <c r="E31" s="521"/>
      <c r="F31" s="529"/>
      <c r="G31" s="493"/>
      <c r="H31" s="29"/>
    </row>
    <row r="32" spans="1:9" ht="12.75" customHeight="1" x14ac:dyDescent="0.2">
      <c r="A32" s="333">
        <v>43958</v>
      </c>
      <c r="B32" s="347">
        <v>0.54861111111111105</v>
      </c>
      <c r="C32" s="347">
        <v>0.69444444444444453</v>
      </c>
      <c r="D32" s="334">
        <f t="shared" ref="D32" si="3">(C32-B32)</f>
        <v>0.14583333333333348</v>
      </c>
      <c r="E32" s="519" t="s">
        <v>250</v>
      </c>
      <c r="F32" s="528"/>
      <c r="G32" s="492" t="s">
        <v>294</v>
      </c>
      <c r="H32" s="29"/>
    </row>
    <row r="33" spans="1:8" ht="36.75" customHeight="1" thickBot="1" x14ac:dyDescent="0.3">
      <c r="A33" s="335"/>
      <c r="B33" s="336"/>
      <c r="C33" s="336"/>
      <c r="D33" s="336"/>
      <c r="E33" s="521"/>
      <c r="F33" s="529"/>
      <c r="G33" s="493"/>
      <c r="H33" s="29"/>
    </row>
    <row r="34" spans="1:8" ht="15.75" x14ac:dyDescent="0.2">
      <c r="A34" s="333">
        <v>43958</v>
      </c>
      <c r="B34" s="347">
        <v>0.70486111111111116</v>
      </c>
      <c r="C34" s="347">
        <v>0.71180555555555547</v>
      </c>
      <c r="D34" s="334">
        <f t="shared" ref="D34" si="4">(C34-B34)</f>
        <v>6.9444444444443088E-3</v>
      </c>
      <c r="E34" s="519" t="s">
        <v>251</v>
      </c>
      <c r="F34" s="528"/>
      <c r="G34" s="492" t="s">
        <v>294</v>
      </c>
      <c r="H34" s="29"/>
    </row>
    <row r="35" spans="1:8" ht="36" customHeight="1" thickBot="1" x14ac:dyDescent="0.3">
      <c r="A35" s="335"/>
      <c r="B35" s="336"/>
      <c r="C35" s="336"/>
      <c r="D35" s="336"/>
      <c r="E35" s="521"/>
      <c r="F35" s="529"/>
      <c r="G35" s="493"/>
      <c r="H35" s="29"/>
    </row>
    <row r="36" spans="1:8" ht="15.75" x14ac:dyDescent="0.2">
      <c r="A36" s="333">
        <v>43958</v>
      </c>
      <c r="B36" s="347">
        <v>0.75</v>
      </c>
      <c r="C36" s="347">
        <v>0.79166666666666663</v>
      </c>
      <c r="D36" s="334">
        <f t="shared" ref="D36" si="5">(C36-B36)</f>
        <v>4.166666666666663E-2</v>
      </c>
      <c r="E36" s="519" t="s">
        <v>252</v>
      </c>
      <c r="F36" s="528"/>
      <c r="G36" s="492" t="s">
        <v>294</v>
      </c>
      <c r="H36" s="29"/>
    </row>
    <row r="37" spans="1:8" ht="32.25" customHeight="1" thickBot="1" x14ac:dyDescent="0.3">
      <c r="A37" s="335"/>
      <c r="B37" s="336"/>
      <c r="C37" s="336"/>
      <c r="D37" s="336"/>
      <c r="E37" s="521"/>
      <c r="F37" s="529"/>
      <c r="G37" s="493"/>
      <c r="H37" s="29"/>
    </row>
    <row r="38" spans="1:8" ht="15.75" x14ac:dyDescent="0.2">
      <c r="A38" s="333">
        <v>43959</v>
      </c>
      <c r="B38" s="347">
        <v>0.50347222222222221</v>
      </c>
      <c r="C38" s="347">
        <v>0.51388888888888895</v>
      </c>
      <c r="D38" s="334">
        <f t="shared" ref="D38" si="6">(C38-B38)</f>
        <v>1.0416666666666741E-2</v>
      </c>
      <c r="E38" s="519" t="s">
        <v>284</v>
      </c>
      <c r="F38" s="528"/>
      <c r="G38" s="492"/>
    </row>
    <row r="39" spans="1:8" ht="65.25" customHeight="1" thickBot="1" x14ac:dyDescent="0.3">
      <c r="A39" s="335"/>
      <c r="B39" s="336"/>
      <c r="C39" s="336"/>
      <c r="D39" s="336"/>
      <c r="E39" s="521"/>
      <c r="F39" s="529"/>
      <c r="G39" s="493"/>
    </row>
    <row r="40" spans="1:8" ht="15.75" x14ac:dyDescent="0.2">
      <c r="A40" s="267">
        <v>43959</v>
      </c>
      <c r="B40" s="252">
        <v>0.58680555555555558</v>
      </c>
      <c r="C40" s="252">
        <v>0.60416666666666663</v>
      </c>
      <c r="D40" s="244">
        <f t="shared" ref="D40" si="7">(C40-B40)</f>
        <v>1.7361111111111049E-2</v>
      </c>
      <c r="E40" s="439" t="s">
        <v>285</v>
      </c>
      <c r="F40" s="476"/>
      <c r="G40" s="492"/>
    </row>
    <row r="41" spans="1:8" ht="15.75" thickBot="1" x14ac:dyDescent="0.3">
      <c r="A41" s="305"/>
      <c r="B41" s="306"/>
      <c r="C41" s="306"/>
      <c r="D41" s="306"/>
      <c r="E41" s="449"/>
      <c r="F41" s="477"/>
      <c r="G41" s="493"/>
    </row>
    <row r="42" spans="1:8" ht="13.5" thickBot="1" x14ac:dyDescent="0.25"/>
    <row r="43" spans="1:8" ht="49.5" customHeight="1" x14ac:dyDescent="0.2">
      <c r="A43" s="333">
        <v>43959</v>
      </c>
      <c r="B43" s="347">
        <v>0.60416666666666663</v>
      </c>
      <c r="C43" s="347">
        <v>0.65625</v>
      </c>
      <c r="D43" s="334">
        <f t="shared" ref="D43" si="8">(C43-B43)</f>
        <v>5.208333333333337E-2</v>
      </c>
      <c r="E43" s="519" t="s">
        <v>286</v>
      </c>
      <c r="F43" s="528"/>
      <c r="G43" s="492"/>
    </row>
    <row r="44" spans="1:8" ht="15.75" thickBot="1" x14ac:dyDescent="0.3">
      <c r="A44" s="335"/>
      <c r="B44" s="336"/>
      <c r="C44" s="336"/>
      <c r="D44" s="336"/>
      <c r="E44" s="521"/>
      <c r="F44" s="529"/>
      <c r="G44" s="493"/>
    </row>
    <row r="45" spans="1:8" ht="32.25" customHeight="1" x14ac:dyDescent="0.2">
      <c r="A45" s="333">
        <v>43959</v>
      </c>
      <c r="B45" s="347">
        <v>0.75347222222222221</v>
      </c>
      <c r="C45" s="347">
        <v>0.86805555555555547</v>
      </c>
      <c r="D45" s="334">
        <f t="shared" ref="D45" si="9">(C45-B45)</f>
        <v>0.11458333333333326</v>
      </c>
      <c r="E45" s="519" t="s">
        <v>287</v>
      </c>
      <c r="F45" s="528"/>
      <c r="G45" s="492" t="s">
        <v>293</v>
      </c>
    </row>
    <row r="46" spans="1:8" ht="15.75" thickBot="1" x14ac:dyDescent="0.3">
      <c r="A46" s="335"/>
      <c r="B46" s="336"/>
      <c r="C46" s="336"/>
      <c r="D46" s="336"/>
      <c r="E46" s="521"/>
      <c r="F46" s="529"/>
      <c r="G46" s="493"/>
    </row>
    <row r="47" spans="1:8" ht="15.75" x14ac:dyDescent="0.2">
      <c r="A47" s="333">
        <v>43959</v>
      </c>
      <c r="B47" s="347">
        <v>0.90972222222222221</v>
      </c>
      <c r="C47" s="347">
        <v>0.93055555555555547</v>
      </c>
      <c r="D47" s="334">
        <f t="shared" ref="D47" si="10">(C47-B47)</f>
        <v>2.0833333333333259E-2</v>
      </c>
      <c r="E47" s="519" t="s">
        <v>288</v>
      </c>
      <c r="F47" s="528"/>
      <c r="G47" s="492" t="s">
        <v>293</v>
      </c>
    </row>
    <row r="48" spans="1:8" ht="15.75" thickBot="1" x14ac:dyDescent="0.3">
      <c r="A48" s="335"/>
      <c r="B48" s="336"/>
      <c r="C48" s="336"/>
      <c r="D48" s="336"/>
      <c r="E48" s="521"/>
      <c r="F48" s="529"/>
      <c r="G48" s="493"/>
    </row>
    <row r="49" spans="1:7" ht="51" customHeight="1" x14ac:dyDescent="0.2">
      <c r="A49" s="333">
        <v>43960</v>
      </c>
      <c r="B49" s="347">
        <v>0.59375</v>
      </c>
      <c r="C49" s="347">
        <v>0.75</v>
      </c>
      <c r="D49" s="334">
        <f t="shared" ref="D49" si="11">(C49-B49)</f>
        <v>0.15625</v>
      </c>
      <c r="E49" s="519" t="s">
        <v>289</v>
      </c>
      <c r="F49" s="528"/>
      <c r="G49" s="492" t="s">
        <v>292</v>
      </c>
    </row>
    <row r="50" spans="1:7" ht="15.75" thickBot="1" x14ac:dyDescent="0.3">
      <c r="A50" s="335"/>
      <c r="B50" s="336"/>
      <c r="C50" s="336"/>
      <c r="D50" s="336"/>
      <c r="E50" s="521"/>
      <c r="F50" s="529"/>
      <c r="G50" s="493"/>
    </row>
    <row r="51" spans="1:7" ht="33.75" customHeight="1" x14ac:dyDescent="0.2">
      <c r="A51" s="267">
        <v>43960</v>
      </c>
      <c r="B51" s="252">
        <v>0.75</v>
      </c>
      <c r="C51" s="252">
        <v>0.82638888888888884</v>
      </c>
      <c r="D51" s="244">
        <f t="shared" ref="D51" si="12">(C51-B51)</f>
        <v>7.638888888888884E-2</v>
      </c>
      <c r="E51" s="439" t="s">
        <v>290</v>
      </c>
      <c r="F51" s="476"/>
      <c r="G51" s="492"/>
    </row>
    <row r="52" spans="1:7" ht="12.75" customHeight="1" thickBot="1" x14ac:dyDescent="0.3">
      <c r="A52" s="305"/>
      <c r="B52" s="306"/>
      <c r="C52" s="306"/>
      <c r="D52" s="306"/>
      <c r="E52" s="449"/>
      <c r="F52" s="477"/>
      <c r="G52" s="493"/>
    </row>
    <row r="53" spans="1:7" ht="19.5" customHeight="1" x14ac:dyDescent="0.2">
      <c r="A53" s="342">
        <v>43960</v>
      </c>
      <c r="B53" s="343">
        <v>0.98263888888888884</v>
      </c>
      <c r="C53" s="343">
        <v>0.99652777777777779</v>
      </c>
      <c r="D53" s="344">
        <f t="shared" ref="D53" si="13">(C53-B53)</f>
        <v>1.3888888888888951E-2</v>
      </c>
      <c r="E53" s="530" t="s">
        <v>305</v>
      </c>
      <c r="F53" s="531"/>
      <c r="G53" s="492"/>
    </row>
    <row r="54" spans="1:7" ht="12.75" customHeight="1" thickBot="1" x14ac:dyDescent="0.3">
      <c r="A54" s="345"/>
      <c r="B54" s="346"/>
      <c r="C54" s="346"/>
      <c r="D54" s="346"/>
      <c r="E54" s="532"/>
      <c r="F54" s="533"/>
      <c r="G54" s="493"/>
    </row>
    <row r="55" spans="1:7" ht="19.5" customHeight="1" x14ac:dyDescent="0.2">
      <c r="A55" s="333">
        <v>43961</v>
      </c>
      <c r="B55" s="347">
        <v>3.472222222222222E-3</v>
      </c>
      <c r="C55" s="347">
        <v>4.1666666666666664E-2</v>
      </c>
      <c r="D55" s="334">
        <f t="shared" ref="D55" si="14">(C55-B55)</f>
        <v>3.8194444444444441E-2</v>
      </c>
      <c r="E55" s="519" t="s">
        <v>298</v>
      </c>
      <c r="F55" s="528"/>
      <c r="G55" s="492" t="s">
        <v>295</v>
      </c>
    </row>
    <row r="56" spans="1:7" ht="12.75" customHeight="1" thickBot="1" x14ac:dyDescent="0.3">
      <c r="A56" s="335"/>
      <c r="B56" s="336"/>
      <c r="C56" s="336"/>
      <c r="D56" s="336"/>
      <c r="E56" s="521"/>
      <c r="F56" s="529"/>
      <c r="G56" s="493"/>
    </row>
    <row r="57" spans="1:7" ht="20.25" customHeight="1" x14ac:dyDescent="0.2">
      <c r="A57" s="333">
        <v>43961</v>
      </c>
      <c r="B57" s="347">
        <v>4.1666666666666664E-2</v>
      </c>
      <c r="C57" s="347">
        <v>7.2916666666666671E-2</v>
      </c>
      <c r="D57" s="334">
        <f t="shared" ref="D57" si="15">(C57-B57)</f>
        <v>3.1250000000000007E-2</v>
      </c>
      <c r="E57" s="519" t="s">
        <v>299</v>
      </c>
      <c r="F57" s="528"/>
      <c r="G57" s="492" t="s">
        <v>295</v>
      </c>
    </row>
    <row r="58" spans="1:7" ht="15.75" thickBot="1" x14ac:dyDescent="0.3">
      <c r="A58" s="335"/>
      <c r="B58" s="336"/>
      <c r="C58" s="336"/>
      <c r="D58" s="336"/>
      <c r="E58" s="521"/>
      <c r="F58" s="529"/>
      <c r="G58" s="493"/>
    </row>
    <row r="59" spans="1:7" ht="15.75" x14ac:dyDescent="0.2">
      <c r="A59" s="333">
        <v>43961</v>
      </c>
      <c r="B59" s="347">
        <v>7.6388888888888895E-2</v>
      </c>
      <c r="C59" s="347">
        <v>0.125</v>
      </c>
      <c r="D59" s="334">
        <f t="shared" ref="D59" si="16">(C59-B59)</f>
        <v>4.8611111111111105E-2</v>
      </c>
      <c r="E59" s="519" t="s">
        <v>300</v>
      </c>
      <c r="F59" s="528"/>
      <c r="G59" s="492" t="s">
        <v>295</v>
      </c>
    </row>
    <row r="60" spans="1:7" ht="12.75" customHeight="1" thickBot="1" x14ac:dyDescent="0.3">
      <c r="A60" s="335"/>
      <c r="B60" s="336"/>
      <c r="C60" s="336"/>
      <c r="D60" s="336"/>
      <c r="E60" s="521"/>
      <c r="F60" s="529"/>
      <c r="G60" s="493"/>
    </row>
    <row r="61" spans="1:7" ht="20.25" customHeight="1" x14ac:dyDescent="0.2">
      <c r="A61" s="342">
        <v>43961</v>
      </c>
      <c r="B61" s="343">
        <v>0.57291666666666663</v>
      </c>
      <c r="C61" s="343">
        <v>0.58333333333333337</v>
      </c>
      <c r="D61" s="344">
        <f t="shared" ref="D61" si="17">(C61-B61)</f>
        <v>1.0416666666666741E-2</v>
      </c>
      <c r="E61" s="530" t="s">
        <v>301</v>
      </c>
      <c r="F61" s="531"/>
      <c r="G61" s="492"/>
    </row>
    <row r="62" spans="1:7" ht="12.75" customHeight="1" thickBot="1" x14ac:dyDescent="0.3">
      <c r="A62" s="345"/>
      <c r="B62" s="346"/>
      <c r="C62" s="346"/>
      <c r="D62" s="346"/>
      <c r="E62" s="532"/>
      <c r="F62" s="533"/>
      <c r="G62" s="493"/>
    </row>
    <row r="63" spans="1:7" ht="12.75" customHeight="1" x14ac:dyDescent="0.2">
      <c r="A63" s="267">
        <v>43961</v>
      </c>
      <c r="B63" s="252">
        <v>0.58680555555555558</v>
      </c>
      <c r="C63" s="252">
        <v>0.59722222222222221</v>
      </c>
      <c r="D63" s="244">
        <f t="shared" ref="D63" si="18">(C63-B63)</f>
        <v>1.041666666666663E-2</v>
      </c>
      <c r="E63" s="439" t="s">
        <v>98</v>
      </c>
      <c r="F63" s="476"/>
      <c r="G63" s="492"/>
    </row>
    <row r="64" spans="1:7" ht="15.75" thickBot="1" x14ac:dyDescent="0.3">
      <c r="A64" s="305"/>
      <c r="B64" s="306"/>
      <c r="C64" s="306"/>
      <c r="D64" s="306"/>
      <c r="E64" s="449"/>
      <c r="F64" s="477"/>
      <c r="G64" s="493"/>
    </row>
    <row r="65" spans="1:7" ht="18.75" customHeight="1" x14ac:dyDescent="0.2">
      <c r="A65" s="333">
        <v>43961</v>
      </c>
      <c r="B65" s="347">
        <v>0.59722222222222221</v>
      </c>
      <c r="C65" s="347">
        <v>0.60416666666666663</v>
      </c>
      <c r="D65" s="334">
        <f t="shared" ref="D65" si="19">(C65-B65)</f>
        <v>6.9444444444444198E-3</v>
      </c>
      <c r="E65" s="519" t="s">
        <v>302</v>
      </c>
      <c r="F65" s="528"/>
      <c r="G65" s="492" t="s">
        <v>295</v>
      </c>
    </row>
    <row r="66" spans="1:7" ht="15.75" thickBot="1" x14ac:dyDescent="0.3">
      <c r="A66" s="335"/>
      <c r="B66" s="336"/>
      <c r="C66" s="336"/>
      <c r="D66" s="336"/>
      <c r="E66" s="521"/>
      <c r="F66" s="529"/>
      <c r="G66" s="493"/>
    </row>
    <row r="67" spans="1:7" ht="15.75" customHeight="1" x14ac:dyDescent="0.2">
      <c r="A67" s="342">
        <v>43961</v>
      </c>
      <c r="B67" s="343">
        <v>0.67013888888888884</v>
      </c>
      <c r="C67" s="343">
        <v>0.72916666666666663</v>
      </c>
      <c r="D67" s="344">
        <f t="shared" ref="D67" si="20">(C67-B67)</f>
        <v>5.902777777777779E-2</v>
      </c>
      <c r="E67" s="530" t="s">
        <v>304</v>
      </c>
      <c r="F67" s="531"/>
      <c r="G67" s="492"/>
    </row>
    <row r="68" spans="1:7" ht="15.75" thickBot="1" x14ac:dyDescent="0.3">
      <c r="A68" s="345"/>
      <c r="B68" s="346"/>
      <c r="C68" s="346"/>
      <c r="D68" s="346"/>
      <c r="E68" s="532"/>
      <c r="F68" s="533"/>
      <c r="G68" s="493"/>
    </row>
    <row r="69" spans="1:7" ht="15.75" x14ac:dyDescent="0.2">
      <c r="A69" s="333">
        <v>43961</v>
      </c>
      <c r="B69" s="347">
        <v>0.83680555555555547</v>
      </c>
      <c r="C69" s="347">
        <v>0.84722222222222221</v>
      </c>
      <c r="D69" s="334">
        <f t="shared" ref="D69" si="21">(C69-B69)</f>
        <v>1.0416666666666741E-2</v>
      </c>
      <c r="E69" s="519" t="s">
        <v>306</v>
      </c>
      <c r="F69" s="528"/>
      <c r="G69" s="492" t="s">
        <v>295</v>
      </c>
    </row>
    <row r="70" spans="1:7" ht="15.75" thickBot="1" x14ac:dyDescent="0.3">
      <c r="A70" s="335"/>
      <c r="B70" s="336"/>
      <c r="C70" s="336"/>
      <c r="D70" s="336"/>
      <c r="E70" s="521"/>
      <c r="F70" s="529"/>
      <c r="G70" s="493"/>
    </row>
    <row r="71" spans="1:7" ht="15.75" x14ac:dyDescent="0.2">
      <c r="A71" s="333">
        <v>43961</v>
      </c>
      <c r="B71" s="347">
        <v>0.86805555555555547</v>
      </c>
      <c r="C71" s="347">
        <v>0.89236111111111116</v>
      </c>
      <c r="D71" s="334">
        <f t="shared" ref="D71" si="22">(C71-B71)</f>
        <v>2.4305555555555691E-2</v>
      </c>
      <c r="E71" s="519" t="s">
        <v>307</v>
      </c>
      <c r="F71" s="528"/>
      <c r="G71" s="492" t="s">
        <v>295</v>
      </c>
    </row>
    <row r="72" spans="1:7" ht="15.75" thickBot="1" x14ac:dyDescent="0.3">
      <c r="A72" s="335"/>
      <c r="B72" s="336"/>
      <c r="C72" s="336"/>
      <c r="D72" s="336"/>
      <c r="E72" s="521"/>
      <c r="F72" s="529"/>
      <c r="G72" s="493"/>
    </row>
    <row r="73" spans="1:7" ht="15.75" x14ac:dyDescent="0.2">
      <c r="A73" s="342">
        <v>43961</v>
      </c>
      <c r="B73" s="343">
        <v>0.90625</v>
      </c>
      <c r="C73" s="343">
        <v>0.92013888888888884</v>
      </c>
      <c r="D73" s="344">
        <f t="shared" ref="D73" si="23">(C73-B73)</f>
        <v>1.388888888888884E-2</v>
      </c>
      <c r="E73" s="530" t="s">
        <v>308</v>
      </c>
      <c r="F73" s="531"/>
      <c r="G73" s="492"/>
    </row>
    <row r="74" spans="1:7" ht="12.6" customHeight="1" thickBot="1" x14ac:dyDescent="0.3">
      <c r="A74" s="345"/>
      <c r="B74" s="346"/>
      <c r="C74" s="346"/>
      <c r="D74" s="346"/>
      <c r="E74" s="532"/>
      <c r="F74" s="533"/>
      <c r="G74" s="493"/>
    </row>
    <row r="76" spans="1:7" ht="12.6" customHeight="1" x14ac:dyDescent="0.2"/>
    <row r="77" spans="1:7" ht="12.6" customHeight="1" x14ac:dyDescent="0.2"/>
    <row r="78" spans="1:7" ht="12.6" customHeight="1" x14ac:dyDescent="0.2"/>
    <row r="79" spans="1:7" ht="12.6" customHeight="1" x14ac:dyDescent="0.2"/>
    <row r="80" spans="1:7" ht="12.6" customHeight="1" x14ac:dyDescent="0.2"/>
    <row r="81" spans="1:7" ht="13.15" customHeight="1" x14ac:dyDescent="0.2"/>
    <row r="82" spans="1:7" ht="12.75" customHeight="1" x14ac:dyDescent="0.2"/>
    <row r="83" spans="1:7" ht="12.75" customHeight="1" x14ac:dyDescent="0.2"/>
    <row r="84" spans="1:7" ht="12.75" customHeight="1" x14ac:dyDescent="0.2"/>
    <row r="85" spans="1:7" ht="12.75" customHeight="1" x14ac:dyDescent="0.2"/>
    <row r="86" spans="1:7" ht="12.75" customHeight="1" thickBot="1" x14ac:dyDescent="0.4">
      <c r="A86" s="28" t="s">
        <v>26</v>
      </c>
      <c r="B86" s="28"/>
      <c r="C86" s="27"/>
      <c r="D86" s="27"/>
      <c r="E86" s="27"/>
      <c r="F86" s="98"/>
      <c r="G86" s="98"/>
    </row>
    <row r="87" spans="1:7" ht="12.75" customHeight="1" thickBot="1" x14ac:dyDescent="0.25">
      <c r="A87" s="234"/>
      <c r="B87" s="234"/>
      <c r="C87" s="234"/>
      <c r="D87" s="234"/>
      <c r="E87" s="234"/>
      <c r="F87" s="234"/>
      <c r="G87" s="234"/>
    </row>
    <row r="88" spans="1:7" ht="12.75" customHeight="1" x14ac:dyDescent="0.2">
      <c r="A88" s="494" t="s">
        <v>309</v>
      </c>
      <c r="B88" s="495"/>
      <c r="C88" s="495"/>
      <c r="D88" s="495"/>
      <c r="E88" s="495"/>
      <c r="F88" s="495"/>
      <c r="G88" s="496"/>
    </row>
    <row r="89" spans="1:7" ht="12.75" customHeight="1" x14ac:dyDescent="0.2">
      <c r="A89" s="497"/>
      <c r="B89" s="498"/>
      <c r="C89" s="498"/>
      <c r="D89" s="498"/>
      <c r="E89" s="498"/>
      <c r="F89" s="498"/>
      <c r="G89" s="499"/>
    </row>
    <row r="90" spans="1:7" ht="12.75" customHeight="1" x14ac:dyDescent="0.2">
      <c r="A90" s="497"/>
      <c r="B90" s="498"/>
      <c r="C90" s="498"/>
      <c r="D90" s="498"/>
      <c r="E90" s="498"/>
      <c r="F90" s="498"/>
      <c r="G90" s="499"/>
    </row>
    <row r="91" spans="1:7" ht="12.75" customHeight="1" x14ac:dyDescent="0.2">
      <c r="A91" s="497"/>
      <c r="B91" s="498"/>
      <c r="C91" s="498"/>
      <c r="D91" s="498"/>
      <c r="E91" s="498"/>
      <c r="F91" s="498"/>
      <c r="G91" s="499"/>
    </row>
    <row r="92" spans="1:7" ht="12.75" customHeight="1" x14ac:dyDescent="0.2">
      <c r="A92" s="497"/>
      <c r="B92" s="498"/>
      <c r="C92" s="498"/>
      <c r="D92" s="498"/>
      <c r="E92" s="498"/>
      <c r="F92" s="498"/>
      <c r="G92" s="499"/>
    </row>
    <row r="93" spans="1:7" ht="12.75" customHeight="1" x14ac:dyDescent="0.2">
      <c r="A93" s="497"/>
      <c r="B93" s="498"/>
      <c r="C93" s="498"/>
      <c r="D93" s="498"/>
      <c r="E93" s="498"/>
      <c r="F93" s="498"/>
      <c r="G93" s="499"/>
    </row>
    <row r="94" spans="1:7" ht="12.75" customHeight="1" x14ac:dyDescent="0.2">
      <c r="A94" s="497"/>
      <c r="B94" s="498"/>
      <c r="C94" s="498"/>
      <c r="D94" s="498"/>
      <c r="E94" s="498"/>
      <c r="F94" s="498"/>
      <c r="G94" s="499"/>
    </row>
    <row r="95" spans="1:7" ht="12.75" customHeight="1" x14ac:dyDescent="0.2">
      <c r="A95" s="497"/>
      <c r="B95" s="498"/>
      <c r="C95" s="498"/>
      <c r="D95" s="498"/>
      <c r="E95" s="498"/>
      <c r="F95" s="498"/>
      <c r="G95" s="499"/>
    </row>
    <row r="96" spans="1:7" ht="12.75" customHeight="1" x14ac:dyDescent="0.2">
      <c r="A96" s="497"/>
      <c r="B96" s="498"/>
      <c r="C96" s="498"/>
      <c r="D96" s="498"/>
      <c r="E96" s="498"/>
      <c r="F96" s="498"/>
      <c r="G96" s="499"/>
    </row>
    <row r="97" spans="1:7" ht="12.75" customHeight="1" x14ac:dyDescent="0.2">
      <c r="A97" s="497"/>
      <c r="B97" s="498"/>
      <c r="C97" s="498"/>
      <c r="D97" s="498"/>
      <c r="E97" s="498"/>
      <c r="F97" s="498"/>
      <c r="G97" s="499"/>
    </row>
    <row r="98" spans="1:7" ht="12.75" customHeight="1" x14ac:dyDescent="0.2">
      <c r="A98" s="497"/>
      <c r="B98" s="498"/>
      <c r="C98" s="498"/>
      <c r="D98" s="498"/>
      <c r="E98" s="498"/>
      <c r="F98" s="498"/>
      <c r="G98" s="499"/>
    </row>
    <row r="99" spans="1:7" ht="12.75" customHeight="1" x14ac:dyDescent="0.2">
      <c r="A99" s="497"/>
      <c r="B99" s="498"/>
      <c r="C99" s="498"/>
      <c r="D99" s="498"/>
      <c r="E99" s="498"/>
      <c r="F99" s="498"/>
      <c r="G99" s="499"/>
    </row>
    <row r="100" spans="1:7" ht="12.75" customHeight="1" x14ac:dyDescent="0.2">
      <c r="A100" s="497"/>
      <c r="B100" s="498"/>
      <c r="C100" s="498"/>
      <c r="D100" s="498"/>
      <c r="E100" s="498"/>
      <c r="F100" s="498"/>
      <c r="G100" s="499"/>
    </row>
    <row r="101" spans="1:7" ht="12.75" customHeight="1" x14ac:dyDescent="0.2">
      <c r="A101" s="497"/>
      <c r="B101" s="498"/>
      <c r="C101" s="498"/>
      <c r="D101" s="498"/>
      <c r="E101" s="498"/>
      <c r="F101" s="498"/>
      <c r="G101" s="499"/>
    </row>
    <row r="102" spans="1:7" ht="12.75" customHeight="1" x14ac:dyDescent="0.2">
      <c r="A102" s="497"/>
      <c r="B102" s="498"/>
      <c r="C102" s="498"/>
      <c r="D102" s="498"/>
      <c r="E102" s="498"/>
      <c r="F102" s="498"/>
      <c r="G102" s="499"/>
    </row>
    <row r="103" spans="1:7" ht="12.75" customHeight="1" x14ac:dyDescent="0.2">
      <c r="A103" s="497"/>
      <c r="B103" s="498"/>
      <c r="C103" s="498"/>
      <c r="D103" s="498"/>
      <c r="E103" s="498"/>
      <c r="F103" s="498"/>
      <c r="G103" s="499"/>
    </row>
    <row r="104" spans="1:7" ht="12.75" customHeight="1" x14ac:dyDescent="0.2">
      <c r="A104" s="497"/>
      <c r="B104" s="498"/>
      <c r="C104" s="498"/>
      <c r="D104" s="498"/>
      <c r="E104" s="498"/>
      <c r="F104" s="498"/>
      <c r="G104" s="499"/>
    </row>
    <row r="105" spans="1:7" ht="12.75" customHeight="1" x14ac:dyDescent="0.2">
      <c r="A105" s="497"/>
      <c r="B105" s="498"/>
      <c r="C105" s="498"/>
      <c r="D105" s="498"/>
      <c r="E105" s="498"/>
      <c r="F105" s="498"/>
      <c r="G105" s="499"/>
    </row>
    <row r="106" spans="1:7" ht="12.75" customHeight="1" x14ac:dyDescent="0.2">
      <c r="A106" s="497"/>
      <c r="B106" s="498"/>
      <c r="C106" s="498"/>
      <c r="D106" s="498"/>
      <c r="E106" s="498"/>
      <c r="F106" s="498"/>
      <c r="G106" s="499"/>
    </row>
    <row r="107" spans="1:7" ht="12.75" customHeight="1" x14ac:dyDescent="0.2">
      <c r="A107" s="497"/>
      <c r="B107" s="498"/>
      <c r="C107" s="498"/>
      <c r="D107" s="498"/>
      <c r="E107" s="498"/>
      <c r="F107" s="498"/>
      <c r="G107" s="499"/>
    </row>
    <row r="108" spans="1:7" ht="12.75" customHeight="1" x14ac:dyDescent="0.2">
      <c r="A108" s="497"/>
      <c r="B108" s="498"/>
      <c r="C108" s="498"/>
      <c r="D108" s="498"/>
      <c r="E108" s="498"/>
      <c r="F108" s="498"/>
      <c r="G108" s="499"/>
    </row>
    <row r="109" spans="1:7" ht="12.75" customHeight="1" x14ac:dyDescent="0.2">
      <c r="A109" s="497"/>
      <c r="B109" s="498"/>
      <c r="C109" s="498"/>
      <c r="D109" s="498"/>
      <c r="E109" s="498"/>
      <c r="F109" s="498"/>
      <c r="G109" s="499"/>
    </row>
    <row r="110" spans="1:7" ht="12.75" customHeight="1" x14ac:dyDescent="0.2">
      <c r="A110" s="497"/>
      <c r="B110" s="498"/>
      <c r="C110" s="498"/>
      <c r="D110" s="498"/>
      <c r="E110" s="498"/>
      <c r="F110" s="498"/>
      <c r="G110" s="499"/>
    </row>
    <row r="111" spans="1:7" ht="12.75" customHeight="1" x14ac:dyDescent="0.2">
      <c r="A111" s="497"/>
      <c r="B111" s="498"/>
      <c r="C111" s="498"/>
      <c r="D111" s="498"/>
      <c r="E111" s="498"/>
      <c r="F111" s="498"/>
      <c r="G111" s="499"/>
    </row>
    <row r="112" spans="1:7" ht="12.75" customHeight="1" x14ac:dyDescent="0.2">
      <c r="A112" s="497"/>
      <c r="B112" s="498"/>
      <c r="C112" s="498"/>
      <c r="D112" s="498"/>
      <c r="E112" s="498"/>
      <c r="F112" s="498"/>
      <c r="G112" s="499"/>
    </row>
    <row r="113" spans="1:7" ht="12.75" customHeight="1" x14ac:dyDescent="0.2">
      <c r="A113" s="497"/>
      <c r="B113" s="498"/>
      <c r="C113" s="498"/>
      <c r="D113" s="498"/>
      <c r="E113" s="498"/>
      <c r="F113" s="498"/>
      <c r="G113" s="499"/>
    </row>
    <row r="114" spans="1:7" ht="12.75" customHeight="1" x14ac:dyDescent="0.2">
      <c r="A114" s="497"/>
      <c r="B114" s="498"/>
      <c r="C114" s="498"/>
      <c r="D114" s="498"/>
      <c r="E114" s="498"/>
      <c r="F114" s="498"/>
      <c r="G114" s="499"/>
    </row>
    <row r="115" spans="1:7" ht="13.5" customHeight="1" x14ac:dyDescent="0.2">
      <c r="A115" s="497"/>
      <c r="B115" s="498"/>
      <c r="C115" s="498"/>
      <c r="D115" s="498"/>
      <c r="E115" s="498"/>
      <c r="F115" s="498"/>
      <c r="G115" s="499"/>
    </row>
    <row r="116" spans="1:7" ht="18.75" customHeight="1" x14ac:dyDescent="0.2">
      <c r="A116" s="497"/>
      <c r="B116" s="498"/>
      <c r="C116" s="498"/>
      <c r="D116" s="498"/>
      <c r="E116" s="498"/>
      <c r="F116" s="498"/>
      <c r="G116" s="499"/>
    </row>
    <row r="117" spans="1:7" ht="12.75" customHeight="1" x14ac:dyDescent="0.2">
      <c r="A117" s="497"/>
      <c r="B117" s="498"/>
      <c r="C117" s="498"/>
      <c r="D117" s="498"/>
      <c r="E117" s="498"/>
      <c r="F117" s="498"/>
      <c r="G117" s="499"/>
    </row>
    <row r="118" spans="1:7" ht="12.75" customHeight="1" x14ac:dyDescent="0.2">
      <c r="A118" s="497"/>
      <c r="B118" s="498"/>
      <c r="C118" s="498"/>
      <c r="D118" s="498"/>
      <c r="E118" s="498"/>
      <c r="F118" s="498"/>
      <c r="G118" s="499"/>
    </row>
    <row r="119" spans="1:7" ht="12.75" customHeight="1" x14ac:dyDescent="0.2">
      <c r="A119" s="497"/>
      <c r="B119" s="498"/>
      <c r="C119" s="498"/>
      <c r="D119" s="498"/>
      <c r="E119" s="498"/>
      <c r="F119" s="498"/>
      <c r="G119" s="499"/>
    </row>
    <row r="120" spans="1:7" ht="12.75" customHeight="1" x14ac:dyDescent="0.2">
      <c r="A120" s="497"/>
      <c r="B120" s="498"/>
      <c r="C120" s="498"/>
      <c r="D120" s="498"/>
      <c r="E120" s="498"/>
      <c r="F120" s="498"/>
      <c r="G120" s="499"/>
    </row>
    <row r="121" spans="1:7" ht="12.75" customHeight="1" x14ac:dyDescent="0.2">
      <c r="A121" s="497"/>
      <c r="B121" s="498"/>
      <c r="C121" s="498"/>
      <c r="D121" s="498"/>
      <c r="E121" s="498"/>
      <c r="F121" s="498"/>
      <c r="G121" s="499"/>
    </row>
    <row r="122" spans="1:7" ht="12.75" customHeight="1" x14ac:dyDescent="0.2">
      <c r="A122" s="497"/>
      <c r="B122" s="498"/>
      <c r="C122" s="498"/>
      <c r="D122" s="498"/>
      <c r="E122" s="498"/>
      <c r="F122" s="498"/>
      <c r="G122" s="499"/>
    </row>
    <row r="123" spans="1:7" ht="12.75" customHeight="1" x14ac:dyDescent="0.2">
      <c r="A123" s="497"/>
      <c r="B123" s="498"/>
      <c r="C123" s="498"/>
      <c r="D123" s="498"/>
      <c r="E123" s="498"/>
      <c r="F123" s="498"/>
      <c r="G123" s="499"/>
    </row>
    <row r="124" spans="1:7" ht="12.75" customHeight="1" x14ac:dyDescent="0.2">
      <c r="A124" s="497"/>
      <c r="B124" s="498"/>
      <c r="C124" s="498"/>
      <c r="D124" s="498"/>
      <c r="E124" s="498"/>
      <c r="F124" s="498"/>
      <c r="G124" s="499"/>
    </row>
    <row r="125" spans="1:7" ht="12.75" customHeight="1" x14ac:dyDescent="0.2">
      <c r="A125" s="497"/>
      <c r="B125" s="498"/>
      <c r="C125" s="498"/>
      <c r="D125" s="498"/>
      <c r="E125" s="498"/>
      <c r="F125" s="498"/>
      <c r="G125" s="499"/>
    </row>
    <row r="126" spans="1:7" ht="12.75" customHeight="1" x14ac:dyDescent="0.2">
      <c r="A126" s="497"/>
      <c r="B126" s="498"/>
      <c r="C126" s="498"/>
      <c r="D126" s="498"/>
      <c r="E126" s="498"/>
      <c r="F126" s="498"/>
      <c r="G126" s="499"/>
    </row>
    <row r="127" spans="1:7" ht="12.75" customHeight="1" x14ac:dyDescent="0.2">
      <c r="A127" s="497"/>
      <c r="B127" s="498"/>
      <c r="C127" s="498"/>
      <c r="D127" s="498"/>
      <c r="E127" s="498"/>
      <c r="F127" s="498"/>
      <c r="G127" s="499"/>
    </row>
    <row r="128" spans="1:7" ht="12.75" customHeight="1" x14ac:dyDescent="0.2">
      <c r="A128" s="497"/>
      <c r="B128" s="498"/>
      <c r="C128" s="498"/>
      <c r="D128" s="498"/>
      <c r="E128" s="498"/>
      <c r="F128" s="498"/>
      <c r="G128" s="499"/>
    </row>
    <row r="129" spans="1:7" ht="12.75" customHeight="1" x14ac:dyDescent="0.2">
      <c r="A129" s="497"/>
      <c r="B129" s="498"/>
      <c r="C129" s="498"/>
      <c r="D129" s="498"/>
      <c r="E129" s="498"/>
      <c r="F129" s="498"/>
      <c r="G129" s="499"/>
    </row>
    <row r="130" spans="1:7" ht="12.75" customHeight="1" x14ac:dyDescent="0.2">
      <c r="A130" s="497"/>
      <c r="B130" s="498"/>
      <c r="C130" s="498"/>
      <c r="D130" s="498"/>
      <c r="E130" s="498"/>
      <c r="F130" s="498"/>
      <c r="G130" s="499"/>
    </row>
    <row r="131" spans="1:7" ht="12.75" customHeight="1" x14ac:dyDescent="0.2">
      <c r="A131" s="497"/>
      <c r="B131" s="498"/>
      <c r="C131" s="498"/>
      <c r="D131" s="498"/>
      <c r="E131" s="498"/>
      <c r="F131" s="498"/>
      <c r="G131" s="499"/>
    </row>
    <row r="132" spans="1:7" ht="13.5" customHeight="1" x14ac:dyDescent="0.2">
      <c r="A132" s="497"/>
      <c r="B132" s="498"/>
      <c r="C132" s="498"/>
      <c r="D132" s="498"/>
      <c r="E132" s="498"/>
      <c r="F132" s="498"/>
      <c r="G132" s="499"/>
    </row>
    <row r="133" spans="1:7" ht="12.75" customHeight="1" x14ac:dyDescent="0.2">
      <c r="A133" s="497"/>
      <c r="B133" s="498"/>
      <c r="C133" s="498"/>
      <c r="D133" s="498"/>
      <c r="E133" s="498"/>
      <c r="F133" s="498"/>
      <c r="G133" s="499"/>
    </row>
    <row r="134" spans="1:7" ht="12.75" customHeight="1" x14ac:dyDescent="0.2">
      <c r="A134" s="497"/>
      <c r="B134" s="498"/>
      <c r="C134" s="498"/>
      <c r="D134" s="498"/>
      <c r="E134" s="498"/>
      <c r="F134" s="498"/>
      <c r="G134" s="499"/>
    </row>
    <row r="135" spans="1:7" ht="12.75" customHeight="1" x14ac:dyDescent="0.2">
      <c r="A135" s="497"/>
      <c r="B135" s="498"/>
      <c r="C135" s="498"/>
      <c r="D135" s="498"/>
      <c r="E135" s="498"/>
      <c r="F135" s="498"/>
      <c r="G135" s="499"/>
    </row>
    <row r="136" spans="1:7" ht="12.75" customHeight="1" x14ac:dyDescent="0.2">
      <c r="A136" s="497"/>
      <c r="B136" s="498"/>
      <c r="C136" s="498"/>
      <c r="D136" s="498"/>
      <c r="E136" s="498"/>
      <c r="F136" s="498"/>
      <c r="G136" s="499"/>
    </row>
    <row r="137" spans="1:7" ht="12.75" customHeight="1" x14ac:dyDescent="0.2">
      <c r="A137" s="497"/>
      <c r="B137" s="498"/>
      <c r="C137" s="498"/>
      <c r="D137" s="498"/>
      <c r="E137" s="498"/>
      <c r="F137" s="498"/>
      <c r="G137" s="499"/>
    </row>
    <row r="138" spans="1:7" ht="12.75" customHeight="1" x14ac:dyDescent="0.2">
      <c r="A138" s="497"/>
      <c r="B138" s="498"/>
      <c r="C138" s="498"/>
      <c r="D138" s="498"/>
      <c r="E138" s="498"/>
      <c r="F138" s="498"/>
      <c r="G138" s="499"/>
    </row>
    <row r="139" spans="1:7" ht="12.75" customHeight="1" x14ac:dyDescent="0.2">
      <c r="A139" s="497"/>
      <c r="B139" s="498"/>
      <c r="C139" s="498"/>
      <c r="D139" s="498"/>
      <c r="E139" s="498"/>
      <c r="F139" s="498"/>
      <c r="G139" s="499"/>
    </row>
    <row r="140" spans="1:7" ht="12.75" customHeight="1" x14ac:dyDescent="0.2">
      <c r="A140" s="497"/>
      <c r="B140" s="498"/>
      <c r="C140" s="498"/>
      <c r="D140" s="498"/>
      <c r="E140" s="498"/>
      <c r="F140" s="498"/>
      <c r="G140" s="499"/>
    </row>
    <row r="141" spans="1:7" ht="12.75" customHeight="1" x14ac:dyDescent="0.2">
      <c r="A141" s="497"/>
      <c r="B141" s="498"/>
      <c r="C141" s="498"/>
      <c r="D141" s="498"/>
      <c r="E141" s="498"/>
      <c r="F141" s="498"/>
      <c r="G141" s="499"/>
    </row>
    <row r="142" spans="1:7" ht="12.75" customHeight="1" x14ac:dyDescent="0.2">
      <c r="A142" s="497"/>
      <c r="B142" s="498"/>
      <c r="C142" s="498"/>
      <c r="D142" s="498"/>
      <c r="E142" s="498"/>
      <c r="F142" s="498"/>
      <c r="G142" s="499"/>
    </row>
    <row r="143" spans="1:7" ht="12.75" customHeight="1" x14ac:dyDescent="0.2">
      <c r="A143" s="497"/>
      <c r="B143" s="498"/>
      <c r="C143" s="498"/>
      <c r="D143" s="498"/>
      <c r="E143" s="498"/>
      <c r="F143" s="498"/>
      <c r="G143" s="499"/>
    </row>
    <row r="144" spans="1:7" ht="12.75" customHeight="1" x14ac:dyDescent="0.2">
      <c r="A144" s="497"/>
      <c r="B144" s="498"/>
      <c r="C144" s="498"/>
      <c r="D144" s="498"/>
      <c r="E144" s="498"/>
      <c r="F144" s="498"/>
      <c r="G144" s="499"/>
    </row>
    <row r="145" spans="1:7" ht="12.75" customHeight="1" x14ac:dyDescent="0.2">
      <c r="A145" s="497"/>
      <c r="B145" s="498"/>
      <c r="C145" s="498"/>
      <c r="D145" s="498"/>
      <c r="E145" s="498"/>
      <c r="F145" s="498"/>
      <c r="G145" s="499"/>
    </row>
    <row r="146" spans="1:7" ht="12.75" customHeight="1" x14ac:dyDescent="0.2">
      <c r="A146" s="497"/>
      <c r="B146" s="498"/>
      <c r="C146" s="498"/>
      <c r="D146" s="498"/>
      <c r="E146" s="498"/>
      <c r="F146" s="498"/>
      <c r="G146" s="499"/>
    </row>
    <row r="147" spans="1:7" ht="12.75" customHeight="1" x14ac:dyDescent="0.2">
      <c r="A147" s="497"/>
      <c r="B147" s="498"/>
      <c r="C147" s="498"/>
      <c r="D147" s="498"/>
      <c r="E147" s="498"/>
      <c r="F147" s="498"/>
      <c r="G147" s="499"/>
    </row>
    <row r="148" spans="1:7" ht="12.75" customHeight="1" x14ac:dyDescent="0.2">
      <c r="A148" s="497"/>
      <c r="B148" s="498"/>
      <c r="C148" s="498"/>
      <c r="D148" s="498"/>
      <c r="E148" s="498"/>
      <c r="F148" s="498"/>
      <c r="G148" s="499"/>
    </row>
    <row r="149" spans="1:7" ht="12.75" customHeight="1" x14ac:dyDescent="0.2">
      <c r="A149" s="497"/>
      <c r="B149" s="498"/>
      <c r="C149" s="498"/>
      <c r="D149" s="498"/>
      <c r="E149" s="498"/>
      <c r="F149" s="498"/>
      <c r="G149" s="499"/>
    </row>
    <row r="150" spans="1:7" ht="12.75" customHeight="1" x14ac:dyDescent="0.2">
      <c r="A150" s="497"/>
      <c r="B150" s="498"/>
      <c r="C150" s="498"/>
      <c r="D150" s="498"/>
      <c r="E150" s="498"/>
      <c r="F150" s="498"/>
      <c r="G150" s="499"/>
    </row>
    <row r="151" spans="1:7" ht="12.75" customHeight="1" x14ac:dyDescent="0.2">
      <c r="A151" s="497"/>
      <c r="B151" s="498"/>
      <c r="C151" s="498"/>
      <c r="D151" s="498"/>
      <c r="E151" s="498"/>
      <c r="F151" s="498"/>
      <c r="G151" s="499"/>
    </row>
    <row r="152" spans="1:7" ht="12.75" customHeight="1" x14ac:dyDescent="0.2">
      <c r="A152" s="497"/>
      <c r="B152" s="498"/>
      <c r="C152" s="498"/>
      <c r="D152" s="498"/>
      <c r="E152" s="498"/>
      <c r="F152" s="498"/>
      <c r="G152" s="499"/>
    </row>
    <row r="153" spans="1:7" ht="12.75" customHeight="1" x14ac:dyDescent="0.2">
      <c r="A153" s="497"/>
      <c r="B153" s="498"/>
      <c r="C153" s="498"/>
      <c r="D153" s="498"/>
      <c r="E153" s="498"/>
      <c r="F153" s="498"/>
      <c r="G153" s="499"/>
    </row>
    <row r="154" spans="1:7" ht="12.75" customHeight="1" x14ac:dyDescent="0.2">
      <c r="A154" s="497"/>
      <c r="B154" s="498"/>
      <c r="C154" s="498"/>
      <c r="D154" s="498"/>
      <c r="E154" s="498"/>
      <c r="F154" s="498"/>
      <c r="G154" s="499"/>
    </row>
    <row r="155" spans="1:7" ht="12.75" customHeight="1" x14ac:dyDescent="0.2">
      <c r="A155" s="497"/>
      <c r="B155" s="498"/>
      <c r="C155" s="498"/>
      <c r="D155" s="498"/>
      <c r="E155" s="498"/>
      <c r="F155" s="498"/>
      <c r="G155" s="499"/>
    </row>
    <row r="156" spans="1:7" ht="12.75" customHeight="1" x14ac:dyDescent="0.2">
      <c r="A156" s="497"/>
      <c r="B156" s="498"/>
      <c r="C156" s="498"/>
      <c r="D156" s="498"/>
      <c r="E156" s="498"/>
      <c r="F156" s="498"/>
      <c r="G156" s="499"/>
    </row>
    <row r="157" spans="1:7" ht="12.75" customHeight="1" x14ac:dyDescent="0.2">
      <c r="A157" s="497"/>
      <c r="B157" s="498"/>
      <c r="C157" s="498"/>
      <c r="D157" s="498"/>
      <c r="E157" s="498"/>
      <c r="F157" s="498"/>
      <c r="G157" s="499"/>
    </row>
    <row r="158" spans="1:7" ht="12.75" customHeight="1" x14ac:dyDescent="0.2">
      <c r="A158" s="497"/>
      <c r="B158" s="498"/>
      <c r="C158" s="498"/>
      <c r="D158" s="498"/>
      <c r="E158" s="498"/>
      <c r="F158" s="498"/>
      <c r="G158" s="499"/>
    </row>
    <row r="159" spans="1:7" ht="12.75" customHeight="1" x14ac:dyDescent="0.2">
      <c r="A159" s="497"/>
      <c r="B159" s="498"/>
      <c r="C159" s="498"/>
      <c r="D159" s="498"/>
      <c r="E159" s="498"/>
      <c r="F159" s="498"/>
      <c r="G159" s="499"/>
    </row>
    <row r="160" spans="1:7" ht="12.75" customHeight="1" x14ac:dyDescent="0.2">
      <c r="A160" s="497"/>
      <c r="B160" s="498"/>
      <c r="C160" s="498"/>
      <c r="D160" s="498"/>
      <c r="E160" s="498"/>
      <c r="F160" s="498"/>
      <c r="G160" s="499"/>
    </row>
    <row r="161" spans="1:7" ht="12.75" customHeight="1" x14ac:dyDescent="0.2">
      <c r="A161" s="497"/>
      <c r="B161" s="498"/>
      <c r="C161" s="498"/>
      <c r="D161" s="498"/>
      <c r="E161" s="498"/>
      <c r="F161" s="498"/>
      <c r="G161" s="499"/>
    </row>
    <row r="162" spans="1:7" ht="12.75" customHeight="1" x14ac:dyDescent="0.2">
      <c r="A162" s="497"/>
      <c r="B162" s="498"/>
      <c r="C162" s="498"/>
      <c r="D162" s="498"/>
      <c r="E162" s="498"/>
      <c r="F162" s="498"/>
      <c r="G162" s="499"/>
    </row>
    <row r="163" spans="1:7" ht="12.75" customHeight="1" x14ac:dyDescent="0.2">
      <c r="A163" s="497"/>
      <c r="B163" s="498"/>
      <c r="C163" s="498"/>
      <c r="D163" s="498"/>
      <c r="E163" s="498"/>
      <c r="F163" s="498"/>
      <c r="G163" s="499"/>
    </row>
    <row r="164" spans="1:7" ht="12.75" customHeight="1" x14ac:dyDescent="0.2">
      <c r="A164" s="497"/>
      <c r="B164" s="498"/>
      <c r="C164" s="498"/>
      <c r="D164" s="498"/>
      <c r="E164" s="498"/>
      <c r="F164" s="498"/>
      <c r="G164" s="499"/>
    </row>
    <row r="165" spans="1:7" ht="12.75" customHeight="1" x14ac:dyDescent="0.2">
      <c r="A165" s="497"/>
      <c r="B165" s="498"/>
      <c r="C165" s="498"/>
      <c r="D165" s="498"/>
      <c r="E165" s="498"/>
      <c r="F165" s="498"/>
      <c r="G165" s="499"/>
    </row>
    <row r="166" spans="1:7" ht="12.75" customHeight="1" x14ac:dyDescent="0.2">
      <c r="A166" s="497"/>
      <c r="B166" s="498"/>
      <c r="C166" s="498"/>
      <c r="D166" s="498"/>
      <c r="E166" s="498"/>
      <c r="F166" s="498"/>
      <c r="G166" s="499"/>
    </row>
    <row r="167" spans="1:7" ht="12.75" customHeight="1" thickBot="1" x14ac:dyDescent="0.25">
      <c r="A167" s="500"/>
      <c r="B167" s="501"/>
      <c r="C167" s="501"/>
      <c r="D167" s="501"/>
      <c r="E167" s="501"/>
      <c r="F167" s="501"/>
      <c r="G167" s="502"/>
    </row>
    <row r="168" spans="1:7" ht="12.75" customHeight="1" x14ac:dyDescent="0.2"/>
    <row r="169" spans="1:7" ht="12.75" customHeight="1" x14ac:dyDescent="0.2"/>
    <row r="170" spans="1:7" ht="12.75" customHeight="1" x14ac:dyDescent="0.2"/>
    <row r="171" spans="1:7" ht="12.75" customHeight="1" x14ac:dyDescent="0.2"/>
    <row r="172" spans="1:7" ht="12.75" customHeight="1" x14ac:dyDescent="0.2"/>
    <row r="173" spans="1:7" ht="12.75" customHeight="1" x14ac:dyDescent="0.2"/>
    <row r="174" spans="1:7" ht="12.75" customHeight="1" x14ac:dyDescent="0.2"/>
    <row r="175" spans="1:7" ht="12.75" customHeight="1" x14ac:dyDescent="0.2"/>
    <row r="176" spans="1:7"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69">
    <mergeCell ref="E49:F50"/>
    <mergeCell ref="G49:G50"/>
    <mergeCell ref="E51:F52"/>
    <mergeCell ref="E43:F44"/>
    <mergeCell ref="G43:G44"/>
    <mergeCell ref="E45:F46"/>
    <mergeCell ref="G45:G46"/>
    <mergeCell ref="E47:F48"/>
    <mergeCell ref="G47:G48"/>
    <mergeCell ref="G51:G52"/>
    <mergeCell ref="E36:F37"/>
    <mergeCell ref="G36:G37"/>
    <mergeCell ref="E38:F39"/>
    <mergeCell ref="G38:G39"/>
    <mergeCell ref="E40:F41"/>
    <mergeCell ref="G40:G41"/>
    <mergeCell ref="E30:F31"/>
    <mergeCell ref="G30:G31"/>
    <mergeCell ref="E32:F33"/>
    <mergeCell ref="G32:G33"/>
    <mergeCell ref="E34:F35"/>
    <mergeCell ref="G34:G35"/>
    <mergeCell ref="E24:F25"/>
    <mergeCell ref="G24:G25"/>
    <mergeCell ref="E26:F27"/>
    <mergeCell ref="G26:G27"/>
    <mergeCell ref="E28:F29"/>
    <mergeCell ref="G28:G29"/>
    <mergeCell ref="E18:F19"/>
    <mergeCell ref="G18:G19"/>
    <mergeCell ref="E20:F21"/>
    <mergeCell ref="G20:G21"/>
    <mergeCell ref="E22:F23"/>
    <mergeCell ref="G22:G23"/>
    <mergeCell ref="E12:F13"/>
    <mergeCell ref="G12:G13"/>
    <mergeCell ref="E14:F15"/>
    <mergeCell ref="G14:G15"/>
    <mergeCell ref="E16:F17"/>
    <mergeCell ref="G16:G17"/>
    <mergeCell ref="A1:D1"/>
    <mergeCell ref="A4:A5"/>
    <mergeCell ref="C4:C5"/>
    <mergeCell ref="J4:J5"/>
    <mergeCell ref="E10:F11"/>
    <mergeCell ref="G10:G11"/>
    <mergeCell ref="E53:F54"/>
    <mergeCell ref="G53:G54"/>
    <mergeCell ref="E55:F56"/>
    <mergeCell ref="G55:G56"/>
    <mergeCell ref="E57:F58"/>
    <mergeCell ref="G57:G58"/>
    <mergeCell ref="E59:F60"/>
    <mergeCell ref="G59:G60"/>
    <mergeCell ref="E61:F62"/>
    <mergeCell ref="G61:G62"/>
    <mergeCell ref="E63:F64"/>
    <mergeCell ref="G63:G64"/>
    <mergeCell ref="E65:F66"/>
    <mergeCell ref="G65:G66"/>
    <mergeCell ref="E67:F68"/>
    <mergeCell ref="G67:G68"/>
    <mergeCell ref="A88:G167"/>
    <mergeCell ref="E69:F70"/>
    <mergeCell ref="G69:G70"/>
    <mergeCell ref="E71:F72"/>
    <mergeCell ref="G71:G72"/>
    <mergeCell ref="E73:F74"/>
    <mergeCell ref="G73:G74"/>
  </mergeCells>
  <phoneticPr fontId="33" type="noConversion"/>
  <conditionalFormatting sqref="I19 H20:I20 I21 H24">
    <cfRule type="expression" dxfId="11" priority="3">
      <formula>ISNUMBER(SEARCH(TEXT(#REF!,"ddd"),#REF!))</formula>
    </cfRule>
  </conditionalFormatting>
  <conditionalFormatting sqref="A22:D22 A14:D14 A16:D16 A24:C24 A18:D18">
    <cfRule type="expression" dxfId="10" priority="4">
      <formula>ISNUMBER(SEARCH(TEXT(#REF!,"ddd"),#REF!))</formula>
    </cfRule>
  </conditionalFormatting>
  <conditionalFormatting sqref="D20">
    <cfRule type="expression" dxfId="9" priority="2">
      <formula>ISNUMBER(SEARCH(TEXT(#REF!,"ddd"),#REF!))</formula>
    </cfRule>
  </conditionalFormatting>
  <conditionalFormatting sqref="A20:C20">
    <cfRule type="expression" dxfId="8" priority="1">
      <formula>ISNUMBER(SEARCH(TEXT(#REF!,"ddd"),#REF!))</formula>
    </cfRule>
  </conditionalFormatting>
  <dataValidations count="2">
    <dataValidation type="custom" allowBlank="1" showInputMessage="1" showErrorMessage="1" sqref="B16:C16 B18:C18 B20:C20 B24:C24 B22:C22 B14" xr:uid="{CE627B17-1792-42D7-80FA-BF6F5E77649A}">
      <formula1>AND($B14&lt;=1,ISNUMBER($B14))</formula1>
    </dataValidation>
    <dataValidation type="custom" allowBlank="1" showInputMessage="1" showErrorMessage="1" sqref="C14" xr:uid="{DA6DAACE-B274-4434-8B9C-709A984E6DFB}">
      <formula1>AND($C14&lt;=1,ISNUMBER($C14),($C14&gt;=$B14))</formula1>
    </dataValidation>
  </dataValidations>
  <pageMargins left="0.19685039370078741" right="0.19685039370078741" top="0.19685039370078741" bottom="0.19685039370078741" header="0" footer="0"/>
  <pageSetup paperSize="9" scale="85" fitToHeight="0" orientation="portrait" horizontalDpi="4294967293" vertic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87007-DD13-42C6-9BB7-F021062A7563}">
  <sheetPr codeName="Sheet26"/>
  <dimension ref="A1:K212"/>
  <sheetViews>
    <sheetView showGridLines="0" topLeftCell="A2" zoomScaleNormal="100" workbookViewId="0">
      <selection activeCell="C6" sqref="C6"/>
    </sheetView>
  </sheetViews>
  <sheetFormatPr baseColWidth="10" defaultColWidth="9" defaultRowHeight="12.75" x14ac:dyDescent="0.2"/>
  <cols>
    <col min="1" max="1" width="1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1" ht="27" thickTop="1" x14ac:dyDescent="0.4">
      <c r="A1" s="419" t="s">
        <v>49</v>
      </c>
      <c r="B1" s="419"/>
      <c r="C1" s="419"/>
      <c r="D1" s="419"/>
      <c r="E1" s="45">
        <f>WEEKNUM(A10)</f>
        <v>20</v>
      </c>
      <c r="F1" s="46"/>
      <c r="G1" s="47"/>
      <c r="H1" s="26"/>
      <c r="J1" s="1"/>
    </row>
    <row r="2" spans="1:11" s="1" customFormat="1" ht="14.25" customHeight="1" x14ac:dyDescent="0.25">
      <c r="A2" s="38" t="s">
        <v>1</v>
      </c>
      <c r="B2" s="38"/>
      <c r="C2" s="38" t="s">
        <v>2</v>
      </c>
      <c r="D2" s="38"/>
      <c r="E2" s="250" t="s">
        <v>3</v>
      </c>
      <c r="F2" s="44" t="s">
        <v>4</v>
      </c>
      <c r="G2" s="44" t="s">
        <v>29</v>
      </c>
      <c r="H2" s="20"/>
      <c r="I2" s="13"/>
      <c r="J2" s="6"/>
      <c r="K2" s="1" t="s">
        <v>69</v>
      </c>
    </row>
    <row r="3" spans="1:11" ht="16.5" thickBot="1" x14ac:dyDescent="0.25">
      <c r="A3" s="274">
        <f>A10</f>
        <v>43963</v>
      </c>
      <c r="B3" s="382"/>
      <c r="C3" s="274">
        <f>A30</f>
        <v>43968</v>
      </c>
      <c r="D3" s="382"/>
      <c r="E3" s="249" t="s">
        <v>6</v>
      </c>
      <c r="F3" s="261">
        <f>Sumcolor(E3,D10:D32)</f>
        <v>0</v>
      </c>
      <c r="G3" s="259">
        <f>SUM(Først:Sist!F3)</f>
        <v>0.93402777777777768</v>
      </c>
      <c r="H3" s="22"/>
      <c r="I3" s="7"/>
      <c r="J3" s="7"/>
      <c r="K3" t="s">
        <v>70</v>
      </c>
    </row>
    <row r="4" spans="1:11" ht="15" customHeight="1" x14ac:dyDescent="0.2">
      <c r="A4" s="420" t="s">
        <v>96</v>
      </c>
      <c r="B4" s="383"/>
      <c r="C4" s="420" t="s">
        <v>51</v>
      </c>
      <c r="D4" s="384"/>
      <c r="E4" s="246" t="s">
        <v>9</v>
      </c>
      <c r="F4" s="261">
        <f>Sumcolor(E4,D10:D32)</f>
        <v>0.5625</v>
      </c>
      <c r="G4" s="259">
        <f>SUM(Først:Sist!F4)</f>
        <v>6.5486111111111125</v>
      </c>
      <c r="H4" s="22"/>
      <c r="I4" s="7"/>
      <c r="J4" s="399"/>
    </row>
    <row r="5" spans="1:11" ht="19.5" customHeight="1" x14ac:dyDescent="0.2">
      <c r="A5" s="447"/>
      <c r="B5" s="384"/>
      <c r="C5" s="421"/>
      <c r="D5" s="384"/>
      <c r="E5" s="247" t="s">
        <v>10</v>
      </c>
      <c r="F5" s="261">
        <f>Sumcolor(E5,D10:D32)</f>
        <v>6.25E-2</v>
      </c>
      <c r="G5" s="259">
        <f>SUM(Først:Sist!F5)</f>
        <v>1.3368055555555545</v>
      </c>
      <c r="H5" s="22"/>
      <c r="I5" s="7"/>
      <c r="J5" s="399"/>
      <c r="K5" t="s">
        <v>71</v>
      </c>
    </row>
    <row r="6" spans="1:11" ht="18.75" customHeight="1" thickBot="1" x14ac:dyDescent="0.25">
      <c r="A6" s="328">
        <f>SUM(D10:D32)</f>
        <v>0.68402777777777779</v>
      </c>
      <c r="B6" s="40"/>
      <c r="C6" s="240">
        <f>SUM('Først:Uke20'!A6)</f>
        <v>11.229166666666666</v>
      </c>
      <c r="D6" s="42"/>
      <c r="E6" s="248" t="s">
        <v>11</v>
      </c>
      <c r="F6" s="260">
        <f>Sumcolor(E6,D10:D32)</f>
        <v>5.902777777777779E-2</v>
      </c>
      <c r="G6" s="260">
        <f>SUM(Først:Sist!F6)</f>
        <v>2.4791666666666661</v>
      </c>
      <c r="H6" s="22"/>
      <c r="I6" s="7"/>
      <c r="J6" s="7"/>
      <c r="K6" t="s">
        <v>72</v>
      </c>
    </row>
    <row r="7" spans="1:11" ht="12.75" customHeight="1" x14ac:dyDescent="0.2">
      <c r="A7" s="19"/>
      <c r="B7" s="23"/>
      <c r="C7" s="24"/>
      <c r="D7" s="14"/>
      <c r="E7" s="23"/>
      <c r="F7" s="23"/>
      <c r="G7" s="25"/>
      <c r="H7" s="25"/>
    </row>
    <row r="8" spans="1:11" x14ac:dyDescent="0.2">
      <c r="A8" s="23"/>
      <c r="B8" s="25"/>
      <c r="C8" s="14"/>
      <c r="D8" s="25"/>
      <c r="E8" s="23"/>
      <c r="F8" s="23"/>
      <c r="G8" s="25"/>
      <c r="H8" s="25"/>
      <c r="K8" t="s">
        <v>73</v>
      </c>
    </row>
    <row r="9" spans="1:11" ht="16.5" thickBot="1" x14ac:dyDescent="0.3">
      <c r="A9" s="30" t="s">
        <v>15</v>
      </c>
      <c r="B9" s="30" t="s">
        <v>18</v>
      </c>
      <c r="C9" s="30" t="s">
        <v>19</v>
      </c>
      <c r="D9" s="30" t="s">
        <v>20</v>
      </c>
      <c r="E9" s="30" t="s">
        <v>21</v>
      </c>
      <c r="G9" s="30" t="s">
        <v>42</v>
      </c>
      <c r="H9" s="25"/>
      <c r="K9" t="s">
        <v>74</v>
      </c>
    </row>
    <row r="10" spans="1:11" ht="15.6" customHeight="1" x14ac:dyDescent="0.25">
      <c r="A10" s="322">
        <v>43963</v>
      </c>
      <c r="B10" s="323">
        <v>0.54166666666666663</v>
      </c>
      <c r="C10" s="323">
        <v>0.58333333333333337</v>
      </c>
      <c r="D10" s="324">
        <f>(C10-B10)</f>
        <v>4.1666666666666741E-2</v>
      </c>
      <c r="E10" s="515" t="s">
        <v>310</v>
      </c>
      <c r="F10" s="516"/>
      <c r="G10" s="492"/>
      <c r="H10" s="25"/>
    </row>
    <row r="11" spans="1:11" ht="16.5" thickBot="1" x14ac:dyDescent="0.3">
      <c r="A11" s="325"/>
      <c r="B11" s="326"/>
      <c r="C11" s="326"/>
      <c r="D11" s="327"/>
      <c r="E11" s="517"/>
      <c r="F11" s="518"/>
      <c r="G11" s="493"/>
      <c r="H11" s="25"/>
      <c r="K11" t="s">
        <v>76</v>
      </c>
    </row>
    <row r="12" spans="1:11" ht="17.25" customHeight="1" x14ac:dyDescent="0.25">
      <c r="A12" s="322">
        <v>43963</v>
      </c>
      <c r="B12" s="323">
        <v>0.58333333333333337</v>
      </c>
      <c r="C12" s="323">
        <v>0.60416666666666663</v>
      </c>
      <c r="D12" s="324">
        <f>(C12-B12)</f>
        <v>2.0833333333333259E-2</v>
      </c>
      <c r="E12" s="515" t="s">
        <v>190</v>
      </c>
      <c r="F12" s="516"/>
      <c r="G12" s="492"/>
      <c r="K12" t="s">
        <v>78</v>
      </c>
    </row>
    <row r="13" spans="1:11" ht="16.5" thickBot="1" x14ac:dyDescent="0.3">
      <c r="A13" s="332"/>
      <c r="B13" s="327"/>
      <c r="C13" s="327"/>
      <c r="D13" s="327"/>
      <c r="E13" s="517"/>
      <c r="F13" s="518"/>
      <c r="G13" s="493"/>
    </row>
    <row r="14" spans="1:11" ht="15.75" customHeight="1" x14ac:dyDescent="0.25">
      <c r="A14" s="359">
        <v>43963</v>
      </c>
      <c r="B14" s="385">
        <v>0.60416666666666663</v>
      </c>
      <c r="C14" s="386">
        <v>0.61805555555555558</v>
      </c>
      <c r="D14" s="344">
        <f t="shared" ref="D14" si="0">(C14-B14)</f>
        <v>1.3888888888888951E-2</v>
      </c>
      <c r="E14" s="530" t="s">
        <v>312</v>
      </c>
      <c r="F14" s="556"/>
      <c r="G14" s="492"/>
    </row>
    <row r="15" spans="1:11" ht="15.75" thickBot="1" x14ac:dyDescent="0.3">
      <c r="A15" s="345"/>
      <c r="B15" s="346"/>
      <c r="C15" s="346"/>
      <c r="D15" s="346"/>
      <c r="E15" s="532"/>
      <c r="F15" s="532"/>
      <c r="G15" s="493"/>
    </row>
    <row r="16" spans="1:11" ht="15.6" customHeight="1" x14ac:dyDescent="0.2">
      <c r="A16" s="359">
        <v>43963</v>
      </c>
      <c r="B16" s="386">
        <v>0.61805555555555558</v>
      </c>
      <c r="C16" s="386">
        <v>0.64236111111111105</v>
      </c>
      <c r="D16" s="387">
        <f>(C16-B16)</f>
        <v>2.4305555555555469E-2</v>
      </c>
      <c r="E16" s="557" t="s">
        <v>311</v>
      </c>
      <c r="F16" s="558"/>
      <c r="G16" s="492"/>
      <c r="K16" s="329"/>
    </row>
    <row r="17" spans="1:9" ht="17.25" customHeight="1" thickBot="1" x14ac:dyDescent="0.25">
      <c r="A17" s="377"/>
      <c r="B17" s="378"/>
      <c r="C17" s="378"/>
      <c r="D17" s="378"/>
      <c r="E17" s="559"/>
      <c r="F17" s="559"/>
      <c r="G17" s="493"/>
    </row>
    <row r="18" spans="1:9" ht="15.75" x14ac:dyDescent="0.2">
      <c r="A18" s="337">
        <v>43963</v>
      </c>
      <c r="B18" s="338">
        <v>0.74305555555555547</v>
      </c>
      <c r="C18" s="338">
        <v>0.81944444444444453</v>
      </c>
      <c r="D18" s="339">
        <f>(C18-B18)</f>
        <v>7.6388888888889062E-2</v>
      </c>
      <c r="E18" s="522" t="s">
        <v>314</v>
      </c>
      <c r="F18" s="525"/>
      <c r="G18" s="492"/>
    </row>
    <row r="19" spans="1:9" ht="33.75" customHeight="1" thickBot="1" x14ac:dyDescent="0.25">
      <c r="A19" s="340"/>
      <c r="B19" s="341"/>
      <c r="C19" s="341"/>
      <c r="D19" s="341"/>
      <c r="E19" s="526"/>
      <c r="F19" s="527"/>
      <c r="G19" s="493"/>
      <c r="I19" s="8"/>
    </row>
    <row r="20" spans="1:9" ht="15.75" customHeight="1" x14ac:dyDescent="0.25">
      <c r="A20" s="375">
        <v>43964</v>
      </c>
      <c r="B20" s="376">
        <v>0.86805555555555547</v>
      </c>
      <c r="C20" s="376">
        <v>0.97916666666666663</v>
      </c>
      <c r="D20" s="334">
        <f>(C20-B20)</f>
        <v>0.11111111111111116</v>
      </c>
      <c r="E20" s="520" t="s">
        <v>313</v>
      </c>
      <c r="F20" s="528"/>
      <c r="G20" s="492"/>
      <c r="H20" s="8"/>
      <c r="I20" s="8"/>
    </row>
    <row r="21" spans="1:9" ht="15.75" thickBot="1" x14ac:dyDescent="0.3">
      <c r="A21" s="335"/>
      <c r="B21" s="336"/>
      <c r="C21" s="336"/>
      <c r="D21" s="336"/>
      <c r="E21" s="521"/>
      <c r="F21" s="529"/>
      <c r="G21" s="493"/>
      <c r="I21" s="8"/>
    </row>
    <row r="22" spans="1:9" ht="15.6" customHeight="1" x14ac:dyDescent="0.2">
      <c r="A22" s="333">
        <v>43965</v>
      </c>
      <c r="B22" s="334">
        <v>0.56944444444444442</v>
      </c>
      <c r="C22" s="334">
        <v>0.67013888888888884</v>
      </c>
      <c r="D22" s="334">
        <f>(C22-B22)</f>
        <v>0.10069444444444442</v>
      </c>
      <c r="E22" s="519" t="s">
        <v>315</v>
      </c>
      <c r="F22" s="528"/>
      <c r="G22" s="492"/>
      <c r="I22" s="9"/>
    </row>
    <row r="23" spans="1:9" ht="50.25" customHeight="1" thickBot="1" x14ac:dyDescent="0.3">
      <c r="A23" s="335"/>
      <c r="B23" s="336"/>
      <c r="C23" s="336"/>
      <c r="D23" s="336"/>
      <c r="E23" s="521"/>
      <c r="F23" s="529"/>
      <c r="G23" s="493"/>
      <c r="I23" s="10"/>
    </row>
    <row r="24" spans="1:9" ht="15.75" x14ac:dyDescent="0.2">
      <c r="A24" s="333">
        <v>43965</v>
      </c>
      <c r="B24" s="334">
        <v>0.74652777777777779</v>
      </c>
      <c r="C24" s="334">
        <v>0.83333333333333337</v>
      </c>
      <c r="D24" s="334">
        <f>(C24-B24)</f>
        <v>8.680555555555558E-2</v>
      </c>
      <c r="E24" s="519" t="s">
        <v>316</v>
      </c>
      <c r="F24" s="528"/>
      <c r="G24" s="492"/>
      <c r="H24" s="8"/>
    </row>
    <row r="25" spans="1:9" ht="17.25" customHeight="1" thickBot="1" x14ac:dyDescent="0.25">
      <c r="A25" s="340"/>
      <c r="B25" s="341"/>
      <c r="C25" s="341"/>
      <c r="D25" s="341"/>
      <c r="E25" s="521"/>
      <c r="F25" s="529"/>
      <c r="G25" s="493"/>
      <c r="H25" s="9"/>
    </row>
    <row r="26" spans="1:9" ht="15.75" x14ac:dyDescent="0.2">
      <c r="A26" s="333">
        <v>43968</v>
      </c>
      <c r="B26" s="347">
        <v>0.58333333333333337</v>
      </c>
      <c r="C26" s="347">
        <v>0.64236111111111105</v>
      </c>
      <c r="D26" s="334">
        <f>(C26-B26)</f>
        <v>5.9027777777777679E-2</v>
      </c>
      <c r="E26" s="519" t="s">
        <v>317</v>
      </c>
      <c r="F26" s="528"/>
      <c r="G26" s="492"/>
      <c r="H26" s="10"/>
    </row>
    <row r="27" spans="1:9" ht="35.25" customHeight="1" thickBot="1" x14ac:dyDescent="0.3">
      <c r="A27" s="335"/>
      <c r="B27" s="336"/>
      <c r="C27" s="336"/>
      <c r="D27" s="336"/>
      <c r="E27" s="521"/>
      <c r="F27" s="529"/>
      <c r="G27" s="493"/>
      <c r="H27" s="29"/>
    </row>
    <row r="28" spans="1:9" ht="15.6" customHeight="1" x14ac:dyDescent="0.2">
      <c r="A28" s="333">
        <v>43968</v>
      </c>
      <c r="B28" s="347">
        <v>0.69444444444444453</v>
      </c>
      <c r="C28" s="347">
        <v>0.82291666666666663</v>
      </c>
      <c r="D28" s="334">
        <f t="shared" ref="D28" si="1">(C28-B28)</f>
        <v>0.1284722222222221</v>
      </c>
      <c r="E28" s="519" t="s">
        <v>318</v>
      </c>
      <c r="F28" s="528"/>
      <c r="G28" s="492"/>
      <c r="H28" s="29"/>
    </row>
    <row r="29" spans="1:9" ht="48" customHeight="1" thickBot="1" x14ac:dyDescent="0.3">
      <c r="A29" s="335"/>
      <c r="B29" s="336"/>
      <c r="C29" s="336"/>
      <c r="D29" s="336"/>
      <c r="E29" s="521"/>
      <c r="F29" s="529"/>
      <c r="G29" s="493"/>
      <c r="H29" s="29"/>
    </row>
    <row r="30" spans="1:9" ht="12.75" customHeight="1" x14ac:dyDescent="0.2">
      <c r="A30" s="342">
        <v>43968</v>
      </c>
      <c r="B30" s="343">
        <v>0.84027777777777779</v>
      </c>
      <c r="C30" s="343">
        <v>0.86111111111111116</v>
      </c>
      <c r="D30" s="344">
        <f t="shared" ref="D30" si="2">(C30-B30)</f>
        <v>2.083333333333337E-2</v>
      </c>
      <c r="E30" s="530" t="s">
        <v>319</v>
      </c>
      <c r="F30" s="531"/>
      <c r="G30" s="492"/>
      <c r="H30" s="29"/>
    </row>
    <row r="31" spans="1:9" ht="20.25" customHeight="1" thickBot="1" x14ac:dyDescent="0.3">
      <c r="A31" s="345"/>
      <c r="B31" s="346"/>
      <c r="C31" s="346"/>
      <c r="D31" s="346"/>
      <c r="E31" s="532"/>
      <c r="F31" s="533"/>
      <c r="G31" s="493"/>
      <c r="H31" s="29"/>
    </row>
    <row r="32" spans="1:9" ht="12.75" customHeight="1" x14ac:dyDescent="0.2">
      <c r="H32" s="29"/>
    </row>
    <row r="33" spans="8:8" x14ac:dyDescent="0.2">
      <c r="H33" s="29"/>
    </row>
    <row r="34" spans="8:8" x14ac:dyDescent="0.2">
      <c r="H34" s="29"/>
    </row>
    <row r="35" spans="8:8" x14ac:dyDescent="0.2">
      <c r="H35" s="29"/>
    </row>
    <row r="36" spans="8:8" x14ac:dyDescent="0.2">
      <c r="H36" s="29"/>
    </row>
    <row r="37" spans="8:8" x14ac:dyDescent="0.2">
      <c r="H37" s="29"/>
    </row>
    <row r="45" spans="8:8" ht="12.75" customHeight="1" x14ac:dyDescent="0.2"/>
    <row r="46" spans="8:8" ht="12.75" customHeight="1" x14ac:dyDescent="0.2"/>
    <row r="47" spans="8:8" ht="12.75" customHeight="1" x14ac:dyDescent="0.2"/>
    <row r="48" spans="8:8" ht="12.75" customHeight="1" x14ac:dyDescent="0.2"/>
    <row r="49" spans="1:7" ht="12.75" customHeight="1" x14ac:dyDescent="0.2"/>
    <row r="50" spans="1:7" ht="12.75" customHeight="1" x14ac:dyDescent="0.2"/>
    <row r="51" spans="1:7" ht="12.75" customHeight="1" x14ac:dyDescent="0.2"/>
    <row r="52" spans="1:7" ht="12.75" customHeight="1" x14ac:dyDescent="0.2"/>
    <row r="53" spans="1:7" ht="12.75" customHeight="1" x14ac:dyDescent="0.2"/>
    <row r="54" spans="1:7" ht="12.75" customHeight="1" x14ac:dyDescent="0.2"/>
    <row r="55" spans="1:7" ht="12.75" customHeight="1" x14ac:dyDescent="0.2"/>
    <row r="56" spans="1:7" ht="12.75" customHeight="1" x14ac:dyDescent="0.2"/>
    <row r="57" spans="1:7" ht="20.25" customHeight="1" thickBot="1" x14ac:dyDescent="0.4">
      <c r="A57" s="28" t="s">
        <v>26</v>
      </c>
      <c r="B57" s="28"/>
      <c r="C57" s="27"/>
      <c r="D57" s="27"/>
      <c r="E57" s="27"/>
      <c r="F57" s="98"/>
      <c r="G57" s="98"/>
    </row>
    <row r="58" spans="1:7" ht="12.75" customHeight="1" thickBot="1" x14ac:dyDescent="0.25">
      <c r="A58" s="234"/>
      <c r="B58" s="234"/>
      <c r="C58" s="234"/>
      <c r="D58" s="234"/>
      <c r="E58" s="234"/>
      <c r="F58" s="234"/>
      <c r="G58" s="234"/>
    </row>
    <row r="59" spans="1:7" ht="12.75" customHeight="1" x14ac:dyDescent="0.2">
      <c r="A59" s="494" t="s">
        <v>320</v>
      </c>
      <c r="B59" s="495"/>
      <c r="C59" s="495"/>
      <c r="D59" s="495"/>
      <c r="E59" s="495"/>
      <c r="F59" s="495"/>
      <c r="G59" s="496"/>
    </row>
    <row r="60" spans="1:7" ht="12.75" customHeight="1" x14ac:dyDescent="0.2">
      <c r="A60" s="497"/>
      <c r="B60" s="498"/>
      <c r="C60" s="498"/>
      <c r="D60" s="498"/>
      <c r="E60" s="498"/>
      <c r="F60" s="498"/>
      <c r="G60" s="499"/>
    </row>
    <row r="61" spans="1:7" ht="20.25" customHeight="1" x14ac:dyDescent="0.2">
      <c r="A61" s="497"/>
      <c r="B61" s="498"/>
      <c r="C61" s="498"/>
      <c r="D61" s="498"/>
      <c r="E61" s="498"/>
      <c r="F61" s="498"/>
      <c r="G61" s="499"/>
    </row>
    <row r="62" spans="1:7" ht="12.75" customHeight="1" x14ac:dyDescent="0.2">
      <c r="A62" s="497"/>
      <c r="B62" s="498"/>
      <c r="C62" s="498"/>
      <c r="D62" s="498"/>
      <c r="E62" s="498"/>
      <c r="F62" s="498"/>
      <c r="G62" s="499"/>
    </row>
    <row r="63" spans="1:7" ht="12.75" customHeight="1" x14ac:dyDescent="0.2">
      <c r="A63" s="497"/>
      <c r="B63" s="498"/>
      <c r="C63" s="498"/>
      <c r="D63" s="498"/>
      <c r="E63" s="498"/>
      <c r="F63" s="498"/>
      <c r="G63" s="499"/>
    </row>
    <row r="64" spans="1:7" ht="12.75" customHeight="1" x14ac:dyDescent="0.2">
      <c r="A64" s="497"/>
      <c r="B64" s="498"/>
      <c r="C64" s="498"/>
      <c r="D64" s="498"/>
      <c r="E64" s="498"/>
      <c r="F64" s="498"/>
      <c r="G64" s="499"/>
    </row>
    <row r="65" spans="1:7" ht="18.75" customHeight="1" x14ac:dyDescent="0.2">
      <c r="A65" s="497"/>
      <c r="B65" s="498"/>
      <c r="C65" s="498"/>
      <c r="D65" s="498"/>
      <c r="E65" s="498"/>
      <c r="F65" s="498"/>
      <c r="G65" s="499"/>
    </row>
    <row r="66" spans="1:7" ht="12.75" customHeight="1" x14ac:dyDescent="0.2">
      <c r="A66" s="497"/>
      <c r="B66" s="498"/>
      <c r="C66" s="498"/>
      <c r="D66" s="498"/>
      <c r="E66" s="498"/>
      <c r="F66" s="498"/>
      <c r="G66" s="499"/>
    </row>
    <row r="67" spans="1:7" ht="15.75" customHeight="1" x14ac:dyDescent="0.2">
      <c r="A67" s="497"/>
      <c r="B67" s="498"/>
      <c r="C67" s="498"/>
      <c r="D67" s="498"/>
      <c r="E67" s="498"/>
      <c r="F67" s="498"/>
      <c r="G67" s="499"/>
    </row>
    <row r="68" spans="1:7" ht="12.75" customHeight="1" x14ac:dyDescent="0.2">
      <c r="A68" s="497"/>
      <c r="B68" s="498"/>
      <c r="C68" s="498"/>
      <c r="D68" s="498"/>
      <c r="E68" s="498"/>
      <c r="F68" s="498"/>
      <c r="G68" s="499"/>
    </row>
    <row r="69" spans="1:7" ht="12.75" customHeight="1" x14ac:dyDescent="0.2">
      <c r="A69" s="497"/>
      <c r="B69" s="498"/>
      <c r="C69" s="498"/>
      <c r="D69" s="498"/>
      <c r="E69" s="498"/>
      <c r="F69" s="498"/>
      <c r="G69" s="499"/>
    </row>
    <row r="70" spans="1:7" ht="12.75" customHeight="1" x14ac:dyDescent="0.2">
      <c r="A70" s="497"/>
      <c r="B70" s="498"/>
      <c r="C70" s="498"/>
      <c r="D70" s="498"/>
      <c r="E70" s="498"/>
      <c r="F70" s="498"/>
      <c r="G70" s="499"/>
    </row>
    <row r="71" spans="1:7" ht="12.75" customHeight="1" x14ac:dyDescent="0.2">
      <c r="A71" s="497"/>
      <c r="B71" s="498"/>
      <c r="C71" s="498"/>
      <c r="D71" s="498"/>
      <c r="E71" s="498"/>
      <c r="F71" s="498"/>
      <c r="G71" s="499"/>
    </row>
    <row r="72" spans="1:7" ht="12.75" customHeight="1" x14ac:dyDescent="0.2">
      <c r="A72" s="497"/>
      <c r="B72" s="498"/>
      <c r="C72" s="498"/>
      <c r="D72" s="498"/>
      <c r="E72" s="498"/>
      <c r="F72" s="498"/>
      <c r="G72" s="499"/>
    </row>
    <row r="73" spans="1:7" ht="12.75" customHeight="1" x14ac:dyDescent="0.2">
      <c r="A73" s="497"/>
      <c r="B73" s="498"/>
      <c r="C73" s="498"/>
      <c r="D73" s="498"/>
      <c r="E73" s="498"/>
      <c r="F73" s="498"/>
      <c r="G73" s="499"/>
    </row>
    <row r="74" spans="1:7" ht="12.6" customHeight="1" x14ac:dyDescent="0.2">
      <c r="A74" s="497"/>
      <c r="B74" s="498"/>
      <c r="C74" s="498"/>
      <c r="D74" s="498"/>
      <c r="E74" s="498"/>
      <c r="F74" s="498"/>
      <c r="G74" s="499"/>
    </row>
    <row r="75" spans="1:7" ht="12.75" customHeight="1" x14ac:dyDescent="0.2">
      <c r="A75" s="497"/>
      <c r="B75" s="498"/>
      <c r="C75" s="498"/>
      <c r="D75" s="498"/>
      <c r="E75" s="498"/>
      <c r="F75" s="498"/>
      <c r="G75" s="499"/>
    </row>
    <row r="76" spans="1:7" ht="12.6" customHeight="1" x14ac:dyDescent="0.2">
      <c r="A76" s="497"/>
      <c r="B76" s="498"/>
      <c r="C76" s="498"/>
      <c r="D76" s="498"/>
      <c r="E76" s="498"/>
      <c r="F76" s="498"/>
      <c r="G76" s="499"/>
    </row>
    <row r="77" spans="1:7" ht="12.6" customHeight="1" x14ac:dyDescent="0.2">
      <c r="A77" s="497"/>
      <c r="B77" s="498"/>
      <c r="C77" s="498"/>
      <c r="D77" s="498"/>
      <c r="E77" s="498"/>
      <c r="F77" s="498"/>
      <c r="G77" s="499"/>
    </row>
    <row r="78" spans="1:7" ht="12.6" customHeight="1" x14ac:dyDescent="0.2">
      <c r="A78" s="497"/>
      <c r="B78" s="498"/>
      <c r="C78" s="498"/>
      <c r="D78" s="498"/>
      <c r="E78" s="498"/>
      <c r="F78" s="498"/>
      <c r="G78" s="499"/>
    </row>
    <row r="79" spans="1:7" ht="12.6" customHeight="1" x14ac:dyDescent="0.2">
      <c r="A79" s="497"/>
      <c r="B79" s="498"/>
      <c r="C79" s="498"/>
      <c r="D79" s="498"/>
      <c r="E79" s="498"/>
      <c r="F79" s="498"/>
      <c r="G79" s="499"/>
    </row>
    <row r="80" spans="1:7" ht="12.6" customHeight="1" x14ac:dyDescent="0.2">
      <c r="A80" s="497"/>
      <c r="B80" s="498"/>
      <c r="C80" s="498"/>
      <c r="D80" s="498"/>
      <c r="E80" s="498"/>
      <c r="F80" s="498"/>
      <c r="G80" s="499"/>
    </row>
    <row r="81" spans="1:7" ht="13.15" customHeight="1" x14ac:dyDescent="0.2">
      <c r="A81" s="497"/>
      <c r="B81" s="498"/>
      <c r="C81" s="498"/>
      <c r="D81" s="498"/>
      <c r="E81" s="498"/>
      <c r="F81" s="498"/>
      <c r="G81" s="499"/>
    </row>
    <row r="82" spans="1:7" ht="12.75" customHeight="1" x14ac:dyDescent="0.2">
      <c r="A82" s="497"/>
      <c r="B82" s="498"/>
      <c r="C82" s="498"/>
      <c r="D82" s="498"/>
      <c r="E82" s="498"/>
      <c r="F82" s="498"/>
      <c r="G82" s="499"/>
    </row>
    <row r="83" spans="1:7" ht="12.75" customHeight="1" x14ac:dyDescent="0.2">
      <c r="A83" s="497"/>
      <c r="B83" s="498"/>
      <c r="C83" s="498"/>
      <c r="D83" s="498"/>
      <c r="E83" s="498"/>
      <c r="F83" s="498"/>
      <c r="G83" s="499"/>
    </row>
    <row r="84" spans="1:7" ht="12.75" customHeight="1" x14ac:dyDescent="0.2">
      <c r="A84" s="497"/>
      <c r="B84" s="498"/>
      <c r="C84" s="498"/>
      <c r="D84" s="498"/>
      <c r="E84" s="498"/>
      <c r="F84" s="498"/>
      <c r="G84" s="499"/>
    </row>
    <row r="85" spans="1:7" ht="12.75" customHeight="1" x14ac:dyDescent="0.2">
      <c r="A85" s="497"/>
      <c r="B85" s="498"/>
      <c r="C85" s="498"/>
      <c r="D85" s="498"/>
      <c r="E85" s="498"/>
      <c r="F85" s="498"/>
      <c r="G85" s="499"/>
    </row>
    <row r="86" spans="1:7" ht="12.75" customHeight="1" x14ac:dyDescent="0.2">
      <c r="A86" s="497"/>
      <c r="B86" s="498"/>
      <c r="C86" s="498"/>
      <c r="D86" s="498"/>
      <c r="E86" s="498"/>
      <c r="F86" s="498"/>
      <c r="G86" s="499"/>
    </row>
    <row r="87" spans="1:7" ht="12.75" customHeight="1" x14ac:dyDescent="0.2">
      <c r="A87" s="497"/>
      <c r="B87" s="498"/>
      <c r="C87" s="498"/>
      <c r="D87" s="498"/>
      <c r="E87" s="498"/>
      <c r="F87" s="498"/>
      <c r="G87" s="499"/>
    </row>
    <row r="88" spans="1:7" ht="12.75" customHeight="1" x14ac:dyDescent="0.2">
      <c r="A88" s="497"/>
      <c r="B88" s="498"/>
      <c r="C88" s="498"/>
      <c r="D88" s="498"/>
      <c r="E88" s="498"/>
      <c r="F88" s="498"/>
      <c r="G88" s="499"/>
    </row>
    <row r="89" spans="1:7" ht="12.75" customHeight="1" x14ac:dyDescent="0.2">
      <c r="A89" s="497"/>
      <c r="B89" s="498"/>
      <c r="C89" s="498"/>
      <c r="D89" s="498"/>
      <c r="E89" s="498"/>
      <c r="F89" s="498"/>
      <c r="G89" s="499"/>
    </row>
    <row r="90" spans="1:7" ht="12.75" customHeight="1" x14ac:dyDescent="0.2">
      <c r="A90" s="497"/>
      <c r="B90" s="498"/>
      <c r="C90" s="498"/>
      <c r="D90" s="498"/>
      <c r="E90" s="498"/>
      <c r="F90" s="498"/>
      <c r="G90" s="499"/>
    </row>
    <row r="91" spans="1:7" ht="12.75" customHeight="1" x14ac:dyDescent="0.2">
      <c r="A91" s="497"/>
      <c r="B91" s="498"/>
      <c r="C91" s="498"/>
      <c r="D91" s="498"/>
      <c r="E91" s="498"/>
      <c r="F91" s="498"/>
      <c r="G91" s="499"/>
    </row>
    <row r="92" spans="1:7" ht="12.75" customHeight="1" x14ac:dyDescent="0.2">
      <c r="A92" s="497"/>
      <c r="B92" s="498"/>
      <c r="C92" s="498"/>
      <c r="D92" s="498"/>
      <c r="E92" s="498"/>
      <c r="F92" s="498"/>
      <c r="G92" s="499"/>
    </row>
    <row r="93" spans="1:7" ht="12.75" customHeight="1" x14ac:dyDescent="0.2">
      <c r="A93" s="497"/>
      <c r="B93" s="498"/>
      <c r="C93" s="498"/>
      <c r="D93" s="498"/>
      <c r="E93" s="498"/>
      <c r="F93" s="498"/>
      <c r="G93" s="499"/>
    </row>
    <row r="94" spans="1:7" ht="12.75" customHeight="1" x14ac:dyDescent="0.2">
      <c r="A94" s="497"/>
      <c r="B94" s="498"/>
      <c r="C94" s="498"/>
      <c r="D94" s="498"/>
      <c r="E94" s="498"/>
      <c r="F94" s="498"/>
      <c r="G94" s="499"/>
    </row>
    <row r="95" spans="1:7" ht="12.75" customHeight="1" thickBot="1" x14ac:dyDescent="0.25">
      <c r="A95" s="500"/>
      <c r="B95" s="501"/>
      <c r="C95" s="501"/>
      <c r="D95" s="501"/>
      <c r="E95" s="501"/>
      <c r="F95" s="501"/>
      <c r="G95" s="502"/>
    </row>
    <row r="96" spans="1:7"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3.5" customHeight="1" x14ac:dyDescent="0.2"/>
    <row r="116" ht="18.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3.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27">
    <mergeCell ref="E30:F31"/>
    <mergeCell ref="G30:G31"/>
    <mergeCell ref="A59:G95"/>
    <mergeCell ref="E24:F25"/>
    <mergeCell ref="G24:G25"/>
    <mergeCell ref="E26:F27"/>
    <mergeCell ref="G26:G27"/>
    <mergeCell ref="E28:F29"/>
    <mergeCell ref="G28:G29"/>
    <mergeCell ref="E18:F19"/>
    <mergeCell ref="G18:G19"/>
    <mergeCell ref="E20:F21"/>
    <mergeCell ref="G20:G21"/>
    <mergeCell ref="E22:F23"/>
    <mergeCell ref="G22:G23"/>
    <mergeCell ref="E12:F13"/>
    <mergeCell ref="G12:G13"/>
    <mergeCell ref="E14:F15"/>
    <mergeCell ref="G14:G15"/>
    <mergeCell ref="E16:F17"/>
    <mergeCell ref="G16:G17"/>
    <mergeCell ref="A1:D1"/>
    <mergeCell ref="A4:A5"/>
    <mergeCell ref="C4:C5"/>
    <mergeCell ref="J4:J5"/>
    <mergeCell ref="E10:F11"/>
    <mergeCell ref="G10:G11"/>
  </mergeCells>
  <conditionalFormatting sqref="I19 H20:I20 I21 H24">
    <cfRule type="expression" dxfId="7" priority="3">
      <formula>ISNUMBER(SEARCH(TEXT(#REF!,"ddd"),#REF!))</formula>
    </cfRule>
  </conditionalFormatting>
  <conditionalFormatting sqref="A22:D22 D14 D16 A24:C24 A18:D18">
    <cfRule type="expression" dxfId="6" priority="4">
      <formula>ISNUMBER(SEARCH(TEXT(#REF!,"ddd"),#REF!))</formula>
    </cfRule>
  </conditionalFormatting>
  <conditionalFormatting sqref="D20">
    <cfRule type="expression" dxfId="5" priority="2">
      <formula>ISNUMBER(SEARCH(TEXT(#REF!,"ddd"),#REF!))</formula>
    </cfRule>
  </conditionalFormatting>
  <conditionalFormatting sqref="A20:C20">
    <cfRule type="expression" dxfId="4" priority="1">
      <formula>ISNUMBER(SEARCH(TEXT(#REF!,"ddd"),#REF!))</formula>
    </cfRule>
  </conditionalFormatting>
  <dataValidations count="1">
    <dataValidation type="custom" allowBlank="1" showInputMessage="1" showErrorMessage="1" sqref="B22:C22 B18:C18 B20:C20 B24:C24" xr:uid="{0C6309E6-F127-4168-8588-FACD165FEB7B}">
      <formula1>AND($B18&lt;=1,ISNUMBER($B18))</formula1>
    </dataValidation>
  </dataValidations>
  <pageMargins left="0.19685039370078741" right="0.19685039370078741" top="0.19685039370078741" bottom="0.19685039370078741" header="0" footer="0"/>
  <pageSetup paperSize="9" scale="85" fitToHeight="0" orientation="portrait" horizontalDpi="4294967293" vertic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7E6C7-31CD-4719-B635-A7F15E30527E}">
  <sheetPr codeName="Sheet27"/>
  <dimension ref="A1:K212"/>
  <sheetViews>
    <sheetView showGridLines="0" tabSelected="1" zoomScaleNormal="100" workbookViewId="0">
      <selection activeCell="E14" sqref="E14:F15"/>
    </sheetView>
  </sheetViews>
  <sheetFormatPr baseColWidth="10" defaultColWidth="9" defaultRowHeight="12.75" x14ac:dyDescent="0.2"/>
  <cols>
    <col min="1" max="1" width="15" customWidth="1"/>
    <col min="2" max="2" width="8.875" customWidth="1"/>
    <col min="3" max="3" width="11.625" customWidth="1"/>
    <col min="4" max="4" width="10.25" customWidth="1"/>
    <col min="5" max="5" width="21.5" customWidth="1"/>
    <col min="6" max="6" width="17.875" customWidth="1"/>
    <col min="7" max="7" width="16.375" customWidth="1"/>
    <col min="8" max="8" width="8.875" customWidth="1"/>
    <col min="9" max="9" width="11.625" customWidth="1"/>
    <col min="10" max="10" width="9.5" customWidth="1"/>
    <col min="11" max="11" width="14.125" bestFit="1" customWidth="1"/>
    <col min="12" max="12" width="17.875" bestFit="1" customWidth="1"/>
    <col min="13" max="13" width="19.25" bestFit="1" customWidth="1"/>
  </cols>
  <sheetData>
    <row r="1" spans="1:11" ht="27" thickTop="1" x14ac:dyDescent="0.4">
      <c r="A1" s="419" t="s">
        <v>49</v>
      </c>
      <c r="B1" s="419"/>
      <c r="C1" s="419"/>
      <c r="D1" s="419"/>
      <c r="E1" s="45">
        <f>WEEKNUM(A10)</f>
        <v>21</v>
      </c>
      <c r="F1" s="46"/>
      <c r="G1" s="47"/>
      <c r="H1" s="26"/>
      <c r="J1" s="1"/>
    </row>
    <row r="2" spans="1:11" s="1" customFormat="1" ht="14.25" customHeight="1" x14ac:dyDescent="0.25">
      <c r="A2" s="38" t="s">
        <v>1</v>
      </c>
      <c r="B2" s="38"/>
      <c r="C2" s="38" t="s">
        <v>2</v>
      </c>
      <c r="D2" s="38"/>
      <c r="E2" s="250" t="s">
        <v>3</v>
      </c>
      <c r="F2" s="44" t="s">
        <v>4</v>
      </c>
      <c r="G2" s="44" t="s">
        <v>29</v>
      </c>
      <c r="H2" s="20"/>
      <c r="I2" s="13"/>
      <c r="J2" s="6"/>
      <c r="K2" s="1" t="s">
        <v>69</v>
      </c>
    </row>
    <row r="3" spans="1:11" ht="16.5" thickBot="1" x14ac:dyDescent="0.25">
      <c r="A3" s="274">
        <f>A10</f>
        <v>43969</v>
      </c>
      <c r="B3" s="382"/>
      <c r="C3" s="274">
        <f>A30</f>
        <v>0</v>
      </c>
      <c r="D3" s="382"/>
      <c r="E3" s="249" t="s">
        <v>6</v>
      </c>
      <c r="F3" s="261">
        <f>Sumcolor(E3,D10:D32)</f>
        <v>0</v>
      </c>
      <c r="G3" s="259">
        <f>SUM(Først:Sist!F3)</f>
        <v>0.93402777777777768</v>
      </c>
      <c r="H3" s="22"/>
      <c r="I3" s="7"/>
      <c r="J3" s="7"/>
      <c r="K3" t="s">
        <v>70</v>
      </c>
    </row>
    <row r="4" spans="1:11" ht="15" customHeight="1" x14ac:dyDescent="0.2">
      <c r="A4" s="420" t="s">
        <v>96</v>
      </c>
      <c r="B4" s="383"/>
      <c r="C4" s="420" t="s">
        <v>51</v>
      </c>
      <c r="D4" s="384"/>
      <c r="E4" s="246" t="s">
        <v>9</v>
      </c>
      <c r="F4" s="261">
        <f>Sumcolor(E4,D10:D32)</f>
        <v>0</v>
      </c>
      <c r="G4" s="259">
        <f>SUM(Først:Sist!F4)</f>
        <v>6.5486111111111125</v>
      </c>
      <c r="H4" s="22"/>
      <c r="I4" s="7"/>
      <c r="J4" s="399"/>
    </row>
    <row r="5" spans="1:11" ht="19.5" customHeight="1" x14ac:dyDescent="0.2">
      <c r="A5" s="447"/>
      <c r="B5" s="384"/>
      <c r="C5" s="421"/>
      <c r="D5" s="384"/>
      <c r="E5" s="247" t="s">
        <v>10</v>
      </c>
      <c r="F5" s="261">
        <f>Sumcolor(E5,D10:D32)</f>
        <v>6.944444444444442E-2</v>
      </c>
      <c r="G5" s="259">
        <f>SUM(Først:Sist!F5)</f>
        <v>1.3368055555555545</v>
      </c>
      <c r="H5" s="22"/>
      <c r="I5" s="7"/>
      <c r="J5" s="399"/>
      <c r="K5" t="s">
        <v>71</v>
      </c>
    </row>
    <row r="6" spans="1:11" ht="18.75" customHeight="1" thickBot="1" x14ac:dyDescent="0.25">
      <c r="A6" s="328">
        <f>SUM(D10:D32)</f>
        <v>0.17013888888888895</v>
      </c>
      <c r="B6" s="40"/>
      <c r="C6" s="240">
        <f>SUM('Først:Uke21'!A6)</f>
        <v>11.399305555555555</v>
      </c>
      <c r="D6" s="42"/>
      <c r="E6" s="248" t="s">
        <v>11</v>
      </c>
      <c r="F6" s="260">
        <f>Sumcolor(E6,D10:D32)</f>
        <v>0</v>
      </c>
      <c r="G6" s="260">
        <f>SUM(Først:Sist!F6)</f>
        <v>2.4791666666666661</v>
      </c>
      <c r="H6" s="22"/>
      <c r="I6" s="7"/>
      <c r="J6" s="7"/>
      <c r="K6" t="s">
        <v>72</v>
      </c>
    </row>
    <row r="7" spans="1:11" ht="12.75" customHeight="1" x14ac:dyDescent="0.2">
      <c r="A7" s="19"/>
      <c r="B7" s="23"/>
      <c r="C7" s="24"/>
      <c r="D7" s="14"/>
      <c r="E7" s="23"/>
      <c r="F7" s="23"/>
      <c r="G7" s="25"/>
      <c r="H7" s="25"/>
    </row>
    <row r="8" spans="1:11" x14ac:dyDescent="0.2">
      <c r="A8" s="23"/>
      <c r="B8" s="25"/>
      <c r="C8" s="14"/>
      <c r="D8" s="25"/>
      <c r="E8" s="23"/>
      <c r="F8" s="23"/>
      <c r="G8" s="25"/>
      <c r="H8" s="25"/>
      <c r="K8" t="s">
        <v>73</v>
      </c>
    </row>
    <row r="9" spans="1:11" ht="16.5" thickBot="1" x14ac:dyDescent="0.3">
      <c r="A9" s="30" t="s">
        <v>15</v>
      </c>
      <c r="B9" s="30" t="s">
        <v>18</v>
      </c>
      <c r="C9" s="30" t="s">
        <v>19</v>
      </c>
      <c r="D9" s="30" t="s">
        <v>20</v>
      </c>
      <c r="E9" s="30" t="s">
        <v>21</v>
      </c>
      <c r="G9" s="30" t="s">
        <v>42</v>
      </c>
      <c r="H9" s="25"/>
      <c r="K9" t="s">
        <v>74</v>
      </c>
    </row>
    <row r="10" spans="1:11" ht="15.6" customHeight="1" x14ac:dyDescent="0.25">
      <c r="A10" s="322">
        <v>43969</v>
      </c>
      <c r="B10" s="323">
        <v>0.58333333333333337</v>
      </c>
      <c r="C10" s="323">
        <v>0.65277777777777779</v>
      </c>
      <c r="D10" s="324">
        <f>(C10-B10)</f>
        <v>6.944444444444442E-2</v>
      </c>
      <c r="E10" s="515" t="s">
        <v>322</v>
      </c>
      <c r="F10" s="516"/>
      <c r="G10" s="492"/>
      <c r="H10" s="25"/>
    </row>
    <row r="11" spans="1:11" ht="16.5" thickBot="1" x14ac:dyDescent="0.3">
      <c r="A11" s="325"/>
      <c r="B11" s="326"/>
      <c r="C11" s="326"/>
      <c r="D11" s="327"/>
      <c r="E11" s="517"/>
      <c r="F11" s="518"/>
      <c r="G11" s="493"/>
      <c r="H11" s="25"/>
      <c r="K11" t="s">
        <v>76</v>
      </c>
    </row>
    <row r="12" spans="1:11" ht="17.25" customHeight="1" x14ac:dyDescent="0.25">
      <c r="A12" s="560">
        <v>43969</v>
      </c>
      <c r="B12" s="561">
        <v>0.73263888888888884</v>
      </c>
      <c r="C12" s="561">
        <v>0.83333333333333337</v>
      </c>
      <c r="D12" s="562">
        <f>(C12-B12)</f>
        <v>0.10069444444444453</v>
      </c>
      <c r="E12" s="563"/>
      <c r="F12" s="564"/>
      <c r="G12" s="492"/>
      <c r="K12" t="s">
        <v>78</v>
      </c>
    </row>
    <row r="13" spans="1:11" ht="16.5" thickBot="1" x14ac:dyDescent="0.3">
      <c r="A13" s="568"/>
      <c r="B13" s="565"/>
      <c r="C13" s="565"/>
      <c r="D13" s="565"/>
      <c r="E13" s="566"/>
      <c r="F13" s="567"/>
      <c r="G13" s="493"/>
    </row>
    <row r="14" spans="1:11" ht="15.75" customHeight="1" x14ac:dyDescent="0.25">
      <c r="A14" s="560"/>
      <c r="B14" s="569"/>
      <c r="C14" s="570"/>
      <c r="D14" s="571">
        <f t="shared" ref="D14" si="0">(C14-B14)</f>
        <v>0</v>
      </c>
      <c r="E14" s="572"/>
      <c r="F14" s="573"/>
      <c r="G14" s="492"/>
    </row>
    <row r="15" spans="1:11" ht="15.75" thickBot="1" x14ac:dyDescent="0.3">
      <c r="A15" s="574"/>
      <c r="B15" s="575"/>
      <c r="C15" s="575"/>
      <c r="D15" s="575"/>
      <c r="E15" s="576"/>
      <c r="F15" s="576"/>
      <c r="G15" s="493"/>
    </row>
    <row r="16" spans="1:11" ht="15.6" customHeight="1" x14ac:dyDescent="0.2">
      <c r="A16" s="560"/>
      <c r="B16" s="570"/>
      <c r="C16" s="570"/>
      <c r="D16" s="577">
        <f>(C16-B16)</f>
        <v>0</v>
      </c>
      <c r="E16" s="578"/>
      <c r="F16" s="579"/>
      <c r="G16" s="492"/>
      <c r="K16" s="329"/>
    </row>
    <row r="17" spans="1:9" ht="17.25" customHeight="1" thickBot="1" x14ac:dyDescent="0.25">
      <c r="A17" s="580"/>
      <c r="B17" s="581"/>
      <c r="C17" s="581"/>
      <c r="D17" s="581"/>
      <c r="E17" s="582"/>
      <c r="F17" s="582"/>
      <c r="G17" s="493"/>
    </row>
    <row r="18" spans="1:9" ht="15.75" x14ac:dyDescent="0.2">
      <c r="A18" s="583"/>
      <c r="B18" s="584"/>
      <c r="C18" s="584"/>
      <c r="D18" s="577">
        <f>(C18-B18)</f>
        <v>0</v>
      </c>
      <c r="E18" s="578"/>
      <c r="F18" s="585"/>
      <c r="G18" s="492"/>
    </row>
    <row r="19" spans="1:9" ht="13.5" thickBot="1" x14ac:dyDescent="0.25">
      <c r="A19" s="580"/>
      <c r="B19" s="581"/>
      <c r="C19" s="581"/>
      <c r="D19" s="581"/>
      <c r="E19" s="586"/>
      <c r="F19" s="587"/>
      <c r="G19" s="493"/>
      <c r="I19" s="8"/>
    </row>
    <row r="20" spans="1:9" ht="15.75" customHeight="1" x14ac:dyDescent="0.25">
      <c r="A20" s="588"/>
      <c r="B20" s="589"/>
      <c r="C20" s="589"/>
      <c r="D20" s="571">
        <f>(C20-B20)</f>
        <v>0</v>
      </c>
      <c r="E20" s="573"/>
      <c r="F20" s="590"/>
      <c r="G20" s="492"/>
      <c r="H20" s="8"/>
      <c r="I20" s="8"/>
    </row>
    <row r="21" spans="1:9" ht="15.75" thickBot="1" x14ac:dyDescent="0.3">
      <c r="A21" s="574"/>
      <c r="B21" s="575"/>
      <c r="C21" s="575"/>
      <c r="D21" s="575"/>
      <c r="E21" s="576"/>
      <c r="F21" s="591"/>
      <c r="G21" s="493"/>
      <c r="I21" s="8"/>
    </row>
    <row r="22" spans="1:9" ht="15.6" customHeight="1" x14ac:dyDescent="0.2">
      <c r="A22" s="592"/>
      <c r="B22" s="571"/>
      <c r="C22" s="571"/>
      <c r="D22" s="571">
        <f>(C22-B22)</f>
        <v>0</v>
      </c>
      <c r="E22" s="572"/>
      <c r="F22" s="590"/>
      <c r="G22" s="492"/>
      <c r="I22" s="9"/>
    </row>
    <row r="23" spans="1:9" ht="15.75" thickBot="1" x14ac:dyDescent="0.3">
      <c r="A23" s="574"/>
      <c r="B23" s="575"/>
      <c r="C23" s="575"/>
      <c r="D23" s="575"/>
      <c r="E23" s="576"/>
      <c r="F23" s="591"/>
      <c r="G23" s="493"/>
      <c r="I23" s="10"/>
    </row>
    <row r="24" spans="1:9" ht="15.75" x14ac:dyDescent="0.2">
      <c r="A24" s="592"/>
      <c r="B24" s="571"/>
      <c r="C24" s="571"/>
      <c r="D24" s="571">
        <f>(C24-B24)</f>
        <v>0</v>
      </c>
      <c r="E24" s="572"/>
      <c r="F24" s="590"/>
      <c r="G24" s="492"/>
      <c r="H24" s="8"/>
    </row>
    <row r="25" spans="1:9" ht="17.25" customHeight="1" thickBot="1" x14ac:dyDescent="0.25">
      <c r="A25" s="580"/>
      <c r="B25" s="581"/>
      <c r="C25" s="581"/>
      <c r="D25" s="581"/>
      <c r="E25" s="576"/>
      <c r="F25" s="591"/>
      <c r="G25" s="493"/>
      <c r="H25" s="9"/>
    </row>
    <row r="26" spans="1:9" ht="15.75" x14ac:dyDescent="0.2">
      <c r="A26" s="592"/>
      <c r="B26" s="593"/>
      <c r="C26" s="593"/>
      <c r="D26" s="571">
        <f>(C26-B26)</f>
        <v>0</v>
      </c>
      <c r="E26" s="572"/>
      <c r="F26" s="590"/>
      <c r="G26" s="492"/>
      <c r="H26" s="10"/>
    </row>
    <row r="27" spans="1:9" ht="15.75" thickBot="1" x14ac:dyDescent="0.3">
      <c r="A27" s="574"/>
      <c r="B27" s="575"/>
      <c r="C27" s="575"/>
      <c r="D27" s="575"/>
      <c r="E27" s="576"/>
      <c r="F27" s="591"/>
      <c r="G27" s="493"/>
      <c r="H27" s="29"/>
    </row>
    <row r="28" spans="1:9" ht="15.6" customHeight="1" x14ac:dyDescent="0.2">
      <c r="A28" s="592"/>
      <c r="B28" s="593"/>
      <c r="C28" s="593"/>
      <c r="D28" s="571">
        <f t="shared" ref="D28" si="1">(C28-B28)</f>
        <v>0</v>
      </c>
      <c r="E28" s="572"/>
      <c r="F28" s="590"/>
      <c r="G28" s="492"/>
      <c r="H28" s="29"/>
    </row>
    <row r="29" spans="1:9" ht="15.75" thickBot="1" x14ac:dyDescent="0.3">
      <c r="A29" s="574"/>
      <c r="B29" s="575"/>
      <c r="C29" s="575"/>
      <c r="D29" s="575"/>
      <c r="E29" s="576"/>
      <c r="F29" s="591"/>
      <c r="G29" s="493"/>
      <c r="H29" s="29"/>
    </row>
    <row r="30" spans="1:9" ht="12.75" customHeight="1" x14ac:dyDescent="0.2">
      <c r="A30" s="592"/>
      <c r="B30" s="593"/>
      <c r="C30" s="593"/>
      <c r="D30" s="571">
        <f t="shared" ref="D30" si="2">(C30-B30)</f>
        <v>0</v>
      </c>
      <c r="E30" s="572"/>
      <c r="F30" s="590"/>
      <c r="G30" s="492"/>
      <c r="H30" s="29"/>
    </row>
    <row r="31" spans="1:9" ht="15.75" thickBot="1" x14ac:dyDescent="0.3">
      <c r="A31" s="574"/>
      <c r="B31" s="575"/>
      <c r="C31" s="575"/>
      <c r="D31" s="575"/>
      <c r="E31" s="576"/>
      <c r="F31" s="591"/>
      <c r="G31" s="493"/>
      <c r="H31" s="29"/>
    </row>
    <row r="32" spans="1:9" ht="12.75" customHeight="1" x14ac:dyDescent="0.2">
      <c r="H32" s="29"/>
    </row>
    <row r="33" spans="1:8" ht="24" thickBot="1" x14ac:dyDescent="0.4">
      <c r="A33" s="28" t="s">
        <v>26</v>
      </c>
      <c r="B33" s="28"/>
      <c r="C33" s="27"/>
      <c r="D33" s="27"/>
      <c r="E33" s="27"/>
      <c r="F33" s="98"/>
      <c r="G33" s="98"/>
      <c r="H33" s="29"/>
    </row>
    <row r="34" spans="1:8" ht="16.5" thickBot="1" x14ac:dyDescent="0.25">
      <c r="A34" s="234"/>
      <c r="B34" s="234"/>
      <c r="C34" s="234"/>
      <c r="D34" s="234"/>
      <c r="E34" s="234"/>
      <c r="F34" s="234"/>
      <c r="G34" s="234"/>
      <c r="H34" s="29"/>
    </row>
    <row r="35" spans="1:8" x14ac:dyDescent="0.2">
      <c r="A35" s="494" t="s">
        <v>321</v>
      </c>
      <c r="B35" s="495"/>
      <c r="C35" s="495"/>
      <c r="D35" s="495"/>
      <c r="E35" s="495"/>
      <c r="F35" s="495"/>
      <c r="G35" s="496"/>
      <c r="H35" s="29"/>
    </row>
    <row r="36" spans="1:8" x14ac:dyDescent="0.2">
      <c r="A36" s="497"/>
      <c r="B36" s="498"/>
      <c r="C36" s="498"/>
      <c r="D36" s="498"/>
      <c r="E36" s="498"/>
      <c r="F36" s="498"/>
      <c r="G36" s="499"/>
      <c r="H36" s="29"/>
    </row>
    <row r="37" spans="1:8" x14ac:dyDescent="0.2">
      <c r="A37" s="497"/>
      <c r="B37" s="498"/>
      <c r="C37" s="498"/>
      <c r="D37" s="498"/>
      <c r="E37" s="498"/>
      <c r="F37" s="498"/>
      <c r="G37" s="499"/>
      <c r="H37" s="29"/>
    </row>
    <row r="38" spans="1:8" x14ac:dyDescent="0.2">
      <c r="A38" s="497"/>
      <c r="B38" s="498"/>
      <c r="C38" s="498"/>
      <c r="D38" s="498"/>
      <c r="E38" s="498"/>
      <c r="F38" s="498"/>
      <c r="G38" s="499"/>
    </row>
    <row r="39" spans="1:8" x14ac:dyDescent="0.2">
      <c r="A39" s="497"/>
      <c r="B39" s="498"/>
      <c r="C39" s="498"/>
      <c r="D39" s="498"/>
      <c r="E39" s="498"/>
      <c r="F39" s="498"/>
      <c r="G39" s="499"/>
    </row>
    <row r="40" spans="1:8" x14ac:dyDescent="0.2">
      <c r="A40" s="497"/>
      <c r="B40" s="498"/>
      <c r="C40" s="498"/>
      <c r="D40" s="498"/>
      <c r="E40" s="498"/>
      <c r="F40" s="498"/>
      <c r="G40" s="499"/>
    </row>
    <row r="41" spans="1:8" x14ac:dyDescent="0.2">
      <c r="A41" s="497"/>
      <c r="B41" s="498"/>
      <c r="C41" s="498"/>
      <c r="D41" s="498"/>
      <c r="E41" s="498"/>
      <c r="F41" s="498"/>
      <c r="G41" s="499"/>
    </row>
    <row r="42" spans="1:8" x14ac:dyDescent="0.2">
      <c r="A42" s="497"/>
      <c r="B42" s="498"/>
      <c r="C42" s="498"/>
      <c r="D42" s="498"/>
      <c r="E42" s="498"/>
      <c r="F42" s="498"/>
      <c r="G42" s="499"/>
    </row>
    <row r="43" spans="1:8" x14ac:dyDescent="0.2">
      <c r="A43" s="497"/>
      <c r="B43" s="498"/>
      <c r="C43" s="498"/>
      <c r="D43" s="498"/>
      <c r="E43" s="498"/>
      <c r="F43" s="498"/>
      <c r="G43" s="499"/>
    </row>
    <row r="44" spans="1:8" x14ac:dyDescent="0.2">
      <c r="A44" s="497"/>
      <c r="B44" s="498"/>
      <c r="C44" s="498"/>
      <c r="D44" s="498"/>
      <c r="E44" s="498"/>
      <c r="F44" s="498"/>
      <c r="G44" s="499"/>
    </row>
    <row r="45" spans="1:8" ht="12.75" customHeight="1" x14ac:dyDescent="0.2">
      <c r="A45" s="497"/>
      <c r="B45" s="498"/>
      <c r="C45" s="498"/>
      <c r="D45" s="498"/>
      <c r="E45" s="498"/>
      <c r="F45" s="498"/>
      <c r="G45" s="499"/>
    </row>
    <row r="46" spans="1:8" ht="12.75" customHeight="1" x14ac:dyDescent="0.2">
      <c r="A46" s="497"/>
      <c r="B46" s="498"/>
      <c r="C46" s="498"/>
      <c r="D46" s="498"/>
      <c r="E46" s="498"/>
      <c r="F46" s="498"/>
      <c r="G46" s="499"/>
    </row>
    <row r="47" spans="1:8" ht="12.75" customHeight="1" x14ac:dyDescent="0.2">
      <c r="A47" s="497"/>
      <c r="B47" s="498"/>
      <c r="C47" s="498"/>
      <c r="D47" s="498"/>
      <c r="E47" s="498"/>
      <c r="F47" s="498"/>
      <c r="G47" s="499"/>
    </row>
    <row r="48" spans="1:8" ht="12.75" customHeight="1" x14ac:dyDescent="0.2">
      <c r="A48" s="497"/>
      <c r="B48" s="498"/>
      <c r="C48" s="498"/>
      <c r="D48" s="498"/>
      <c r="E48" s="498"/>
      <c r="F48" s="498"/>
      <c r="G48" s="499"/>
    </row>
    <row r="49" spans="1:7" ht="12.75" customHeight="1" x14ac:dyDescent="0.2">
      <c r="A49" s="497"/>
      <c r="B49" s="498"/>
      <c r="C49" s="498"/>
      <c r="D49" s="498"/>
      <c r="E49" s="498"/>
      <c r="F49" s="498"/>
      <c r="G49" s="499"/>
    </row>
    <row r="50" spans="1:7" ht="12.75" customHeight="1" x14ac:dyDescent="0.2">
      <c r="A50" s="497"/>
      <c r="B50" s="498"/>
      <c r="C50" s="498"/>
      <c r="D50" s="498"/>
      <c r="E50" s="498"/>
      <c r="F50" s="498"/>
      <c r="G50" s="499"/>
    </row>
    <row r="51" spans="1:7" ht="12.75" customHeight="1" x14ac:dyDescent="0.2">
      <c r="A51" s="497"/>
      <c r="B51" s="498"/>
      <c r="C51" s="498"/>
      <c r="D51" s="498"/>
      <c r="E51" s="498"/>
      <c r="F51" s="498"/>
      <c r="G51" s="499"/>
    </row>
    <row r="52" spans="1:7" ht="12.75" customHeight="1" x14ac:dyDescent="0.2">
      <c r="A52" s="497"/>
      <c r="B52" s="498"/>
      <c r="C52" s="498"/>
      <c r="D52" s="498"/>
      <c r="E52" s="498"/>
      <c r="F52" s="498"/>
      <c r="G52" s="499"/>
    </row>
    <row r="53" spans="1:7" ht="12.75" customHeight="1" x14ac:dyDescent="0.2">
      <c r="A53" s="497"/>
      <c r="B53" s="498"/>
      <c r="C53" s="498"/>
      <c r="D53" s="498"/>
      <c r="E53" s="498"/>
      <c r="F53" s="498"/>
      <c r="G53" s="499"/>
    </row>
    <row r="54" spans="1:7" ht="12.75" customHeight="1" x14ac:dyDescent="0.2">
      <c r="A54" s="497"/>
      <c r="B54" s="498"/>
      <c r="C54" s="498"/>
      <c r="D54" s="498"/>
      <c r="E54" s="498"/>
      <c r="F54" s="498"/>
      <c r="G54" s="499"/>
    </row>
    <row r="55" spans="1:7" ht="12.75" customHeight="1" x14ac:dyDescent="0.2">
      <c r="A55" s="497"/>
      <c r="B55" s="498"/>
      <c r="C55" s="498"/>
      <c r="D55" s="498"/>
      <c r="E55" s="498"/>
      <c r="F55" s="498"/>
      <c r="G55" s="499"/>
    </row>
    <row r="56" spans="1:7" ht="12.75" customHeight="1" x14ac:dyDescent="0.2">
      <c r="A56" s="497"/>
      <c r="B56" s="498"/>
      <c r="C56" s="498"/>
      <c r="D56" s="498"/>
      <c r="E56" s="498"/>
      <c r="F56" s="498"/>
      <c r="G56" s="499"/>
    </row>
    <row r="57" spans="1:7" ht="20.25" customHeight="1" x14ac:dyDescent="0.2">
      <c r="A57" s="497"/>
      <c r="B57" s="498"/>
      <c r="C57" s="498"/>
      <c r="D57" s="498"/>
      <c r="E57" s="498"/>
      <c r="F57" s="498"/>
      <c r="G57" s="499"/>
    </row>
    <row r="58" spans="1:7" ht="12.75" customHeight="1" x14ac:dyDescent="0.2">
      <c r="A58" s="497"/>
      <c r="B58" s="498"/>
      <c r="C58" s="498"/>
      <c r="D58" s="498"/>
      <c r="E58" s="498"/>
      <c r="F58" s="498"/>
      <c r="G58" s="499"/>
    </row>
    <row r="59" spans="1:7" ht="12.75" customHeight="1" x14ac:dyDescent="0.2">
      <c r="A59" s="497"/>
      <c r="B59" s="498"/>
      <c r="C59" s="498"/>
      <c r="D59" s="498"/>
      <c r="E59" s="498"/>
      <c r="F59" s="498"/>
      <c r="G59" s="499"/>
    </row>
    <row r="60" spans="1:7" ht="12.75" customHeight="1" x14ac:dyDescent="0.2">
      <c r="A60" s="497"/>
      <c r="B60" s="498"/>
      <c r="C60" s="498"/>
      <c r="D60" s="498"/>
      <c r="E60" s="498"/>
      <c r="F60" s="498"/>
      <c r="G60" s="499"/>
    </row>
    <row r="61" spans="1:7" ht="20.25" customHeight="1" x14ac:dyDescent="0.2">
      <c r="A61" s="497"/>
      <c r="B61" s="498"/>
      <c r="C61" s="498"/>
      <c r="D61" s="498"/>
      <c r="E61" s="498"/>
      <c r="F61" s="498"/>
      <c r="G61" s="499"/>
    </row>
    <row r="62" spans="1:7" ht="12.75" customHeight="1" x14ac:dyDescent="0.2">
      <c r="A62" s="497"/>
      <c r="B62" s="498"/>
      <c r="C62" s="498"/>
      <c r="D62" s="498"/>
      <c r="E62" s="498"/>
      <c r="F62" s="498"/>
      <c r="G62" s="499"/>
    </row>
    <row r="63" spans="1:7" ht="12.75" customHeight="1" x14ac:dyDescent="0.2">
      <c r="A63" s="497"/>
      <c r="B63" s="498"/>
      <c r="C63" s="498"/>
      <c r="D63" s="498"/>
      <c r="E63" s="498"/>
      <c r="F63" s="498"/>
      <c r="G63" s="499"/>
    </row>
    <row r="64" spans="1:7" ht="12.75" customHeight="1" x14ac:dyDescent="0.2">
      <c r="A64" s="497"/>
      <c r="B64" s="498"/>
      <c r="C64" s="498"/>
      <c r="D64" s="498"/>
      <c r="E64" s="498"/>
      <c r="F64" s="498"/>
      <c r="G64" s="499"/>
    </row>
    <row r="65" spans="1:7" ht="18.75" customHeight="1" x14ac:dyDescent="0.2">
      <c r="A65" s="497"/>
      <c r="B65" s="498"/>
      <c r="C65" s="498"/>
      <c r="D65" s="498"/>
      <c r="E65" s="498"/>
      <c r="F65" s="498"/>
      <c r="G65" s="499"/>
    </row>
    <row r="66" spans="1:7" ht="12.75" customHeight="1" x14ac:dyDescent="0.2">
      <c r="A66" s="497"/>
      <c r="B66" s="498"/>
      <c r="C66" s="498"/>
      <c r="D66" s="498"/>
      <c r="E66" s="498"/>
      <c r="F66" s="498"/>
      <c r="G66" s="499"/>
    </row>
    <row r="67" spans="1:7" ht="15.75" customHeight="1" x14ac:dyDescent="0.2">
      <c r="A67" s="497"/>
      <c r="B67" s="498"/>
      <c r="C67" s="498"/>
      <c r="D67" s="498"/>
      <c r="E67" s="498"/>
      <c r="F67" s="498"/>
      <c r="G67" s="499"/>
    </row>
    <row r="68" spans="1:7" ht="12.75" customHeight="1" x14ac:dyDescent="0.2">
      <c r="A68" s="497"/>
      <c r="B68" s="498"/>
      <c r="C68" s="498"/>
      <c r="D68" s="498"/>
      <c r="E68" s="498"/>
      <c r="F68" s="498"/>
      <c r="G68" s="499"/>
    </row>
    <row r="69" spans="1:7" ht="12.75" customHeight="1" x14ac:dyDescent="0.2">
      <c r="A69" s="497"/>
      <c r="B69" s="498"/>
      <c r="C69" s="498"/>
      <c r="D69" s="498"/>
      <c r="E69" s="498"/>
      <c r="F69" s="498"/>
      <c r="G69" s="499"/>
    </row>
    <row r="70" spans="1:7" ht="12.75" customHeight="1" x14ac:dyDescent="0.2">
      <c r="A70" s="497"/>
      <c r="B70" s="498"/>
      <c r="C70" s="498"/>
      <c r="D70" s="498"/>
      <c r="E70" s="498"/>
      <c r="F70" s="498"/>
      <c r="G70" s="499"/>
    </row>
    <row r="71" spans="1:7" ht="12.75" customHeight="1" thickBot="1" x14ac:dyDescent="0.25">
      <c r="A71" s="500"/>
      <c r="B71" s="501"/>
      <c r="C71" s="501"/>
      <c r="D71" s="501"/>
      <c r="E71" s="501"/>
      <c r="F71" s="501"/>
      <c r="G71" s="502"/>
    </row>
    <row r="72" spans="1:7" ht="12.75" customHeight="1" x14ac:dyDescent="0.2"/>
    <row r="73" spans="1:7" ht="12.75" customHeight="1" x14ac:dyDescent="0.2"/>
    <row r="74" spans="1:7" ht="12.6" customHeight="1" x14ac:dyDescent="0.2"/>
    <row r="75" spans="1:7" ht="12.75" customHeight="1" x14ac:dyDescent="0.2"/>
    <row r="76" spans="1:7" ht="12.6" customHeight="1" x14ac:dyDescent="0.2"/>
    <row r="77" spans="1:7" ht="12.6" customHeight="1" x14ac:dyDescent="0.2"/>
    <row r="78" spans="1:7" ht="12.6" customHeight="1" x14ac:dyDescent="0.2"/>
    <row r="79" spans="1:7" ht="12.6" customHeight="1" x14ac:dyDescent="0.2"/>
    <row r="80" spans="1:7" ht="12.6" customHeight="1" x14ac:dyDescent="0.2"/>
    <row r="81" ht="13.1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3.5" customHeight="1" x14ac:dyDescent="0.2"/>
    <row r="116" ht="18.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3.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3.5" customHeight="1" x14ac:dyDescent="0.2"/>
  </sheetData>
  <mergeCells count="27">
    <mergeCell ref="E30:F31"/>
    <mergeCell ref="G30:G31"/>
    <mergeCell ref="A35:G71"/>
    <mergeCell ref="E24:F25"/>
    <mergeCell ref="G24:G25"/>
    <mergeCell ref="E26:F27"/>
    <mergeCell ref="G26:G27"/>
    <mergeCell ref="E28:F29"/>
    <mergeCell ref="G28:G29"/>
    <mergeCell ref="E18:F19"/>
    <mergeCell ref="G18:G19"/>
    <mergeCell ref="E20:F21"/>
    <mergeCell ref="G20:G21"/>
    <mergeCell ref="E22:F23"/>
    <mergeCell ref="G22:G23"/>
    <mergeCell ref="E12:F13"/>
    <mergeCell ref="G12:G13"/>
    <mergeCell ref="E14:F15"/>
    <mergeCell ref="G14:G15"/>
    <mergeCell ref="E16:F17"/>
    <mergeCell ref="G16:G17"/>
    <mergeCell ref="A1:D1"/>
    <mergeCell ref="A4:A5"/>
    <mergeCell ref="C4:C5"/>
    <mergeCell ref="J4:J5"/>
    <mergeCell ref="E10:F11"/>
    <mergeCell ref="G10:G11"/>
  </mergeCells>
  <conditionalFormatting sqref="I19 H20:I20 I21 H24">
    <cfRule type="expression" dxfId="3" priority="3">
      <formula>ISNUMBER(SEARCH(TEXT(#REF!,"ddd"),#REF!))</formula>
    </cfRule>
  </conditionalFormatting>
  <conditionalFormatting sqref="A22:D22 D14 D16 A24:C24 A18:D18">
    <cfRule type="expression" dxfId="2" priority="4">
      <formula>ISNUMBER(SEARCH(TEXT(#REF!,"ddd"),#REF!))</formula>
    </cfRule>
  </conditionalFormatting>
  <conditionalFormatting sqref="D20">
    <cfRule type="expression" dxfId="1" priority="2">
      <formula>ISNUMBER(SEARCH(TEXT(#REF!,"ddd"),#REF!))</formula>
    </cfRule>
  </conditionalFormatting>
  <conditionalFormatting sqref="A20:C20">
    <cfRule type="expression" dxfId="0" priority="1">
      <formula>ISNUMBER(SEARCH(TEXT(#REF!,"ddd"),#REF!))</formula>
    </cfRule>
  </conditionalFormatting>
  <dataValidations count="1">
    <dataValidation type="custom" allowBlank="1" showInputMessage="1" showErrorMessage="1" sqref="B22:C22 B18:C18 B20:C20 B24:C24" xr:uid="{7B5564D5-5730-42D0-9A2F-84EB84FA0AE8}">
      <formula1>AND($B18&lt;=1,ISNUMBER($B18))</formula1>
    </dataValidation>
  </dataValidations>
  <pageMargins left="0.19685039370078741" right="0.19685039370078741" top="0.19685039370078741" bottom="0.19685039370078741" header="0" footer="0"/>
  <pageSetup paperSize="9" scale="85" fitToHeight="0" orientation="portrait" horizontalDpi="4294967293" vertic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5C2D0-C410-4B25-8907-1EF964BA41F5}">
  <sheetPr codeName="Sheet5"/>
  <dimension ref="A6"/>
  <sheetViews>
    <sheetView workbookViewId="0">
      <selection activeCell="A6" sqref="A6"/>
    </sheetView>
  </sheetViews>
  <sheetFormatPr baseColWidth="10" defaultColWidth="9" defaultRowHeight="12.75" x14ac:dyDescent="0.2"/>
  <sheetData>
    <row r="6" spans="1:1" x14ac:dyDescent="0.2">
      <c r="A6" s="21">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2"/>
  <sheetViews>
    <sheetView showGridLines="0" workbookViewId="0">
      <selection activeCell="B2" sqref="B2"/>
    </sheetView>
  </sheetViews>
  <sheetFormatPr baseColWidth="10" defaultColWidth="9" defaultRowHeight="12.75" x14ac:dyDescent="0.2"/>
  <cols>
    <col min="1" max="1" width="9" style="2"/>
    <col min="2" max="2" width="9.75" style="2" bestFit="1" customWidth="1"/>
    <col min="3" max="3" width="9" style="2"/>
    <col min="4" max="4" width="11.125" style="2" bestFit="1" customWidth="1"/>
    <col min="5" max="5" width="9.875" customWidth="1"/>
    <col min="6" max="6" width="9.75" customWidth="1"/>
  </cols>
  <sheetData>
    <row r="1" spans="1:5" x14ac:dyDescent="0.2">
      <c r="A1" s="4" t="s">
        <v>253</v>
      </c>
      <c r="B1" s="4" t="s">
        <v>254</v>
      </c>
      <c r="C1" s="4" t="s">
        <v>255</v>
      </c>
      <c r="D1" s="4" t="s">
        <v>256</v>
      </c>
      <c r="E1" s="4" t="s">
        <v>257</v>
      </c>
    </row>
    <row r="2" spans="1:5" x14ac:dyDescent="0.2">
      <c r="A2" s="2">
        <v>2015</v>
      </c>
      <c r="B2" s="2" t="s">
        <v>16</v>
      </c>
      <c r="C2" s="2">
        <v>1</v>
      </c>
      <c r="D2" s="3" t="s">
        <v>258</v>
      </c>
      <c r="E2" s="2" t="b">
        <v>1</v>
      </c>
    </row>
    <row r="3" spans="1:5" x14ac:dyDescent="0.2">
      <c r="A3" s="2">
        <v>2016</v>
      </c>
      <c r="B3" s="2" t="s">
        <v>259</v>
      </c>
      <c r="C3" s="2">
        <v>2</v>
      </c>
      <c r="D3" s="3" t="s">
        <v>260</v>
      </c>
    </row>
    <row r="4" spans="1:5" x14ac:dyDescent="0.2">
      <c r="A4" s="2">
        <v>2017</v>
      </c>
      <c r="B4" s="2" t="s">
        <v>261</v>
      </c>
      <c r="C4" s="2">
        <v>3</v>
      </c>
      <c r="D4" s="3" t="s">
        <v>262</v>
      </c>
    </row>
    <row r="5" spans="1:5" x14ac:dyDescent="0.2">
      <c r="A5" s="2">
        <v>2018</v>
      </c>
      <c r="B5" s="2" t="s">
        <v>263</v>
      </c>
      <c r="C5" s="2">
        <v>4</v>
      </c>
      <c r="D5" s="3" t="s">
        <v>264</v>
      </c>
    </row>
    <row r="6" spans="1:5" x14ac:dyDescent="0.2">
      <c r="A6" s="2">
        <v>2019</v>
      </c>
      <c r="B6" s="2" t="s">
        <v>265</v>
      </c>
      <c r="C6" s="2">
        <v>5</v>
      </c>
      <c r="D6" s="3" t="s">
        <v>266</v>
      </c>
    </row>
    <row r="7" spans="1:5" x14ac:dyDescent="0.2">
      <c r="A7" s="2">
        <v>2020</v>
      </c>
      <c r="B7" s="2" t="s">
        <v>267</v>
      </c>
      <c r="C7" s="2">
        <v>6</v>
      </c>
      <c r="D7" s="3" t="s">
        <v>268</v>
      </c>
    </row>
    <row r="8" spans="1:5" x14ac:dyDescent="0.2">
      <c r="A8" s="2">
        <v>2021</v>
      </c>
      <c r="B8" s="2" t="s">
        <v>269</v>
      </c>
      <c r="C8" s="2">
        <v>7</v>
      </c>
      <c r="D8" s="3" t="s">
        <v>270</v>
      </c>
    </row>
    <row r="9" spans="1:5" x14ac:dyDescent="0.2">
      <c r="A9" s="2">
        <v>2022</v>
      </c>
      <c r="B9" s="2" t="s">
        <v>271</v>
      </c>
      <c r="C9" s="2">
        <v>8</v>
      </c>
      <c r="D9" s="3" t="s">
        <v>272</v>
      </c>
    </row>
    <row r="10" spans="1:5" x14ac:dyDescent="0.2">
      <c r="A10" s="2">
        <v>2023</v>
      </c>
      <c r="B10" s="2" t="s">
        <v>273</v>
      </c>
      <c r="C10" s="2">
        <v>9</v>
      </c>
      <c r="D10" s="3" t="s">
        <v>274</v>
      </c>
    </row>
    <row r="11" spans="1:5" x14ac:dyDescent="0.2">
      <c r="A11" s="2">
        <v>2024</v>
      </c>
      <c r="B11" s="2" t="s">
        <v>275</v>
      </c>
      <c r="C11" s="2">
        <v>10</v>
      </c>
      <c r="D11" s="3" t="s">
        <v>276</v>
      </c>
    </row>
    <row r="12" spans="1:5" x14ac:dyDescent="0.2">
      <c r="A12" s="2">
        <v>2025</v>
      </c>
      <c r="B12" s="2" t="s">
        <v>277</v>
      </c>
      <c r="C12" s="2">
        <v>11</v>
      </c>
      <c r="D12" s="3" t="s">
        <v>278</v>
      </c>
    </row>
    <row r="13" spans="1:5" x14ac:dyDescent="0.2">
      <c r="B13" s="2" t="s">
        <v>279</v>
      </c>
      <c r="C13" s="2">
        <v>12</v>
      </c>
      <c r="D13" s="3" t="s">
        <v>280</v>
      </c>
    </row>
    <row r="14" spans="1:5" x14ac:dyDescent="0.2">
      <c r="C14" s="2">
        <v>13</v>
      </c>
      <c r="D14" s="3" t="s">
        <v>281</v>
      </c>
    </row>
    <row r="15" spans="1:5" x14ac:dyDescent="0.2">
      <c r="C15" s="2">
        <v>14</v>
      </c>
      <c r="D15" s="3" t="s">
        <v>282</v>
      </c>
    </row>
    <row r="16" spans="1:5" x14ac:dyDescent="0.2">
      <c r="C16" s="2">
        <v>15</v>
      </c>
      <c r="D16" s="3" t="s">
        <v>283</v>
      </c>
    </row>
    <row r="17" spans="3:4" x14ac:dyDescent="0.2">
      <c r="C17" s="2">
        <v>16</v>
      </c>
      <c r="D17" s="3"/>
    </row>
    <row r="18" spans="3:4" x14ac:dyDescent="0.2">
      <c r="C18" s="2">
        <v>17</v>
      </c>
      <c r="D18" s="3"/>
    </row>
    <row r="19" spans="3:4" x14ac:dyDescent="0.2">
      <c r="C19" s="2">
        <v>18</v>
      </c>
      <c r="D19" s="3"/>
    </row>
    <row r="20" spans="3:4" x14ac:dyDescent="0.2">
      <c r="C20" s="2">
        <v>19</v>
      </c>
    </row>
    <row r="21" spans="3:4" x14ac:dyDescent="0.2">
      <c r="C21" s="2">
        <v>20</v>
      </c>
    </row>
    <row r="22" spans="3:4" x14ac:dyDescent="0.2">
      <c r="C22" s="2">
        <v>21</v>
      </c>
    </row>
    <row r="23" spans="3:4" x14ac:dyDescent="0.2">
      <c r="C23" s="2">
        <v>22</v>
      </c>
    </row>
    <row r="24" spans="3:4" x14ac:dyDescent="0.2">
      <c r="C24" s="2">
        <v>23</v>
      </c>
    </row>
    <row r="25" spans="3:4" x14ac:dyDescent="0.2">
      <c r="C25" s="2">
        <v>24</v>
      </c>
    </row>
    <row r="26" spans="3:4" x14ac:dyDescent="0.2">
      <c r="C26" s="2">
        <v>25</v>
      </c>
    </row>
    <row r="27" spans="3:4" x14ac:dyDescent="0.2">
      <c r="C27" s="2">
        <v>26</v>
      </c>
    </row>
    <row r="28" spans="3:4" x14ac:dyDescent="0.2">
      <c r="C28" s="2">
        <v>27</v>
      </c>
    </row>
    <row r="29" spans="3:4" x14ac:dyDescent="0.2">
      <c r="C29" s="2">
        <v>28</v>
      </c>
    </row>
    <row r="30" spans="3:4" x14ac:dyDescent="0.2">
      <c r="C30" s="2">
        <v>29</v>
      </c>
    </row>
    <row r="31" spans="3:4" x14ac:dyDescent="0.2">
      <c r="C31" s="2">
        <v>30</v>
      </c>
    </row>
    <row r="32" spans="3:4" x14ac:dyDescent="0.2">
      <c r="C32" s="2">
        <v>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22</vt:i4>
      </vt:variant>
    </vt:vector>
  </HeadingPairs>
  <TitlesOfParts>
    <vt:vector size="22" baseType="lpstr">
      <vt:lpstr>Først</vt:lpstr>
      <vt:lpstr>Uke3</vt:lpstr>
      <vt:lpstr>Uke4</vt:lpstr>
      <vt:lpstr>Uke5</vt:lpstr>
      <vt:lpstr>Uke6</vt:lpstr>
      <vt:lpstr>Uke7</vt:lpstr>
      <vt:lpstr>Uke8</vt:lpstr>
      <vt:lpstr>Uke9</vt:lpstr>
      <vt:lpstr>Uke10</vt:lpstr>
      <vt:lpstr>Uke11</vt:lpstr>
      <vt:lpstr>Uke12</vt:lpstr>
      <vt:lpstr>Uke13</vt:lpstr>
      <vt:lpstr>Uke14</vt:lpstr>
      <vt:lpstr>Uke15</vt:lpstr>
      <vt:lpstr>Uke16</vt:lpstr>
      <vt:lpstr>Uke17</vt:lpstr>
      <vt:lpstr>Uke18</vt:lpstr>
      <vt:lpstr>Uke19</vt:lpstr>
      <vt:lpstr>Uke20</vt:lpstr>
      <vt:lpstr>Uke21</vt:lpstr>
      <vt:lpstr>Sist</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sumit bansal</dc:creator>
  <cp:keywords/>
  <dc:description/>
  <cp:lastModifiedBy>Alexander Hansen</cp:lastModifiedBy>
  <cp:revision/>
  <cp:lastPrinted>2020-05-17T19:00:56Z</cp:lastPrinted>
  <dcterms:created xsi:type="dcterms:W3CDTF">2015-07-13T20:50:55Z</dcterms:created>
  <dcterms:modified xsi:type="dcterms:W3CDTF">2020-05-18T17:57:28Z</dcterms:modified>
  <cp:category/>
  <cp:contentStatus/>
</cp:coreProperties>
</file>
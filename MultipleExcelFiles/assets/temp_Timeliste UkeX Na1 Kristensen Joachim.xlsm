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mc:AlternateContent xmlns:mc="http://schemas.openxmlformats.org/markup-compatibility/2006">
    <mc:Choice Requires="x15">
      <x15ac:absPath xmlns:x15ac="http://schemas.microsoft.com/office/spreadsheetml/2010/11/ac" url="C:\Users\ThinkPad\OneDrive - UiT Office 365\UiT Narvik\Systemutvikling ITE1807\Prosjekt felles mappe\Timelister\"/>
    </mc:Choice>
  </mc:AlternateContent>
  <xr:revisionPtr revIDLastSave="293" documentId="13_ncr:1_{DF55C3C4-DF48-46FB-9919-388C4E5F0066}" xr6:coauthVersionLast="44" xr6:coauthVersionMax="45" xr10:uidLastSave="{0BFB9058-7104-42F9-A0D3-435D018BD460}"/>
  <bookViews>
    <workbookView minimized="1" xWindow="31560" yWindow="5895" windowWidth="9270" windowHeight="10005" firstSheet="16" activeTab="18" xr2:uid="{00000000-000D-0000-FFFF-FFFF00000000}"/>
  </bookViews>
  <sheets>
    <sheet name="Først" sheetId="11" state="hidden" r:id="rId1"/>
    <sheet name="Uke5" sheetId="37" r:id="rId2"/>
    <sheet name="Uke6" sheetId="36" r:id="rId3"/>
    <sheet name="Uke7" sheetId="39" r:id="rId4"/>
    <sheet name="Uke8" sheetId="41" r:id="rId5"/>
    <sheet name="Uke9" sheetId="42" r:id="rId6"/>
    <sheet name="Uke10" sheetId="43" r:id="rId7"/>
    <sheet name="Uke11" sheetId="44" r:id="rId8"/>
    <sheet name="Uke12" sheetId="45" r:id="rId9"/>
    <sheet name="Uke13" sheetId="47" r:id="rId10"/>
    <sheet name="Sist" sheetId="12" state="hidden" r:id="rId11"/>
    <sheet name="Data" sheetId="2" state="hidden" r:id="rId12"/>
    <sheet name="Uke14" sheetId="48" r:id="rId13"/>
    <sheet name="Uke15" sheetId="49" r:id="rId14"/>
    <sheet name="Uke16" sheetId="51" r:id="rId15"/>
    <sheet name="Uke17" sheetId="50" r:id="rId16"/>
    <sheet name="Uke18" sheetId="52" r:id="rId17"/>
    <sheet name="Uke19" sheetId="53" r:id="rId18"/>
    <sheet name="Uke20" sheetId="54" r:id="rId19"/>
  </sheets>
  <functionGroups builtInGroupCount="19"/>
  <definedNames>
    <definedName name="DateCalc" localSheetId="6">Data!$C$2:INDEX(Data!$C$2:$C$32,DAY(DATE('Uke10'!#REF!,MATCH('Uke10'!#REF!,Data!$B$2:$B$13,0)+1,0)))</definedName>
    <definedName name="DateCalc" localSheetId="7">Data!$C$2:INDEX(Data!$C$2:$C$32,DAY(DATE('Uke11'!#REF!,MATCH('Uke11'!#REF!,Data!$B$2:$B$13,0)+1,0)))</definedName>
    <definedName name="DateCalc" localSheetId="8">Data!$C$2:INDEX(Data!$C$2:$C$32,DAY(DATE('Uke12'!#REF!,MATCH('Uke12'!#REF!,Data!$B$2:$B$13,0)+1,0)))</definedName>
    <definedName name="DateCalc" localSheetId="9">Data!$C$2:INDEX(Data!$C$2:$C$32,DAY(DATE('Uke13'!#REF!,MATCH('Uke13'!#REF!,Data!$B$2:$B$13,0)+1,0)))</definedName>
    <definedName name="DateCalc" localSheetId="12">Data!$C$2:INDEX(Data!$C$2:$C$32,DAY(DATE('Uke14'!#REF!,MATCH('Uke14'!#REF!,Data!$B$2:$B$13,0)+1,0)))</definedName>
    <definedName name="DateCalc" localSheetId="13">Data!$C$2:INDEX(Data!$C$2:$C$32,DAY(DATE('Uke15'!#REF!,MATCH('Uke15'!#REF!,Data!$B$2:$B$13,0)+1,0)))</definedName>
    <definedName name="DateCalc" localSheetId="14">Data!$C$2:INDEX(Data!$C$2:$C$32,DAY(DATE('Uke16'!#REF!,MATCH('Uke16'!#REF!,Data!$B$2:$B$13,0)+1,0)))</definedName>
    <definedName name="DateCalc" localSheetId="15">Data!$C$2:INDEX(Data!$C$2:$C$32,DAY(DATE('Uke17'!#REF!,MATCH('Uke17'!#REF!,Data!$B$2:$B$13,0)+1,0)))</definedName>
    <definedName name="DateCalc" localSheetId="16">Data!$C$2:INDEX(Data!$C$2:$C$32,DAY(DATE('Uke18'!#REF!,MATCH('Uke18'!#REF!,Data!$B$2:$B$13,0)+1,0)))</definedName>
    <definedName name="DateCalc" localSheetId="17">Data!$C$2:INDEX(Data!$C$2:$C$32,DAY(DATE('Uke19'!#REF!,MATCH('Uke19'!#REF!,Data!$B$2:$B$13,0)+1,0)))</definedName>
    <definedName name="DateCalc" localSheetId="18">Data!$C$2:INDEX(Data!$C$2:$C$32,DAY(DATE('Uke20'!#REF!,MATCH('Uke20'!#REF!,Data!$B$2:$B$13,0)+1,0)))</definedName>
    <definedName name="DateCalc" localSheetId="2">Data!$C$2:INDEX(Data!$C$2:$C$32,DAY(DATE('Uke6'!#REF!,MATCH('Uke6'!#REF!,Data!$B$2:$B$13,0)+1,0)))</definedName>
    <definedName name="DateCalc" localSheetId="3">Data!$C$2:INDEX(Data!$C$2:$C$32,DAY(DATE('Uke7'!#REF!,MATCH('Uke7'!#REF!,Data!$B$2:$B$13,0)+1,0)))</definedName>
    <definedName name="DateCalc" localSheetId="4">Data!$C$2:INDEX(Data!$C$2:$C$32,DAY(DATE('Uke8'!#REF!,MATCH('Uke8'!#REF!,Data!$B$2:$B$13,0)+1,0)))</definedName>
    <definedName name="DateCalc" localSheetId="5">Data!$C$2:INDEX(Data!$C$2:$C$32,DAY(DATE('Uke9'!#REF!,MATCH('Uke9'!#REF!,Data!$B$2:$B$13,0)+1,0)))</definedName>
    <definedName name="DateCalc">Data!$C$2:INDEX(Data!$C$2:$C$32,DAY(DATE(#REF!,MATCH(#REF!,Data!$B$2:$B$13,0)+1,0)))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4" i="54" l="1"/>
  <c r="D12" i="54"/>
  <c r="D16" i="54"/>
  <c r="D10" i="54"/>
  <c r="C6" i="54"/>
  <c r="A6" i="54"/>
  <c r="C3" i="54"/>
  <c r="A3" i="54"/>
  <c r="E1" i="54"/>
  <c r="F3" i="54"/>
  <c r="F6" i="54"/>
  <c r="F4" i="54"/>
  <c r="F5" i="54"/>
  <c r="D32" i="53" l="1"/>
  <c r="D26" i="53" l="1"/>
  <c r="D24" i="53" l="1"/>
  <c r="D18" i="53" l="1"/>
  <c r="D16" i="53"/>
  <c r="D12" i="53" l="1"/>
  <c r="D30" i="53"/>
  <c r="D28" i="53"/>
  <c r="D22" i="53"/>
  <c r="D20" i="53"/>
  <c r="D14" i="53"/>
  <c r="D10" i="53"/>
  <c r="C6" i="53"/>
  <c r="C3" i="53"/>
  <c r="A3" i="53"/>
  <c r="E1" i="53"/>
  <c r="F5" i="53"/>
  <c r="F4" i="53"/>
  <c r="F3" i="53"/>
  <c r="F6" i="53"/>
  <c r="A6" i="53" l="1"/>
  <c r="D22" i="52"/>
  <c r="D18" i="52" l="1"/>
  <c r="D16" i="52" l="1"/>
  <c r="D14" i="52" l="1"/>
  <c r="D12" i="52"/>
  <c r="D30" i="52" l="1"/>
  <c r="D28" i="52"/>
  <c r="D26" i="52"/>
  <c r="D24" i="52"/>
  <c r="A6" i="52" s="1"/>
  <c r="D20" i="52"/>
  <c r="D10" i="52"/>
  <c r="C6" i="52"/>
  <c r="C3" i="52"/>
  <c r="A3" i="52"/>
  <c r="E1" i="52"/>
  <c r="F4" i="52"/>
  <c r="F3" i="52"/>
  <c r="F6" i="52"/>
  <c r="F5" i="52"/>
  <c r="D30" i="50" l="1"/>
  <c r="D28" i="50" l="1"/>
  <c r="A6" i="50"/>
  <c r="D26" i="50"/>
  <c r="D24" i="50" l="1"/>
  <c r="D22" i="50"/>
  <c r="F4" i="50"/>
  <c r="D14" i="50" l="1"/>
  <c r="D10" i="50"/>
  <c r="D22" i="51"/>
  <c r="D20" i="51"/>
  <c r="D18" i="51"/>
  <c r="D16" i="51"/>
  <c r="D14" i="51"/>
  <c r="D12" i="51"/>
  <c r="D10" i="51"/>
  <c r="C6" i="51"/>
  <c r="A6" i="51"/>
  <c r="C3" i="51"/>
  <c r="A3" i="51"/>
  <c r="E1" i="51"/>
  <c r="F6" i="51"/>
  <c r="F4" i="51"/>
  <c r="F3" i="51"/>
  <c r="F5" i="51"/>
  <c r="D14" i="49" l="1"/>
  <c r="D12" i="49"/>
  <c r="D10" i="49"/>
  <c r="F6" i="50"/>
  <c r="F4" i="48"/>
  <c r="F5" i="48"/>
  <c r="D12" i="50" l="1"/>
  <c r="D20" i="50"/>
  <c r="D18" i="50"/>
  <c r="D16" i="50"/>
  <c r="C3" i="50"/>
  <c r="A3" i="50"/>
  <c r="E1" i="50"/>
  <c r="A6" i="49"/>
  <c r="C3" i="49"/>
  <c r="A3" i="49"/>
  <c r="E1" i="49"/>
  <c r="F5" i="50"/>
  <c r="F4" i="49"/>
  <c r="F5" i="49"/>
  <c r="F3" i="49"/>
  <c r="F6" i="49"/>
  <c r="F3" i="50"/>
  <c r="D33" i="48" l="1"/>
  <c r="D31" i="48"/>
  <c r="D27" i="48" l="1"/>
  <c r="F6" i="48"/>
  <c r="D29" i="48" l="1"/>
  <c r="D24" i="48"/>
  <c r="D22" i="48" l="1"/>
  <c r="D20" i="48"/>
  <c r="D18" i="48"/>
  <c r="D16" i="48"/>
  <c r="D14" i="48"/>
  <c r="D12" i="48"/>
  <c r="D10" i="48"/>
  <c r="A6" i="48" s="1"/>
  <c r="C3" i="48"/>
  <c r="A3" i="48"/>
  <c r="E1" i="48"/>
  <c r="F5" i="47"/>
  <c r="F5" i="45"/>
  <c r="F3" i="48"/>
  <c r="D20" i="47" l="1"/>
  <c r="F6" i="47"/>
  <c r="D22" i="47" l="1"/>
  <c r="D18" i="47"/>
  <c r="D16" i="47"/>
  <c r="D14" i="47"/>
  <c r="D12" i="47"/>
  <c r="D10" i="47"/>
  <c r="C3" i="47"/>
  <c r="A3" i="47"/>
  <c r="E1" i="47"/>
  <c r="F4" i="47"/>
  <c r="F3" i="47"/>
  <c r="A6" i="47" l="1"/>
  <c r="C3" i="45"/>
  <c r="D20" i="45"/>
  <c r="D16" i="45"/>
  <c r="D12" i="45"/>
  <c r="D22" i="45"/>
  <c r="D18" i="45"/>
  <c r="D14" i="45"/>
  <c r="D10" i="45"/>
  <c r="A3" i="45"/>
  <c r="E1" i="45"/>
  <c r="F6" i="45"/>
  <c r="F3" i="45"/>
  <c r="F4" i="45"/>
  <c r="A6" i="45" l="1"/>
  <c r="D42" i="44"/>
  <c r="D40" i="44"/>
  <c r="D38" i="44"/>
  <c r="D36" i="44"/>
  <c r="D34" i="44"/>
  <c r="D32" i="44"/>
  <c r="F4" i="44"/>
  <c r="F5" i="44"/>
  <c r="F6" i="44"/>
  <c r="D30" i="44" l="1"/>
  <c r="D28" i="44"/>
  <c r="D26" i="44"/>
  <c r="D24" i="44"/>
  <c r="D22" i="44" l="1"/>
  <c r="D20" i="44"/>
  <c r="D18" i="44"/>
  <c r="D16" i="44"/>
  <c r="D14" i="44"/>
  <c r="D12" i="44"/>
  <c r="D10" i="44"/>
  <c r="A6" i="44" s="1"/>
  <c r="C3" i="44"/>
  <c r="A3" i="44"/>
  <c r="E1" i="44"/>
  <c r="F3" i="44"/>
  <c r="C3" i="43" l="1"/>
  <c r="D16" i="43"/>
  <c r="D18" i="43"/>
  <c r="D20" i="43"/>
  <c r="D22" i="43"/>
  <c r="D14" i="43"/>
  <c r="F5" i="43"/>
  <c r="F6" i="43"/>
  <c r="F4" i="43"/>
  <c r="D12" i="43" l="1"/>
  <c r="D10" i="43"/>
  <c r="A3" i="43"/>
  <c r="E1" i="43"/>
  <c r="F3" i="43"/>
  <c r="A6" i="43" l="1"/>
  <c r="C3" i="41"/>
  <c r="D14" i="41"/>
  <c r="F5" i="41"/>
  <c r="F5" i="42"/>
  <c r="D32" i="42" l="1"/>
  <c r="D30" i="42"/>
  <c r="D28" i="42"/>
  <c r="F4" i="42"/>
  <c r="D12" i="42" l="1"/>
  <c r="D14" i="42"/>
  <c r="F3" i="42"/>
  <c r="F6" i="42"/>
  <c r="D26" i="42" l="1"/>
  <c r="D24" i="42"/>
  <c r="D22" i="42"/>
  <c r="D20" i="42"/>
  <c r="D18" i="42"/>
  <c r="D16" i="42"/>
  <c r="D10" i="42"/>
  <c r="A6" i="42" s="1"/>
  <c r="C3" i="42"/>
  <c r="A3" i="42"/>
  <c r="E1" i="42"/>
  <c r="D10" i="41"/>
  <c r="D12" i="41"/>
  <c r="A3" i="41"/>
  <c r="E1" i="41"/>
  <c r="F6" i="41"/>
  <c r="F4" i="41"/>
  <c r="F3" i="41"/>
  <c r="A6" i="41" l="1"/>
  <c r="D26" i="39"/>
  <c r="E1" i="39"/>
  <c r="C3" i="39"/>
  <c r="F5" i="39"/>
  <c r="D24" i="39" l="1"/>
  <c r="D22" i="39"/>
  <c r="D20" i="39" l="1"/>
  <c r="D18" i="39" l="1"/>
  <c r="A3" i="39"/>
  <c r="D16" i="39"/>
  <c r="D14" i="39"/>
  <c r="D12" i="39"/>
  <c r="D10" i="39"/>
  <c r="A6" i="39" s="1"/>
  <c r="F6" i="39"/>
  <c r="F3" i="39"/>
  <c r="F4" i="39"/>
  <c r="D18" i="36" l="1"/>
  <c r="C3" i="36"/>
  <c r="E1" i="36"/>
  <c r="A3" i="36"/>
  <c r="F6" i="36"/>
  <c r="F3" i="36"/>
  <c r="F5" i="36"/>
  <c r="G3" i="53" l="1"/>
  <c r="G3" i="54"/>
  <c r="G6" i="53"/>
  <c r="G6" i="54"/>
  <c r="G5" i="53"/>
  <c r="G5" i="54"/>
  <c r="G3" i="51"/>
  <c r="G3" i="52"/>
  <c r="G6" i="51"/>
  <c r="G6" i="52"/>
  <c r="G5" i="51"/>
  <c r="G5" i="52"/>
  <c r="G6" i="48"/>
  <c r="G6" i="49"/>
  <c r="G6" i="50"/>
  <c r="G5" i="48"/>
  <c r="G5" i="50"/>
  <c r="G5" i="49"/>
  <c r="G3" i="49"/>
  <c r="G3" i="50"/>
  <c r="G6" i="36"/>
  <c r="G5" i="43"/>
  <c r="G5" i="45"/>
  <c r="G5" i="47"/>
  <c r="G5" i="42"/>
  <c r="G5" i="44"/>
  <c r="G5" i="36"/>
  <c r="G3" i="48"/>
  <c r="G3" i="47"/>
  <c r="G6" i="47"/>
  <c r="G3" i="45"/>
  <c r="G6" i="45"/>
  <c r="G3" i="44"/>
  <c r="G6" i="44"/>
  <c r="G6" i="43"/>
  <c r="G3" i="43"/>
  <c r="G3" i="42"/>
  <c r="G6" i="42"/>
  <c r="G3" i="41"/>
  <c r="G6" i="41"/>
  <c r="G5" i="41"/>
  <c r="G3" i="39"/>
  <c r="G5" i="39"/>
  <c r="G3" i="36"/>
  <c r="G6" i="39"/>
  <c r="D16" i="36"/>
  <c r="D14" i="36"/>
  <c r="D12" i="36"/>
  <c r="D10" i="36" l="1"/>
  <c r="F4" i="36"/>
  <c r="G4" i="54" l="1"/>
  <c r="G4" i="52"/>
  <c r="G4" i="53"/>
  <c r="G4" i="49"/>
  <c r="G4" i="51"/>
  <c r="G4" i="50"/>
  <c r="G4" i="48"/>
  <c r="G4" i="43"/>
  <c r="G4" i="47"/>
  <c r="G4" i="45"/>
  <c r="G4" i="44"/>
  <c r="G4" i="42"/>
  <c r="G4" i="41"/>
  <c r="G4" i="39"/>
  <c r="A6" i="36"/>
  <c r="C6" i="50" l="1"/>
  <c r="C6" i="49"/>
  <c r="C6" i="48"/>
  <c r="C6" i="47"/>
  <c r="C6" i="45"/>
  <c r="C6" i="44"/>
  <c r="C6" i="43"/>
  <c r="C6" i="42"/>
  <c r="C6" i="41"/>
  <c r="C6" i="39"/>
  <c r="C6" i="36"/>
  <c r="G4" i="36"/>
</calcChain>
</file>

<file path=xl/sharedStrings.xml><?xml version="1.0" encoding="utf-8"?>
<sst xmlns="http://schemas.openxmlformats.org/spreadsheetml/2006/main" count="503" uniqueCount="175">
  <si>
    <t>Fra dato</t>
  </si>
  <si>
    <t>Til Dato</t>
  </si>
  <si>
    <t>Kategorier</t>
  </si>
  <si>
    <t>Timer denne uka</t>
  </si>
  <si>
    <t>Totalt antall timer</t>
  </si>
  <si>
    <t>Mandag 28. januar 2020</t>
  </si>
  <si>
    <t>søndag 2. februar 2020</t>
  </si>
  <si>
    <t>Teori</t>
  </si>
  <si>
    <t>Total tid brukt denne uken:</t>
  </si>
  <si>
    <t>Totalt antall tid brukt på prosjekt:</t>
  </si>
  <si>
    <t>Utvikling</t>
  </si>
  <si>
    <t>Administrativt</t>
  </si>
  <si>
    <t>Logg/Oppg.</t>
  </si>
  <si>
    <t>Timeliste   -  Joachim Kristensen  -   Uke</t>
  </si>
  <si>
    <t>Til dato</t>
  </si>
  <si>
    <t>Timer denne uken</t>
  </si>
  <si>
    <t>Timer brukt totalt</t>
  </si>
  <si>
    <t>Totalt tid brukt denne 
uken:</t>
  </si>
  <si>
    <t>Totalt antall tid brukt på 
prosjektet:</t>
  </si>
  <si>
    <t>Logg/Oppgaver</t>
  </si>
  <si>
    <t>Dato</t>
  </si>
  <si>
    <t>Start</t>
  </si>
  <si>
    <t>Stopp</t>
  </si>
  <si>
    <t>Timer</t>
  </si>
  <si>
    <t>Kategori/notat</t>
  </si>
  <si>
    <t>Backlog item#</t>
  </si>
  <si>
    <r>
      <rPr>
        <b/>
        <sz val="11"/>
        <color theme="1"/>
        <rFont val="Calibri"/>
        <family val="2"/>
        <scheme val="minor"/>
      </rPr>
      <t>Teori:</t>
    </r>
    <r>
      <rPr>
        <sz val="11"/>
        <color theme="1"/>
        <rFont val="Calibri"/>
        <family val="2"/>
        <scheme val="minor"/>
      </rPr>
      <t xml:space="preserve"> Forelesning om prosjektstyring og rapportering del 2</t>
    </r>
  </si>
  <si>
    <r>
      <t xml:space="preserve">Administrativt: </t>
    </r>
    <r>
      <rPr>
        <sz val="11"/>
        <color theme="1"/>
        <rFont val="Calibri"/>
        <family val="2"/>
        <scheme val="minor"/>
      </rPr>
      <t>Møte om forprosjekt, refleksjon rundt forelesning</t>
    </r>
  </si>
  <si>
    <r>
      <rPr>
        <b/>
        <sz val="11"/>
        <color theme="1"/>
        <rFont val="Calibri"/>
        <family val="2"/>
        <scheme val="minor"/>
      </rPr>
      <t>Logg/Oppgaver:</t>
    </r>
    <r>
      <rPr>
        <sz val="11"/>
        <color theme="1"/>
        <rFont val="Calibri"/>
        <family val="2"/>
        <scheme val="minor"/>
      </rPr>
      <t xml:space="preserve"> Jobbing med 'mal' til forprosjekt</t>
    </r>
  </si>
  <si>
    <r>
      <rPr>
        <b/>
        <sz val="11"/>
        <color theme="1"/>
        <rFont val="Calibri"/>
        <family val="2"/>
        <scheme val="minor"/>
      </rPr>
      <t xml:space="preserve">Logg/Oppgaver: </t>
    </r>
    <r>
      <rPr>
        <sz val="11"/>
        <color theme="1"/>
        <rFont val="Calibri"/>
        <family val="2"/>
        <scheme val="minor"/>
      </rPr>
      <t>Jobbing med 'mal' til forprosjekt</t>
    </r>
  </si>
  <si>
    <r>
      <rPr>
        <b/>
        <sz val="11"/>
        <color theme="1"/>
        <rFont val="Calibri"/>
        <family val="2"/>
        <scheme val="minor"/>
      </rPr>
      <t>Administrativt:</t>
    </r>
    <r>
      <rPr>
        <sz val="11"/>
        <color theme="1"/>
        <rFont val="Calibri"/>
        <family val="2"/>
        <scheme val="minor"/>
      </rPr>
      <t xml:space="preserve"> Sette opp mal for ny timeliste, ført timer fra forrige uker i ny mal</t>
    </r>
  </si>
  <si>
    <t>Oppsummering</t>
  </si>
  <si>
    <r>
      <rPr>
        <b/>
        <sz val="11"/>
        <color theme="1"/>
        <rFont val="Calibri"/>
        <family val="2"/>
        <scheme val="minor"/>
      </rPr>
      <t>Administrativt:</t>
    </r>
    <r>
      <rPr>
        <sz val="11"/>
        <color theme="1"/>
        <rFont val="Calibri"/>
        <family val="2"/>
        <scheme val="minor"/>
      </rPr>
      <t xml:space="preserve"> Scrum meeting, felles gruppeplanlegging, forprosjekt</t>
    </r>
  </si>
  <si>
    <r>
      <t xml:space="preserve">Administrativt: </t>
    </r>
    <r>
      <rPr>
        <sz val="11"/>
        <color theme="1"/>
        <rFont val="Calibri"/>
        <family val="2"/>
        <scheme val="minor"/>
      </rPr>
      <t>Scrum meeting, felles gruppeplanlegging, forprosjekt</t>
    </r>
  </si>
  <si>
    <r>
      <rPr>
        <b/>
        <sz val="11"/>
        <color theme="1"/>
        <rFont val="Calibri"/>
        <family val="2"/>
        <scheme val="minor"/>
      </rPr>
      <t>Utvikling:</t>
    </r>
    <r>
      <rPr>
        <sz val="11"/>
        <color theme="1"/>
        <rFont val="Calibri"/>
        <family val="2"/>
        <scheme val="minor"/>
      </rPr>
      <t xml:space="preserve"> Design av database</t>
    </r>
  </si>
  <si>
    <r>
      <t xml:space="preserve">Utvikling: </t>
    </r>
    <r>
      <rPr>
        <sz val="11"/>
        <color theme="1"/>
        <rFont val="Calibri"/>
        <family val="2"/>
        <scheme val="minor"/>
      </rPr>
      <t>Design av database</t>
    </r>
  </si>
  <si>
    <r>
      <rPr>
        <b/>
        <sz val="11"/>
        <color theme="1"/>
        <rFont val="Calibri"/>
        <family val="2"/>
        <scheme val="minor"/>
      </rPr>
      <t>Logg:</t>
    </r>
    <r>
      <rPr>
        <sz val="11"/>
        <color theme="1"/>
        <rFont val="Calibri"/>
        <family val="2"/>
        <scheme val="minor"/>
      </rPr>
      <t xml:space="preserve"> Loggskriving, ført timer og oppsummering for mandag og onsdag</t>
    </r>
  </si>
  <si>
    <r>
      <t xml:space="preserve">Administrativt: </t>
    </r>
    <r>
      <rPr>
        <sz val="11"/>
        <color theme="1"/>
        <rFont val="Calibri"/>
        <family val="2"/>
        <scheme val="minor"/>
      </rPr>
      <t>Scrum meeting, felles arbeid med product backlog</t>
    </r>
  </si>
  <si>
    <r>
      <rPr>
        <b/>
        <sz val="11"/>
        <color theme="1"/>
        <rFont val="Calibri"/>
        <family val="2"/>
        <scheme val="minor"/>
      </rPr>
      <t xml:space="preserve">Administrativt: </t>
    </r>
    <r>
      <rPr>
        <sz val="11"/>
        <color theme="1"/>
        <rFont val="Calibri"/>
        <family val="2"/>
        <scheme val="minor"/>
      </rPr>
      <t>Srum meeting, planning poker, product backlog</t>
    </r>
  </si>
  <si>
    <r>
      <t xml:space="preserve">Administrativt: </t>
    </r>
    <r>
      <rPr>
        <sz val="11"/>
        <color theme="1"/>
        <rFont val="Calibri"/>
        <family val="2"/>
        <scheme val="minor"/>
      </rPr>
      <t>Arbeid med forprosjekt</t>
    </r>
  </si>
  <si>
    <r>
      <t xml:space="preserve">Administrativt: </t>
    </r>
    <r>
      <rPr>
        <sz val="11"/>
        <color theme="1"/>
        <rFont val="Calibri"/>
        <family val="2"/>
        <scheme val="minor"/>
      </rPr>
      <t>Scrum meeting</t>
    </r>
    <r>
      <rPr>
        <b/>
        <sz val="11"/>
        <color theme="1"/>
        <rFont val="Calibri"/>
        <family val="2"/>
        <scheme val="minor"/>
      </rPr>
      <t xml:space="preserve"> </t>
    </r>
    <r>
      <rPr>
        <sz val="11"/>
        <color theme="1"/>
        <rFont val="Calibri"/>
        <family val="2"/>
        <scheme val="minor"/>
      </rPr>
      <t>Ferdigstilling av forprosjekt</t>
    </r>
  </si>
  <si>
    <r>
      <rPr>
        <b/>
        <sz val="11"/>
        <color theme="1"/>
        <rFont val="Calibri"/>
        <family val="2"/>
        <scheme val="minor"/>
      </rPr>
      <t>Administrativt:</t>
    </r>
    <r>
      <rPr>
        <sz val="11"/>
        <color theme="1"/>
        <rFont val="Calibri"/>
        <family val="2"/>
        <scheme val="minor"/>
      </rPr>
      <t xml:space="preserve"> Scrum meeting</t>
    </r>
  </si>
  <si>
    <r>
      <rPr>
        <b/>
        <sz val="11"/>
        <color theme="1"/>
        <rFont val="Calibri"/>
        <family val="2"/>
        <scheme val="minor"/>
      </rPr>
      <t>Teori:</t>
    </r>
    <r>
      <rPr>
        <sz val="11"/>
        <color theme="1"/>
        <rFont val="Calibri"/>
        <family val="2"/>
        <scheme val="minor"/>
      </rPr>
      <t xml:space="preserve"> Bootstrap, html, css</t>
    </r>
  </si>
  <si>
    <r>
      <rPr>
        <b/>
        <sz val="11"/>
        <color theme="1"/>
        <rFont val="Calibri"/>
        <family val="2"/>
        <scheme val="minor"/>
      </rPr>
      <t xml:space="preserve">Administrativt: </t>
    </r>
    <r>
      <rPr>
        <sz val="11"/>
        <color theme="1"/>
        <rFont val="Calibri"/>
        <family val="2"/>
        <scheme val="minor"/>
      </rPr>
      <t xml:space="preserve"> Scrum meeting</t>
    </r>
  </si>
  <si>
    <r>
      <rPr>
        <b/>
        <sz val="11"/>
        <color theme="1"/>
        <rFont val="Calibri"/>
        <family val="2"/>
        <scheme val="minor"/>
      </rPr>
      <t>Adminstrativt:</t>
    </r>
    <r>
      <rPr>
        <sz val="11"/>
        <color theme="1"/>
        <rFont val="Calibri"/>
        <family val="2"/>
        <scheme val="minor"/>
      </rPr>
      <t xml:space="preserve"> Oppsett programvare, installering av bibliotek/rammeverk</t>
    </r>
  </si>
  <si>
    <r>
      <rPr>
        <b/>
        <sz val="11"/>
        <color theme="1"/>
        <rFont val="Calibri"/>
        <family val="2"/>
        <scheme val="minor"/>
      </rPr>
      <t>Utvikling:</t>
    </r>
    <r>
      <rPr>
        <sz val="11"/>
        <color theme="1"/>
        <rFont val="Calibri"/>
        <family val="2"/>
        <scheme val="minor"/>
      </rPr>
      <t xml:space="preserve"> Gjennomgang av standard mal for nettside, videre utvikling</t>
    </r>
  </si>
  <si>
    <r>
      <rPr>
        <b/>
        <sz val="11"/>
        <color theme="1"/>
        <rFont val="Calibri"/>
        <family val="2"/>
        <scheme val="minor"/>
      </rPr>
      <t>Utvikling:</t>
    </r>
    <r>
      <rPr>
        <sz val="11"/>
        <color theme="1"/>
        <rFont val="Calibri"/>
        <family val="2"/>
        <scheme val="minor"/>
      </rPr>
      <t xml:space="preserve"> Jobbet med index/innloggingsside</t>
    </r>
  </si>
  <si>
    <r>
      <t xml:space="preserve">Administrativt: </t>
    </r>
    <r>
      <rPr>
        <sz val="11"/>
        <color theme="1"/>
        <rFont val="Calibri"/>
        <family val="2"/>
        <scheme val="minor"/>
      </rPr>
      <t>Scrum meeting</t>
    </r>
  </si>
  <si>
    <r>
      <t xml:space="preserve">Administrativt: </t>
    </r>
    <r>
      <rPr>
        <sz val="11"/>
        <color theme="1"/>
        <rFont val="Calibri"/>
        <family val="2"/>
        <scheme val="minor"/>
      </rPr>
      <t xml:space="preserve">Møte med Anders Dalmo </t>
    </r>
  </si>
  <si>
    <r>
      <rPr>
        <b/>
        <sz val="11"/>
        <color theme="1"/>
        <rFont val="Calibri"/>
        <family val="2"/>
        <scheme val="minor"/>
      </rPr>
      <t>Teori:</t>
    </r>
    <r>
      <rPr>
        <sz val="11"/>
        <color theme="1"/>
        <rFont val="Calibri"/>
        <family val="2"/>
        <scheme val="minor"/>
      </rPr>
      <t xml:space="preserve"> Bootstrap tutorial</t>
    </r>
  </si>
  <si>
    <r>
      <rPr>
        <b/>
        <sz val="11"/>
        <color theme="1"/>
        <rFont val="Calibri"/>
        <family val="2"/>
        <scheme val="minor"/>
      </rPr>
      <t>Utvikling:</t>
    </r>
    <r>
      <rPr>
        <sz val="11"/>
        <color theme="1"/>
        <rFont val="Calibri"/>
        <family val="2"/>
        <scheme val="minor"/>
      </rPr>
      <t xml:space="preserve"> Passet på første merge av backend og frontend</t>
    </r>
  </si>
  <si>
    <r>
      <rPr>
        <b/>
        <sz val="11"/>
        <color theme="1"/>
        <rFont val="Calibri"/>
        <family val="2"/>
        <scheme val="minor"/>
      </rPr>
      <t>Utvikling:</t>
    </r>
    <r>
      <rPr>
        <sz val="11"/>
        <color theme="1"/>
        <rFont val="Calibri"/>
        <family val="2"/>
        <scheme val="minor"/>
      </rPr>
      <t xml:space="preserve"> </t>
    </r>
    <r>
      <rPr>
        <sz val="11"/>
        <color theme="1"/>
        <rFont val="Calibri"/>
        <family val="2"/>
        <scheme val="minor"/>
      </rPr>
      <t>Arbeid med oppkobling av backend og fronted</t>
    </r>
  </si>
  <si>
    <t>Administrativt: Scrum meeting</t>
  </si>
  <si>
    <t>Adminstrativt: Ferdigstilling av sprint 1, planning poker</t>
  </si>
  <si>
    <r>
      <rPr>
        <b/>
        <sz val="11"/>
        <color theme="1"/>
        <rFont val="Calibri"/>
        <family val="2"/>
        <scheme val="minor"/>
      </rPr>
      <t xml:space="preserve">Administrativt: </t>
    </r>
    <r>
      <rPr>
        <sz val="11"/>
        <color theme="1"/>
        <rFont val="Calibri"/>
        <family val="2"/>
        <scheme val="minor"/>
      </rPr>
      <t>Daily scrum</t>
    </r>
  </si>
  <si>
    <r>
      <rPr>
        <b/>
        <sz val="11"/>
        <color theme="1"/>
        <rFont val="Calibri"/>
        <family val="2"/>
        <scheme val="minor"/>
      </rPr>
      <t>Utvikling:</t>
    </r>
    <r>
      <rPr>
        <sz val="11"/>
        <color theme="1"/>
        <rFont val="Calibri"/>
        <family val="2"/>
        <scheme val="minor"/>
      </rPr>
      <t xml:space="preserve"> Ferdigstilt innloggingsside</t>
    </r>
    <r>
      <rPr>
        <sz val="11"/>
        <color theme="1"/>
        <rFont val="Calibri"/>
        <family val="2"/>
        <scheme val="minor"/>
      </rPr>
      <t xml:space="preserve"> (sammensveiset frontend med backend)</t>
    </r>
  </si>
  <si>
    <r>
      <t xml:space="preserve">Administrativt: </t>
    </r>
    <r>
      <rPr>
        <sz val="11"/>
        <color theme="1"/>
        <rFont val="Calibri"/>
        <family val="2"/>
        <scheme val="minor"/>
      </rPr>
      <t>Møte med Alexander og Eivind</t>
    </r>
  </si>
  <si>
    <r>
      <t xml:space="preserve">Administrativt: </t>
    </r>
    <r>
      <rPr>
        <sz val="11"/>
        <color theme="1"/>
        <rFont val="Calibri"/>
        <family val="2"/>
        <scheme val="minor"/>
      </rPr>
      <t>Daily scrum</t>
    </r>
  </si>
  <si>
    <r>
      <rPr>
        <b/>
        <sz val="11"/>
        <color theme="1"/>
        <rFont val="Calibri"/>
        <family val="2"/>
        <scheme val="minor"/>
      </rPr>
      <t>Utvikling:</t>
    </r>
    <r>
      <rPr>
        <sz val="11"/>
        <color theme="1"/>
        <rFont val="Calibri"/>
        <family val="2"/>
        <scheme val="minor"/>
      </rPr>
      <t xml:space="preserve"> Emnevisning (enkeltemne)</t>
    </r>
  </si>
  <si>
    <t>10.1</t>
  </si>
  <si>
    <r>
      <rPr>
        <b/>
        <sz val="11"/>
        <color theme="1"/>
        <rFont val="Calibri"/>
        <family val="2"/>
        <scheme val="minor"/>
      </rPr>
      <t xml:space="preserve">Logg/Oppgaver: </t>
    </r>
    <r>
      <rPr>
        <sz val="11"/>
        <color theme="1"/>
        <rFont val="Calibri"/>
        <family val="2"/>
        <scheme val="minor"/>
      </rPr>
      <t>Ferdigstilte sprint zero</t>
    </r>
  </si>
  <si>
    <r>
      <rPr>
        <b/>
        <sz val="11"/>
        <color theme="1"/>
        <rFont val="Calibri"/>
        <family val="2"/>
        <scheme val="minor"/>
      </rPr>
      <t>Utvikling:</t>
    </r>
    <r>
      <rPr>
        <sz val="11"/>
        <color theme="1"/>
        <rFont val="Calibri"/>
        <family val="2"/>
        <scheme val="minor"/>
      </rPr>
      <t xml:space="preserve"> </t>
    </r>
    <r>
      <rPr>
        <sz val="11"/>
        <color theme="1"/>
        <rFont val="Calibri"/>
        <family val="2"/>
        <scheme val="minor"/>
      </rPr>
      <t>Emnevisning (enkeltemne)</t>
    </r>
  </si>
  <si>
    <r>
      <rPr>
        <b/>
        <sz val="11"/>
        <color theme="1"/>
        <rFont val="Calibri"/>
        <family val="2"/>
        <scheme val="minor"/>
      </rPr>
      <t xml:space="preserve">Scrum master: Eivind
Mandag: </t>
    </r>
    <r>
      <rPr>
        <sz val="11"/>
        <color theme="1"/>
        <rFont val="Calibri"/>
        <family val="2"/>
        <scheme val="minor"/>
      </rPr>
      <t xml:space="preserve">Har ryddet opp I kode og ferdigstilt innloggingssiden.
</t>
    </r>
    <r>
      <rPr>
        <b/>
        <sz val="11"/>
        <color theme="1"/>
        <rFont val="Calibri"/>
        <family val="2"/>
        <scheme val="minor"/>
      </rPr>
      <t xml:space="preserve">Tirsdag: </t>
    </r>
    <r>
      <rPr>
        <sz val="11"/>
        <color theme="1"/>
        <rFont val="Calibri"/>
        <family val="2"/>
        <scheme val="minor"/>
      </rPr>
      <t xml:space="preserve">Raskt møte med Alexander og Eivind ang. arbeidsoppgaver I sprinten. Backlog-item 10.1 trengte litt oppklaring, og har ila møtet besluttet å dele denne opp I å liste ut alle emner + søkefunksjonalitet(Eivind), og visning av et enkelt emne(Joachim). Alexander jobber med backlog-item 8, opprettelse av emne.
</t>
    </r>
    <r>
      <rPr>
        <b/>
        <sz val="11"/>
        <color theme="1"/>
        <rFont val="Calibri"/>
        <family val="2"/>
        <scheme val="minor"/>
      </rPr>
      <t xml:space="preserve">Torsdag: </t>
    </r>
    <r>
      <rPr>
        <sz val="11"/>
        <color theme="1"/>
        <rFont val="Calibri"/>
        <family val="2"/>
        <scheme val="minor"/>
      </rPr>
      <t xml:space="preserve">Arbeidet med utvikling av visningen av et enkelt emne, og diskutert oppsett med Alexander. Har hittil studert kildekoden ved UiT's egen emnekatalog , og bruker den som mal for visning.  
</t>
    </r>
    <r>
      <rPr>
        <b/>
        <sz val="11"/>
        <color theme="1"/>
        <rFont val="Calibri"/>
        <family val="2"/>
        <scheme val="minor"/>
      </rPr>
      <t xml:space="preserve">Søndag: </t>
    </r>
    <r>
      <rPr>
        <sz val="11"/>
        <color theme="1"/>
        <rFont val="Calibri"/>
        <family val="2"/>
        <scheme val="minor"/>
      </rPr>
      <t>Ferdigstilte sprint zero etter krav om å levere på nytt. Alle på gruppen møtte opp, og fikk jobbet ganske effektivt. Har etter møte fortsettet utvikling av visning av enkeltemne. Har brukt en del tid denne uken på å sette meg mere inn i bootstrap - og "knøing" - , dermed er ikke emnevisningen på langt nær ferdig. Tror derimot dette skal gå helt fint å få ferdig ila. neste uke.</t>
    </r>
  </si>
  <si>
    <r>
      <t xml:space="preserve">Administrativt: </t>
    </r>
    <r>
      <rPr>
        <sz val="11"/>
        <color theme="1"/>
        <rFont val="Calibri"/>
        <family val="2"/>
        <scheme val="minor"/>
      </rPr>
      <t>Daily Scrum</t>
    </r>
  </si>
  <si>
    <r>
      <rPr>
        <b/>
        <sz val="11"/>
        <color theme="1"/>
        <rFont val="Calibri"/>
        <family val="2"/>
        <scheme val="minor"/>
      </rPr>
      <t>Utvikling</t>
    </r>
    <r>
      <rPr>
        <sz val="11"/>
        <color theme="1"/>
        <rFont val="Calibri"/>
        <family val="2"/>
        <scheme val="minor"/>
      </rPr>
      <t>: Emnevisning (enkeltemne)</t>
    </r>
  </si>
  <si>
    <r>
      <rPr>
        <b/>
        <sz val="11"/>
        <color theme="1"/>
        <rFont val="Calibri"/>
        <family val="2"/>
        <scheme val="minor"/>
      </rPr>
      <t>Teori:</t>
    </r>
    <r>
      <rPr>
        <sz val="11"/>
        <color theme="1"/>
        <rFont val="Calibri"/>
        <family val="2"/>
        <scheme val="minor"/>
      </rPr>
      <t xml:space="preserve"> "Back-to-top" knapp funksjonalitet</t>
    </r>
  </si>
  <si>
    <r>
      <t xml:space="preserve">Utvikling: </t>
    </r>
    <r>
      <rPr>
        <sz val="11"/>
        <color theme="1"/>
        <rFont val="Calibri"/>
        <family val="2"/>
        <scheme val="minor"/>
      </rPr>
      <t>Implementert "back-to-top" funksjonalitet i base.twig</t>
    </r>
    <r>
      <rPr>
        <b/>
        <sz val="11"/>
        <color theme="1"/>
        <rFont val="Calibri"/>
        <family val="2"/>
        <scheme val="minor"/>
      </rPr>
      <t xml:space="preserve"> </t>
    </r>
    <r>
      <rPr>
        <sz val="11"/>
        <color theme="1"/>
        <rFont val="Calibri"/>
        <family val="2"/>
        <scheme val="minor"/>
      </rPr>
      <t>ferdig</t>
    </r>
  </si>
  <si>
    <r>
      <rPr>
        <b/>
        <sz val="11"/>
        <color theme="1"/>
        <rFont val="Calibri"/>
        <family val="2"/>
        <scheme val="minor"/>
      </rPr>
      <t>Administrativt:</t>
    </r>
    <r>
      <rPr>
        <sz val="11"/>
        <color theme="1"/>
        <rFont val="Calibri"/>
        <family val="2"/>
        <scheme val="minor"/>
      </rPr>
      <t xml:space="preserve"> Daily Scrum</t>
    </r>
  </si>
  <si>
    <r>
      <rPr>
        <b/>
        <sz val="11"/>
        <color theme="1"/>
        <rFont val="Calibri"/>
        <family val="2"/>
        <scheme val="minor"/>
      </rPr>
      <t>Logg/Oppgaver:</t>
    </r>
    <r>
      <rPr>
        <sz val="11"/>
        <color theme="1"/>
        <rFont val="Calibri"/>
        <family val="2"/>
        <scheme val="minor"/>
      </rPr>
      <t xml:space="preserve"> Gjennomgang og oppdatering av Sprint2 backlog</t>
    </r>
  </si>
  <si>
    <r>
      <rPr>
        <b/>
        <sz val="11"/>
        <color theme="1"/>
        <rFont val="Calibri"/>
        <family val="2"/>
        <scheme val="minor"/>
      </rPr>
      <t>Logg/Oppgaver:</t>
    </r>
    <r>
      <rPr>
        <sz val="11"/>
        <color theme="1"/>
        <rFont val="Calibri"/>
        <family val="2"/>
        <scheme val="minor"/>
      </rPr>
      <t xml:space="preserve"> Lage møteinnkalling i plenum</t>
    </r>
  </si>
  <si>
    <r>
      <rPr>
        <b/>
        <sz val="11"/>
        <color theme="1"/>
        <rFont val="Calibri"/>
        <family val="2"/>
        <scheme val="minor"/>
      </rPr>
      <t xml:space="preserve">Administrativt: </t>
    </r>
    <r>
      <rPr>
        <sz val="11"/>
        <color theme="1"/>
        <rFont val="Calibri"/>
        <family val="2"/>
        <scheme val="minor"/>
      </rPr>
      <t>Oppsett av programvare/git på arbeidsstasjon, merge branches, kontrollskjekking</t>
    </r>
  </si>
  <si>
    <r>
      <rPr>
        <b/>
        <sz val="11"/>
        <color theme="1"/>
        <rFont val="Calibri"/>
        <family val="2"/>
        <scheme val="minor"/>
      </rPr>
      <t>Utvikling:</t>
    </r>
    <r>
      <rPr>
        <sz val="11"/>
        <color theme="1"/>
        <rFont val="Calibri"/>
        <family val="2"/>
        <scheme val="minor"/>
      </rPr>
      <t xml:space="preserve"> Finpusset css i visEmne.twig</t>
    </r>
  </si>
  <si>
    <r>
      <rPr>
        <b/>
        <sz val="11"/>
        <color theme="1"/>
        <rFont val="Calibri"/>
        <family val="2"/>
        <scheme val="minor"/>
      </rPr>
      <t xml:space="preserve">Utvikling: </t>
    </r>
    <r>
      <rPr>
        <sz val="11"/>
        <color theme="1"/>
        <rFont val="Calibri"/>
        <family val="2"/>
        <scheme val="minor"/>
      </rPr>
      <t>Sett over Vegard sin kode for å hjelpe til å finne feil, fant en liten skrivefeil</t>
    </r>
  </si>
  <si>
    <r>
      <rPr>
        <b/>
        <sz val="11"/>
        <color theme="1"/>
        <rFont val="Calibri"/>
        <family val="2"/>
        <scheme val="minor"/>
      </rPr>
      <t xml:space="preserve">Utvikling: </t>
    </r>
    <r>
      <rPr>
        <sz val="11"/>
        <color theme="1"/>
        <rFont val="Calibri"/>
        <family val="2"/>
        <scheme val="minor"/>
      </rPr>
      <t>Sydd sammen visEmne.twig med visEmne.php</t>
    </r>
  </si>
  <si>
    <r>
      <rPr>
        <b/>
        <sz val="11"/>
        <color theme="1"/>
        <rFont val="Calibri"/>
        <family val="2"/>
        <scheme val="minor"/>
      </rPr>
      <t>Logg/Oppgaver</t>
    </r>
    <r>
      <rPr>
        <sz val="11"/>
        <color theme="1"/>
        <rFont val="Calibri"/>
        <family val="2"/>
        <scheme val="minor"/>
      </rPr>
      <t>: Ferdigstilling av Sprint 2 dokumenter</t>
    </r>
  </si>
  <si>
    <r>
      <t xml:space="preserve">Utvikling: </t>
    </r>
    <r>
      <rPr>
        <sz val="11"/>
        <color theme="1"/>
        <rFont val="Calibri"/>
        <family val="2"/>
        <scheme val="minor"/>
      </rPr>
      <t>Sydd sammen visEmne.twig med visEmne.php</t>
    </r>
  </si>
  <si>
    <r>
      <rPr>
        <b/>
        <sz val="11"/>
        <color theme="1"/>
        <rFont val="Calibri"/>
        <family val="2"/>
        <scheme val="minor"/>
      </rPr>
      <t xml:space="preserve">Scrum master: </t>
    </r>
    <r>
      <rPr>
        <sz val="11"/>
        <color theme="1"/>
        <rFont val="Calibri"/>
        <family val="2"/>
        <scheme val="minor"/>
      </rPr>
      <t>Eivind</t>
    </r>
    <r>
      <rPr>
        <b/>
        <sz val="11"/>
        <color theme="1"/>
        <rFont val="Calibri"/>
        <family val="2"/>
        <scheme val="minor"/>
      </rPr>
      <t xml:space="preserve">
Scrum master fram til uke 13: </t>
    </r>
    <r>
      <rPr>
        <sz val="11"/>
        <color theme="1"/>
        <rFont val="Calibri"/>
        <family val="2"/>
        <scheme val="minor"/>
      </rPr>
      <t xml:space="preserve">Anders Rubach Ese
</t>
    </r>
    <r>
      <rPr>
        <b/>
        <sz val="11"/>
        <color theme="1"/>
        <rFont val="Calibri"/>
        <family val="2"/>
        <scheme val="minor"/>
      </rPr>
      <t xml:space="preserve">
Mandag: </t>
    </r>
    <r>
      <rPr>
        <sz val="11"/>
        <color theme="1"/>
        <rFont val="Calibri"/>
        <family val="2"/>
        <scheme val="minor"/>
      </rPr>
      <t xml:space="preserve">Har i plenum gått igjennom tilbakemelding for sprint 1, og sett på hvilke forbedringer som kan gjøres til neste innlevering. Etter gjennomgang gjennomførte gruppen daily scrum. Alle gruppmedlemmer har noe å gjøre, og det ser ut til at vi ligger i rute etter oppdatering av burndown chart. Struktur for visning av emne er nesten ferdig. Alle tekstboksene er på plass, og bruker resten av tiden på å utnytte plassen effektivt. 
</t>
    </r>
    <r>
      <rPr>
        <b/>
        <sz val="11"/>
        <color theme="1"/>
        <rFont val="Calibri"/>
        <family val="2"/>
        <scheme val="minor"/>
      </rPr>
      <t>Tirsdag:</t>
    </r>
    <r>
      <rPr>
        <sz val="11"/>
        <color theme="1"/>
        <rFont val="Calibri"/>
        <family val="2"/>
        <scheme val="minor"/>
      </rPr>
      <t xml:space="preserve"> Fortsetter arbeid med 10.1. Er også i tett dialog med Anders og Martin som sørger for databasespørringer tilknyttet emner. Når dette er ferdig kan dummy data forkastes, og testing av visning med ekte data kan begynne. Er også i kontinuerlig dialog med Alexander ang struktur og kontinuitet med design og html-kode. Jobber med en "back-to-top" funksjonalitet i mens.
</t>
    </r>
    <r>
      <rPr>
        <b/>
        <sz val="11"/>
        <color theme="1"/>
        <rFont val="Calibri"/>
        <family val="2"/>
        <scheme val="minor"/>
      </rPr>
      <t xml:space="preserve">Fredag: </t>
    </r>
    <r>
      <rPr>
        <sz val="11"/>
        <color theme="1"/>
        <rFont val="Calibri"/>
        <family val="2"/>
        <scheme val="minor"/>
      </rPr>
      <t xml:space="preserve">Gruppen har hatt et vellykket møte på Discord. Etter daily scrum har sprint review blitt planlagt, samt opprettelse av møteinnkalling. Setter av resten av uken til å ferdigstille mine ansvarsområdet, og jobber ut dagen med Alexander, Anders og Martin på discord. Vi jobber med å merge brancher for å iverksette testing.
</t>
    </r>
    <r>
      <rPr>
        <b/>
        <sz val="11"/>
        <color theme="1"/>
        <rFont val="Calibri"/>
        <family val="2"/>
        <scheme val="minor"/>
      </rPr>
      <t xml:space="preserve">Søndag: </t>
    </r>
    <r>
      <rPr>
        <sz val="11"/>
        <color theme="1"/>
        <rFont val="Calibri"/>
        <family val="2"/>
        <scheme val="minor"/>
      </rPr>
      <t xml:space="preserve">Etter daily scrum har det blitt jobbet med å sy sammen twig-filer med php-filer. Har vært en del bugs i div databasespørringer som har tatt mye tid å ordne opp i. Som et resultat av dette blir ikke 10.3 ferdig i tide, da det gjenstår å fikse bugs i spørringene/databasestruktur. Planning poker har også blitt gjennomført, men har oppstått en del spørsmål vedr. enkelte aktiviteter som skal tas opp på møte mandag. 
 </t>
    </r>
  </si>
  <si>
    <r>
      <rPr>
        <b/>
        <sz val="11"/>
        <color theme="1"/>
        <rFont val="Calibri"/>
        <family val="2"/>
        <scheme val="minor"/>
      </rPr>
      <t>Utvikling:</t>
    </r>
    <r>
      <rPr>
        <sz val="11"/>
        <color theme="1"/>
        <rFont val="Calibri"/>
        <family val="2"/>
        <scheme val="minor"/>
      </rPr>
      <t xml:space="preserve"> Gjennomgang/utfylling av nødvendig informasjon for å få tilgang til Feide's data</t>
    </r>
  </si>
  <si>
    <r>
      <rPr>
        <b/>
        <sz val="11"/>
        <color theme="1"/>
        <rFont val="Calibri"/>
        <family val="2"/>
        <scheme val="minor"/>
      </rPr>
      <t>Utvikling:</t>
    </r>
    <r>
      <rPr>
        <sz val="11"/>
        <color theme="1"/>
        <rFont val="Calibri"/>
        <family val="2"/>
        <scheme val="minor"/>
      </rPr>
      <t xml:space="preserve"> Hjalp Alexander med å sende informasjon fra PHP til twig</t>
    </r>
  </si>
  <si>
    <t>17.1</t>
  </si>
  <si>
    <r>
      <t xml:space="preserve">Utvikling: </t>
    </r>
    <r>
      <rPr>
        <sz val="11"/>
        <color theme="1"/>
        <rFont val="Calibri"/>
        <family val="2"/>
        <scheme val="minor"/>
      </rPr>
      <t>Jobbet med Alexander ang twig syntaks, opprettet spørsmål på stack overflow sammen</t>
    </r>
  </si>
  <si>
    <r>
      <t xml:space="preserve">Utvikling: </t>
    </r>
    <r>
      <rPr>
        <sz val="11"/>
        <color theme="1"/>
        <rFont val="Calibri"/>
        <family val="2"/>
        <scheme val="minor"/>
      </rPr>
      <t>Fikset bugs og skrev om kode i 'DatabaseQuery' for at spørringene skulle returnere angitt data</t>
    </r>
    <r>
      <rPr>
        <b/>
        <sz val="11"/>
        <color theme="1"/>
        <rFont val="Calibri"/>
        <family val="2"/>
        <scheme val="minor"/>
      </rPr>
      <t xml:space="preserve">. </t>
    </r>
    <r>
      <rPr>
        <sz val="11"/>
        <color theme="1"/>
        <rFont val="Calibri"/>
        <family val="2"/>
        <scheme val="minor"/>
      </rPr>
      <t>17.1 funker nå som forventet</t>
    </r>
  </si>
  <si>
    <r>
      <rPr>
        <b/>
        <sz val="11"/>
        <color theme="1"/>
        <rFont val="Calibri"/>
        <family val="2"/>
        <scheme val="minor"/>
      </rPr>
      <t>Utvikling:</t>
    </r>
    <r>
      <rPr>
        <sz val="11"/>
        <color theme="1"/>
        <rFont val="Calibri"/>
        <family val="2"/>
        <scheme val="minor"/>
      </rPr>
      <t xml:space="preserve"> Lagt til tre knapper i visEmne.twig, finpusser layout og optimaliserer kode</t>
    </r>
  </si>
  <si>
    <r>
      <rPr>
        <b/>
        <sz val="11"/>
        <color theme="1"/>
        <rFont val="Calibri"/>
        <family val="2"/>
        <scheme val="minor"/>
      </rPr>
      <t xml:space="preserve">Scrum master: </t>
    </r>
    <r>
      <rPr>
        <sz val="11"/>
        <color theme="1"/>
        <rFont val="Calibri"/>
        <family val="2"/>
        <scheme val="minor"/>
      </rPr>
      <t xml:space="preserve">Anders
</t>
    </r>
    <r>
      <rPr>
        <b/>
        <sz val="11"/>
        <color theme="1"/>
        <rFont val="Calibri"/>
        <family val="2"/>
        <scheme val="minor"/>
      </rPr>
      <t xml:space="preserve">Onsdag: </t>
    </r>
    <r>
      <rPr>
        <sz val="11"/>
        <color theme="1"/>
        <rFont val="Calibri"/>
        <family val="2"/>
        <scheme val="minor"/>
      </rPr>
      <t xml:space="preserve">Litt "kaos" under daily scrum da sprint 2 ikke ble ferdig i tide og de fleste på gruppen - jeg inkludert - trenger å fokusere på andre fag fram til minst fredag. Med "kaos" menes at det trengs å lage en oversikt over hva som ikke er blitt ferdig i sprint 2, slik at arbeidsoppgavene kan delegeres (men vet at hvert medlem vet selv hva som gjenstår). Må som sagt legge krefter i mobilprogrammering og entrepenørskap til fredag, så avventer status på prosjektet til neste møte.
</t>
    </r>
    <r>
      <rPr>
        <b/>
        <sz val="11"/>
        <color theme="1"/>
        <rFont val="Calibri"/>
        <family val="2"/>
        <scheme val="minor"/>
      </rPr>
      <t>Lørdag:</t>
    </r>
    <r>
      <rPr>
        <sz val="11"/>
        <color theme="1"/>
        <rFont val="Calibri"/>
        <family val="2"/>
        <scheme val="minor"/>
      </rPr>
      <t xml:space="preserve"> Har fått oversikt over hva som gjenstår av sprint 2, og gruppen er i full gang med ferdigstilling av backlog-items. Hadde en rask gjennomgang på kvelden ang sammenkobling av php og twig med Alexander.
</t>
    </r>
    <r>
      <rPr>
        <b/>
        <sz val="11"/>
        <color theme="1"/>
        <rFont val="Calibri"/>
        <family val="2"/>
        <scheme val="minor"/>
      </rPr>
      <t xml:space="preserve">Søndag: </t>
    </r>
    <r>
      <rPr>
        <sz val="11"/>
        <color theme="1"/>
        <rFont val="Calibri"/>
        <family val="2"/>
        <scheme val="minor"/>
      </rPr>
      <t>Mye arbeid sammen med Alexander i backlog-item 17.1 da en database-spørring ikke retunerte det den skulle. Har fikset dette og ferdigstilt utfordringene rundt item 17.1. Har senere sett på item 10.3 og hva som gjenstår å gjøre, og begynt implementasjon av dette. Fortsetter neste uke</t>
    </r>
  </si>
  <si>
    <r>
      <rPr>
        <b/>
        <sz val="11"/>
        <color theme="1"/>
        <rFont val="Calibri"/>
        <family val="2"/>
        <scheme val="minor"/>
      </rPr>
      <t>Logg/Oppgaver:</t>
    </r>
    <r>
      <rPr>
        <sz val="11"/>
        <color theme="1"/>
        <rFont val="Calibri"/>
        <family val="2"/>
        <scheme val="minor"/>
      </rPr>
      <t xml:space="preserve"> </t>
    </r>
    <r>
      <rPr>
        <sz val="11"/>
        <color theme="1"/>
        <rFont val="Calibri"/>
        <family val="2"/>
        <scheme val="minor"/>
      </rPr>
      <t>Planning poker</t>
    </r>
  </si>
  <si>
    <r>
      <rPr>
        <b/>
        <sz val="11"/>
        <color theme="1"/>
        <rFont val="Calibri"/>
        <family val="2"/>
        <scheme val="minor"/>
      </rPr>
      <t>Utvikling:</t>
    </r>
    <r>
      <rPr>
        <sz val="11"/>
        <color theme="1"/>
        <rFont val="Calibri"/>
        <family val="2"/>
        <scheme val="minor"/>
      </rPr>
      <t xml:space="preserve"> Ryddet opp i gamle aktiviteter da disse ikke var ferdig implementerte/ikke gjorde det de skulle slik at 13.1 og 13.2 kan påbegynne.</t>
    </r>
  </si>
  <si>
    <r>
      <rPr>
        <b/>
        <sz val="11"/>
        <color theme="1"/>
        <rFont val="Calibri"/>
        <family val="2"/>
        <scheme val="minor"/>
      </rPr>
      <t xml:space="preserve">Utvikling: </t>
    </r>
    <r>
      <rPr>
        <sz val="11"/>
        <color theme="1"/>
        <rFont val="Calibri"/>
        <family val="2"/>
        <scheme val="minor"/>
      </rPr>
      <t>Hjalp Alexander med js-logikk</t>
    </r>
  </si>
  <si>
    <t>8.3</t>
  </si>
  <si>
    <r>
      <t xml:space="preserve">Utvikling: </t>
    </r>
    <r>
      <rPr>
        <sz val="11"/>
        <color theme="1"/>
        <rFont val="Calibri"/>
        <family val="2"/>
        <scheme val="minor"/>
      </rPr>
      <t>Fikset elementer i 'visAlleEmner.twig' til å respondere bedre til utseende</t>
    </r>
  </si>
  <si>
    <r>
      <t>Utvikling:</t>
    </r>
    <r>
      <rPr>
        <sz val="11"/>
        <color theme="1"/>
        <rFont val="Calibri"/>
        <family val="2"/>
        <scheme val="minor"/>
      </rPr>
      <t xml:space="preserve"> Påbegynt utvikling til filtering I søkefelt</t>
    </r>
  </si>
  <si>
    <t>13.1</t>
  </si>
  <si>
    <r>
      <t xml:space="preserve">Logg/Oppgaver: </t>
    </r>
    <r>
      <rPr>
        <sz val="11"/>
        <color theme="1"/>
        <rFont val="Calibri"/>
        <family val="2"/>
        <scheme val="minor"/>
      </rPr>
      <t>Oppdatert product backlog, gjort inviduell oppgave , ført timer og oppdatert timeliste</t>
    </r>
  </si>
  <si>
    <r>
      <rPr>
        <b/>
        <sz val="11"/>
        <color theme="1"/>
        <rFont val="Calibri"/>
        <family val="2"/>
        <scheme val="minor"/>
      </rPr>
      <t xml:space="preserve">Scrum master: </t>
    </r>
    <r>
      <rPr>
        <sz val="11"/>
        <color theme="1"/>
        <rFont val="Calibri"/>
        <family val="2"/>
        <scheme val="minor"/>
      </rPr>
      <t xml:space="preserve">Anders
Har ikke fått gjort så mye denne uken da andre fag har hatt prioritet fram til helgen. Etter planen skulle backlog item 13.1 og 13.2 startes, men da 10.1 ikke var fungerende nok til at disse kunne påbegynnes var det nødt til å bli fikset først. 10.1 anses nå til å være fullført og fungerende, og har startet helt lett med 13.1. 
</t>
    </r>
    <r>
      <rPr>
        <b/>
        <sz val="11"/>
        <color theme="1"/>
        <rFont val="Calibri"/>
        <family val="2"/>
        <scheme val="minor"/>
      </rPr>
      <t xml:space="preserve">En liten kommentar til prosjektets gang:
</t>
    </r>
    <r>
      <rPr>
        <sz val="11"/>
        <color theme="1"/>
        <rFont val="Calibri"/>
        <family val="2"/>
        <scheme val="minor"/>
      </rPr>
      <t xml:space="preserve">Grunnmuren til prosjektet (mtp. utvikling) ser ut til å falle veldig på plass, men det dukker stadig opp følgefeil som må brukes enormt med tid på å fikse. Hadde f.eks 10.1 faktisk blitt ferdig kunne det blitt brukt 6,5t på 13.1. Dette har blitt et lite irritasjonsmoment for min egen del, men her gjelder det å holde hodet kaldt og heller sørge for at kommunikasjon innad </t>
    </r>
    <r>
      <rPr>
        <b/>
        <sz val="11"/>
        <color theme="1"/>
        <rFont val="Calibri"/>
        <family val="2"/>
        <scheme val="minor"/>
      </rPr>
      <t>alle</t>
    </r>
    <r>
      <rPr>
        <sz val="11"/>
        <color theme="1"/>
        <rFont val="Calibri"/>
        <family val="2"/>
        <scheme val="minor"/>
      </rPr>
      <t xml:space="preserve"> gruppemedlemmende forbedres. Med dette menes at det skal være klart for et medlem som tar på seg ansvaret for å starte et backlog-item nøyaktig hva som skal gjøres for at dette skal få status "fullført". Som eksempel var 10.1 satt som fullført, men når vidreutvikling på denne aktivteten påbegynnes (13.1) er det klart at det ikke er i nærheten fullført. Dette er helt klart en læringsprosess for alle parter, og dialog for å avklare dette er gjort.
</t>
    </r>
    <r>
      <rPr>
        <b/>
        <sz val="11"/>
        <color theme="1"/>
        <rFont val="Calibri"/>
        <family val="2"/>
        <scheme val="minor"/>
      </rPr>
      <t xml:space="preserve">Svar til inviduell oppgave:
</t>
    </r>
    <r>
      <rPr>
        <sz val="11"/>
        <color theme="1"/>
        <rFont val="Calibri"/>
        <family val="2"/>
        <scheme val="minor"/>
      </rPr>
      <t>Det er diskutert innad gruppen at en "anstendig" årslønn for et privat firma er 550000kr. 
Månedsinntekt for årslønn ansatt = (550000kr * 7 ansatte) / 12 mnd = 321000kr
Månedsinntekt bedrift = 321000 + 29000 (grovt estimat av admn. tillegg) = 350000kr
Ukesinntekt bedrift = 350000kr / 4 uker = 87500kr
Dagsinntekt bedrift = 87500kr / 7 dager = 12500kr
Timesinntekt bedrift = 12500kr / 24 timer = 521kr
Gjennomsnitt storypoints per uke: ((55 / 2) + (91 / 2) + (71 / 2)) / 3 = 36,16 timer
Timesbetaling = Ukesinntekt / Gjennomsnitt storypoints = 87500kr / 36,16 timer = 2420kr / time</t>
    </r>
    <r>
      <rPr>
        <b/>
        <sz val="11"/>
        <color theme="1"/>
        <rFont val="Calibri"/>
        <family val="2"/>
        <scheme val="minor"/>
      </rPr>
      <t xml:space="preserve">
</t>
    </r>
  </si>
  <si>
    <t>Years</t>
  </si>
  <si>
    <t>Months</t>
  </si>
  <si>
    <t>Days</t>
  </si>
  <si>
    <t>Weekend</t>
  </si>
  <si>
    <t>Check Box</t>
  </si>
  <si>
    <t>January</t>
  </si>
  <si>
    <t>No Weekend</t>
  </si>
  <si>
    <t>February</t>
  </si>
  <si>
    <t>Sat &amp; Sun</t>
  </si>
  <si>
    <t>March</t>
  </si>
  <si>
    <t>Sun &amp; Mon</t>
  </si>
  <si>
    <t>April</t>
  </si>
  <si>
    <t>Mon &amp; Tue</t>
  </si>
  <si>
    <t>May</t>
  </si>
  <si>
    <t>Tue &amp; Wed</t>
  </si>
  <si>
    <t>June</t>
  </si>
  <si>
    <t>Wed &amp; Thu</t>
  </si>
  <si>
    <t>July</t>
  </si>
  <si>
    <t>Thu &amp; Fri</t>
  </si>
  <si>
    <t>August</t>
  </si>
  <si>
    <t>Fri &amp; Sat</t>
  </si>
  <si>
    <t>September</t>
  </si>
  <si>
    <t>Mon Only</t>
  </si>
  <si>
    <t>October</t>
  </si>
  <si>
    <t>Tue Only</t>
  </si>
  <si>
    <t>November</t>
  </si>
  <si>
    <t>Wed Only</t>
  </si>
  <si>
    <t>December</t>
  </si>
  <si>
    <t>Thu Only</t>
  </si>
  <si>
    <t>Fri Only</t>
  </si>
  <si>
    <t>Sat Only</t>
  </si>
  <si>
    <t>Sun Only</t>
  </si>
  <si>
    <r>
      <t xml:space="preserve">Administrativt: </t>
    </r>
    <r>
      <rPr>
        <sz val="11"/>
        <color theme="1"/>
        <rFont val="Calibri"/>
        <family val="2"/>
        <scheme val="minor"/>
      </rPr>
      <t>Forberedelser til sprint review</t>
    </r>
  </si>
  <si>
    <r>
      <rPr>
        <b/>
        <sz val="11"/>
        <color theme="1"/>
        <rFont val="Calibri"/>
        <family val="2"/>
        <scheme val="minor"/>
      </rPr>
      <t>Utvikling:</t>
    </r>
    <r>
      <rPr>
        <sz val="11"/>
        <color theme="1"/>
        <rFont val="Calibri"/>
        <family val="2"/>
        <scheme val="minor"/>
      </rPr>
      <t xml:space="preserve"> Lagt til href i "visAlleEmner.twig" til å linke til "visEmne.twig" med korrekt emneId</t>
    </r>
  </si>
  <si>
    <r>
      <rPr>
        <b/>
        <sz val="11"/>
        <color theme="1"/>
        <rFont val="Calibri"/>
        <family val="2"/>
        <scheme val="minor"/>
      </rPr>
      <t>Utvikling:</t>
    </r>
    <r>
      <rPr>
        <sz val="11"/>
        <color theme="1"/>
        <rFont val="Calibri"/>
        <family val="2"/>
        <scheme val="minor"/>
      </rPr>
      <t xml:space="preserve"> Finpusset utseende i "visEmne.twig"</t>
    </r>
  </si>
  <si>
    <r>
      <rPr>
        <b/>
        <sz val="11"/>
        <color theme="1"/>
        <rFont val="Calibri"/>
        <family val="2"/>
        <scheme val="minor"/>
      </rPr>
      <t xml:space="preserve">Administrativt: </t>
    </r>
    <r>
      <rPr>
        <sz val="11"/>
        <color theme="1"/>
        <rFont val="Calibri"/>
        <family val="2"/>
        <scheme val="minor"/>
      </rPr>
      <t>Sprint review</t>
    </r>
  </si>
  <si>
    <r>
      <t>Administrativt:</t>
    </r>
    <r>
      <rPr>
        <sz val="11"/>
        <color theme="1"/>
        <rFont val="Calibri"/>
        <family val="2"/>
        <scheme val="minor"/>
      </rPr>
      <t xml:space="preserve"> Møte med Alexander og Martin</t>
    </r>
  </si>
  <si>
    <r>
      <t xml:space="preserve">Administrativt: </t>
    </r>
    <r>
      <rPr>
        <sz val="11"/>
        <color theme="1"/>
        <rFont val="Calibri"/>
        <family val="2"/>
        <scheme val="minor"/>
      </rPr>
      <t>Møte med Hans Richard</t>
    </r>
  </si>
  <si>
    <r>
      <rPr>
        <b/>
        <sz val="11"/>
        <color theme="1"/>
        <rFont val="Calibri"/>
        <family val="2"/>
        <scheme val="minor"/>
      </rPr>
      <t>Logg/Oppgaver</t>
    </r>
    <r>
      <rPr>
        <sz val="11"/>
        <color theme="1"/>
        <rFont val="Calibri"/>
        <family val="2"/>
        <scheme val="minor"/>
      </rPr>
      <t>: Ferdigstilte ny innlevering av sprint 3</t>
    </r>
  </si>
  <si>
    <r>
      <t xml:space="preserve">Admistrativt: </t>
    </r>
    <r>
      <rPr>
        <sz val="11"/>
        <color theme="1"/>
        <rFont val="Calibri"/>
        <family val="2"/>
        <scheme val="minor"/>
      </rPr>
      <t xml:space="preserve"> Daily scrum</t>
    </r>
  </si>
  <si>
    <r>
      <rPr>
        <b/>
        <sz val="11"/>
        <color theme="1"/>
        <rFont val="Calibri"/>
        <family val="2"/>
        <scheme val="minor"/>
      </rPr>
      <t xml:space="preserve">Utvikling: </t>
    </r>
    <r>
      <rPr>
        <sz val="11"/>
        <color theme="1"/>
        <rFont val="Calibri"/>
        <family val="2"/>
        <scheme val="minor"/>
      </rPr>
      <t>Omkrev mere I visAlleEmner.twig/utviklet søkefunksjon I visAlleEmner.js</t>
    </r>
  </si>
  <si>
    <t>13.2</t>
  </si>
  <si>
    <r>
      <rPr>
        <b/>
        <sz val="11"/>
        <color theme="1"/>
        <rFont val="Calibri"/>
        <family val="2"/>
        <scheme val="minor"/>
      </rPr>
      <t xml:space="preserve">Utvikling: </t>
    </r>
    <r>
      <rPr>
        <sz val="11"/>
        <color theme="1"/>
        <rFont val="Calibri"/>
        <family val="2"/>
        <scheme val="minor"/>
      </rPr>
      <t>Omkrev mere I visAlleEmner.twig/fullførte søkefunksjon I visAlleEmner.js</t>
    </r>
  </si>
  <si>
    <r>
      <rPr>
        <b/>
        <sz val="11"/>
        <color theme="1"/>
        <rFont val="Calibri"/>
        <family val="2"/>
        <scheme val="minor"/>
      </rPr>
      <t xml:space="preserve">Utvikling: </t>
    </r>
    <r>
      <rPr>
        <sz val="11"/>
        <color theme="1"/>
        <rFont val="Calibri"/>
        <family val="2"/>
        <scheme val="minor"/>
      </rPr>
      <t xml:space="preserve">Påbegynt utvikling for filtrering </t>
    </r>
  </si>
  <si>
    <r>
      <rPr>
        <b/>
        <sz val="11"/>
        <color theme="1"/>
        <rFont val="Calibri"/>
        <family val="2"/>
        <scheme val="minor"/>
      </rPr>
      <t xml:space="preserve">Scrum master: </t>
    </r>
    <r>
      <rPr>
        <sz val="11"/>
        <color theme="1"/>
        <rFont val="Calibri"/>
        <family val="2"/>
        <scheme val="minor"/>
      </rPr>
      <t xml:space="preserve">Martin
</t>
    </r>
    <r>
      <rPr>
        <sz val="11"/>
        <color theme="1"/>
        <rFont val="Calibri"/>
        <family val="2"/>
        <scheme val="minor"/>
      </rPr>
      <t>Mye videre arbeid med visAlleEmner.twig. Dette gjelder en del strukturelle endringer som må på plass for å benytte seg av JavaScript på en mere hensiktsmessig måte. Søkefunksjonen er ferdig (13.1), og har påbegynt filtrering (13.2).</t>
    </r>
    <r>
      <rPr>
        <sz val="11"/>
        <color theme="1"/>
        <rFont val="Calibri"/>
        <family val="2"/>
        <scheme val="minor"/>
      </rPr>
      <t xml:space="preserve"> Har også hatt møte med Alexander og Martin, og ett møte med Hans Richard ang en intern konflikt innad gruppen. Dette er etter min forståelse nå tatt hånd om, og det ser ut til at vi er i rute igjen.</t>
    </r>
  </si>
  <si>
    <r>
      <t xml:space="preserve">Administrativt: </t>
    </r>
    <r>
      <rPr>
        <sz val="11"/>
        <color theme="1"/>
        <rFont val="Calibri"/>
        <family val="2"/>
        <scheme val="minor"/>
      </rPr>
      <t>Scrum møte</t>
    </r>
  </si>
  <si>
    <r>
      <t>Administrativt:</t>
    </r>
    <r>
      <rPr>
        <sz val="11"/>
        <color theme="1"/>
        <rFont val="Calibri"/>
        <family val="2"/>
        <scheme val="minor"/>
      </rPr>
      <t xml:space="preserve"> Sprint review</t>
    </r>
  </si>
  <si>
    <t>Scrum master: Martin
Har brukt uken på å lese til entrepenørskapseksamen onsdag neste uke + en liten påskeferie</t>
  </si>
  <si>
    <r>
      <t xml:space="preserve">Utvikling: </t>
    </r>
    <r>
      <rPr>
        <sz val="11"/>
        <color theme="1"/>
        <rFont val="Calibri"/>
        <family val="2"/>
        <scheme val="minor"/>
      </rPr>
      <t>Fortesettelse av filteringslogikk</t>
    </r>
  </si>
  <si>
    <r>
      <t>Utvikling:</t>
    </r>
    <r>
      <rPr>
        <sz val="11"/>
        <color theme="1"/>
        <rFont val="Calibri"/>
        <family val="2"/>
        <scheme val="minor"/>
      </rPr>
      <t xml:space="preserve"> Fortesettelse av filteringslogikk</t>
    </r>
  </si>
  <si>
    <r>
      <t>Administrativt:</t>
    </r>
    <r>
      <rPr>
        <sz val="11"/>
        <color theme="1"/>
        <rFont val="Calibri"/>
        <family val="2"/>
        <scheme val="minor"/>
      </rPr>
      <t xml:space="preserve"> Daily scrum</t>
    </r>
  </si>
  <si>
    <r>
      <t>Utvikling:</t>
    </r>
    <r>
      <rPr>
        <sz val="11"/>
        <color theme="1"/>
        <rFont val="Calibri"/>
        <family val="2"/>
        <scheme val="minor"/>
      </rPr>
      <t xml:space="preserve"> Live serach i Ajax</t>
    </r>
  </si>
  <si>
    <r>
      <t>Administrativt:</t>
    </r>
    <r>
      <rPr>
        <sz val="11"/>
        <color theme="1"/>
        <rFont val="Calibri"/>
        <family val="2"/>
        <scheme val="minor"/>
      </rPr>
      <t xml:space="preserve"> Møte</t>
    </r>
  </si>
  <si>
    <r>
      <rPr>
        <b/>
        <sz val="11"/>
        <color theme="1"/>
        <rFont val="Calibri"/>
        <family val="2"/>
        <scheme val="minor"/>
      </rPr>
      <t>Logg/Oppgaver:</t>
    </r>
    <r>
      <rPr>
        <sz val="11"/>
        <color theme="1"/>
        <rFont val="Calibri"/>
        <family val="2"/>
        <scheme val="minor"/>
      </rPr>
      <t xml:space="preserve"> Fikset problem i timelisten da 'Timer brukt totalt' ikke viste korrekt antall timer</t>
    </r>
  </si>
  <si>
    <r>
      <rPr>
        <b/>
        <sz val="11"/>
        <color theme="1"/>
        <rFont val="Calibri"/>
        <family val="2"/>
        <scheme val="minor"/>
      </rPr>
      <t>Scrum master:</t>
    </r>
    <r>
      <rPr>
        <sz val="11"/>
        <color theme="1"/>
        <rFont val="Calibri"/>
        <family val="2"/>
        <scheme val="minor"/>
      </rPr>
      <t xml:space="preserve"> Adrian
Litt i underkant med arbeid denne uken. Har hatt eksamen i Entrepenørskap onsdag og arbeidet med innlevering i mobilprogrammering til neste onsdag. Scrum-møtene har gått fint, og det virker som at hele gruppen er i enighet når det gjelder fremgang i prosjektet. Har fått jobbet en del med 13.2 som planlagt, men etter møte 18/4 er det besluttet at vi skal benytte oss av Ajax for mye av søkefunksjonalitet, og 13.2 har blitt litt satt på vent mens vi samarbeider med å løse hvordan å benytte Ajax (meg, Adrian og Alexander). Har ikke levert timeliste for uke 14 og uke 15. Disse skal være levert med denne. </t>
    </r>
  </si>
  <si>
    <t>Administrativt: Scrum meeting/Forberedelse til sprint review</t>
  </si>
  <si>
    <t>Administrativt: Sprint review</t>
  </si>
  <si>
    <t>Logg/Oppgaver: Planning poker</t>
  </si>
  <si>
    <t>Administrativt: Daily scrum</t>
  </si>
  <si>
    <t>Utvikling: Implementasjon av Live Search</t>
  </si>
  <si>
    <t>Utvikling: Implementasjon av Live Search, videre utvikling av filteringsfunksjon</t>
  </si>
  <si>
    <t>Utvikling: Hjalp Martin med logikk og feilhåndtering vedrørende registering av ny bruker</t>
  </si>
  <si>
    <t>Utvikling: Forsatt utvikling av filtreringsfunksjon. Alle knapper og dropdown-menyer er på plass, og logikk er påbegynt</t>
  </si>
  <si>
    <t>Scrum master: Adrian
Mandag: Har hatt et vellykket sprint review. Alle gruppemedlemmene har hatt noe å presentere. Gruppen har fått presentert en del forslag til endringer i noen funksjonaliteter, og kunde har fått stillt spørsmål og kommet med presiseringer til hvordan enkelte funksjonaliteter burde være. Etter sprint review har gruppen hatt eget møte der vi har diskutert disse punktene, og jobbet sammen med en ny innlevering + planning poker. 
Torsdag: Startet arbeidet med daily scrum der jeg, Alexander, og Adrian skal fortsette implementasjon av LiveSearch.
Fredag: Fortsatte utvikling av live search med Alexander og Adrian. Det har vært stor framgang, og etter jeg måtte forlate grunnet arbeid var det aller meste kommet på plass. Det vil si at live search for visAlleEmner mest sannynlig kan påbegynnes i morgen.
Lørdag: Har ferdigstilt implementasjon av live search i oppretteEmne med Alexander og Adrian. Videre er dette også blitt implementert og tilpasset i visAlleEmner. Videre er det laget knapper for å vise de forskjellige studieretningene som tilbys (slik kunde etterlyste), og det jobbes med ekstra dropdown-menyer for å få dette til å være lett forståelig og intuitivt å bruke. 
Søndag: Etter en del fram og tilbake er implementasjon av søkefunksjon(med filtrering) begynt å komme på plass. Det er enighet i gruppen om hvordan dette skal gjøres, og blir mest sannsynlig fullørt mandag/tirsdag neste uke.</t>
  </si>
  <si>
    <t>Administrativt: Daily Scrum</t>
  </si>
  <si>
    <t>Utvikling: Videre arbeid med filteringsfunksjon</t>
  </si>
  <si>
    <t>Utvikling: Ferdigstilling av filtreringsfunksjon</t>
  </si>
  <si>
    <t xml:space="preserve">Scrum master: Vegard
Torsdag: Under møtet har gruppen laget en oversikt over hva som gjenstår å fullføre innen levering 10. mai. Hvis alt går etter planen skal det aller meste kunne være på plass og være klart til å levere innen gitt dato. Har videre fortsatt arbeid med 13.2, og har møtt på en del uventede tekniske problemer vedrørende hvordan å bygge opp URL-strengen som skal benyttes etter filtering er valgt. 
Fredag: Fortsettelse av 13.2. Har ryddet opp en del i koden og sørget for at URL-strengen blir bygd opp som forventet etter problemer oppsto torsdag. Nå er dette på plass, men nye problemer oppsto da det er spesielt vanskelig å benytte seg av "," i en URL. For å forhindre dette må det gjøres endringer i databasen. Dette vil bli tatt opp på førstkommende møte lørdag 2/5 kl 14.00.
Lørdag: Har jobbet mye med fortsettelse av 13.2. Der har vært en del følgefeil over mange forskjellige filer som har ført til at ferdigstilling har tatt litt ekstra tid. Derimot er 13.2 nå ferdig og testet mot alle ikke-arkiverte emner. Videre arbeid vil være å få dette implementert i akriverte emner. Har også sammen med Anders oppdatert en felles TODO-liste med arbeid hvert gruppemedlem holder på med, og hva de planlegger å gjøre videre.
</t>
  </si>
  <si>
    <t>Utvikling: Koblet opp 'arkiverteEmner' med 'visAlleEmner'</t>
  </si>
  <si>
    <t>18.2</t>
  </si>
  <si>
    <t>Utvikling: Jobbet med localStorage i js slik at nettsiden husker filtreringsvalgene til bruker når siden lastes inn på nytt</t>
  </si>
  <si>
    <t>Utvikling: Bux fix i visAlleEmner</t>
  </si>
  <si>
    <t>Utvikling: Startet utvikling av mineEmner</t>
  </si>
  <si>
    <t>25.1</t>
  </si>
  <si>
    <t>Utvikling: Fortsettelse utvikling av mineEmner</t>
  </si>
  <si>
    <t>Administrativt: Møte</t>
  </si>
  <si>
    <t>Utvikling: Ferdigstilling av mineEmner</t>
  </si>
  <si>
    <t>Utvikling: Opplasting/refereanseendring til kark</t>
  </si>
  <si>
    <t xml:space="preserve">Scrum master: Vegard
</t>
  </si>
  <si>
    <t>Administrativt: Forberedelse til sprint review</t>
  </si>
  <si>
    <t>Adminstrativt: Forberedelse til presentasjon</t>
  </si>
  <si>
    <t>Utvikling: Testing og bug-fixing av ferdig produkt på kark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</si>
</sst>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hh:mm;@"/>
    <numFmt numFmtId="166" formatCode="[$-409]h:mm"/>
    <numFmt numFmtId="167" formatCode="h:mm;@"/>
    <numFmt numFmtId="168" formatCode="[$-F400]h:mm:ss\ AM/PM"/>
    <numFmt numFmtId="169" formatCode="[h]:mm"/>
    <numFmt numFmtId="170" formatCode="yyyy\-mm\-dd;@"/>
  </numFmts>
  <fonts count="38">
    <font>
      <sz val="10"/>
      <color theme="1"/>
      <name val="Verdana"/>
      <family val="2"/>
    </font>
    <font>
      <sz val="11"/>
      <color theme="1"/>
      <name val="Calibri"/>
      <family val="2"/>
      <scheme val="minor"/>
    </font>
    <font>
      <sz val="11"/>
      <color theme="1"/>
      <name val="Calibri"/>
      <scheme val="minor"/>
    </font>
    <font>
      <sz val="11"/>
      <color theme="1"/>
      <name val="Calibri"/>
      <family val="2"/>
      <scheme val="minor"/>
    </font>
    <font>
      <sz val="11"/>
      <color theme="1"/>
      <name val="Calibri"/>
      <family val="2"/>
      <scheme val="minor"/>
    </font>
    <font>
      <i/>
      <sz val="10"/>
      <color theme="1"/>
      <name val="Verdana"/>
      <family val="2"/>
    </font>
    <font>
      <sz val="9"/>
      <color theme="1"/>
      <name val="Verdana"/>
      <family val="2"/>
    </font>
    <font>
      <i/>
      <sz val="9"/>
      <color theme="1"/>
      <name val="Verdana"/>
      <family val="2"/>
    </font>
    <font>
      <b/>
      <sz val="9"/>
      <color theme="8" tint="-0.249977111117893"/>
      <name val="Verdana"/>
      <family val="2"/>
    </font>
    <font>
      <sz val="8"/>
      <color theme="1"/>
      <name val="Verdana"/>
      <family val="2"/>
    </font>
    <font>
      <b/>
      <sz val="10"/>
      <color theme="8" tint="-0.249977111117893"/>
      <name val="Verdana"/>
      <family val="2"/>
    </font>
    <font>
      <u/>
      <sz val="10"/>
      <color theme="10"/>
      <name val="Verdana"/>
      <family val="2"/>
    </font>
    <font>
      <sz val="10"/>
      <color theme="10"/>
      <name val="Verdana"/>
      <family val="2"/>
    </font>
    <font>
      <sz val="11"/>
      <color theme="1"/>
      <name val="Verdana"/>
      <family val="2"/>
    </font>
    <font>
      <sz val="18"/>
      <color theme="1"/>
      <name val="Verdana"/>
      <family val="2"/>
    </font>
    <font>
      <sz val="10"/>
      <color theme="1"/>
      <name val="Verdana"/>
      <family val="2"/>
    </font>
    <font>
      <sz val="20"/>
      <color theme="1"/>
      <name val="Verdana"/>
      <family val="2"/>
    </font>
    <font>
      <b/>
      <sz val="18"/>
      <color theme="1"/>
      <name val="Calibri Light"/>
      <family val="2"/>
      <scheme val="major"/>
    </font>
    <font>
      <b/>
      <sz val="12"/>
      <color theme="1"/>
      <name val="Calibri Light"/>
      <family val="2"/>
      <scheme val="major"/>
    </font>
    <font>
      <b/>
      <sz val="12"/>
      <color theme="1"/>
      <name val="Calibri"/>
      <family val="2"/>
      <scheme val="minor"/>
    </font>
    <font>
      <b/>
      <sz val="12"/>
      <color theme="8" tint="-0.249977111117893"/>
      <name val="Calibri"/>
      <family val="2"/>
      <scheme val="minor"/>
    </font>
    <font>
      <b/>
      <sz val="16"/>
      <color theme="1"/>
      <name val="Calibri"/>
      <family val="2"/>
      <scheme val="minor"/>
    </font>
    <font>
      <b/>
      <sz val="18"/>
      <color theme="1"/>
      <name val="Calibri"/>
      <family val="2"/>
      <scheme val="minor"/>
    </font>
    <font>
      <sz val="10"/>
      <color theme="1"/>
      <name val="Calibri"/>
      <family val="2"/>
      <scheme val="minor"/>
    </font>
    <font>
      <sz val="20"/>
      <color theme="1"/>
      <name val="Calibri"/>
      <family val="2"/>
      <scheme val="minor"/>
    </font>
    <font>
      <b/>
      <sz val="12"/>
      <color rgb="FF305496"/>
      <name val="Calibri"/>
      <family val="2"/>
    </font>
    <font>
      <b/>
      <sz val="11"/>
      <color theme="1"/>
      <name val="Calibri"/>
      <family val="2"/>
      <scheme val="minor"/>
    </font>
    <font>
      <b/>
      <sz val="11"/>
      <color theme="1"/>
      <name val="Calibri "/>
    </font>
    <font>
      <sz val="11"/>
      <color rgb="FF006100"/>
      <name val="Calibri"/>
      <family val="2"/>
      <charset val="1"/>
    </font>
    <font>
      <sz val="11"/>
      <color rgb="FF000000"/>
      <name val="Calibri"/>
      <family val="2"/>
      <charset val="1"/>
    </font>
    <font>
      <b/>
      <sz val="12"/>
      <color rgb="FF376054"/>
      <name val="Century Gothic"/>
      <family val="2"/>
      <charset val="1"/>
    </font>
    <font>
      <sz val="11"/>
      <color rgb="FF000000"/>
      <name val="Century Gothic"/>
      <family val="2"/>
      <charset val="1"/>
    </font>
    <font>
      <b/>
      <sz val="10"/>
      <color rgb="FF000000"/>
      <name val="Century Gothic"/>
      <family val="2"/>
      <charset val="1"/>
    </font>
    <font>
      <sz val="12"/>
      <color rgb="FF000000"/>
      <name val="Century Gothic"/>
      <family val="2"/>
      <charset val="1"/>
    </font>
    <font>
      <sz val="10"/>
      <color rgb="FF000000"/>
      <name val="Century Gothic"/>
      <family val="2"/>
      <charset val="1"/>
    </font>
    <font>
      <b/>
      <sz val="14"/>
      <color rgb="FF000000"/>
      <name val="Century Gothic"/>
      <family val="2"/>
      <charset val="1"/>
    </font>
    <font>
      <b/>
      <sz val="11"/>
      <color theme="1"/>
      <name val="Calibri"/>
      <scheme val="minor"/>
    </font>
    <font>
      <sz val="11"/>
      <color theme="1"/>
      <name val="Calibri"/>
    </font>
  </fonts>
  <fills count="20">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9" tint="0.59999389629810485"/>
        <bgColor indexed="65"/>
      </patternFill>
    </fill>
    <fill>
      <patternFill patternType="solid">
        <fgColor rgb="FFFF5757"/>
        <bgColor indexed="64"/>
      </patternFill>
    </fill>
    <fill>
      <patternFill patternType="solid">
        <fgColor rgb="FFC6EFCE"/>
        <bgColor rgb="FFCCFFFF"/>
      </patternFill>
    </fill>
    <fill>
      <patternFill patternType="solid">
        <fgColor rgb="FFECD29D"/>
        <bgColor rgb="FFC6EFCE"/>
      </patternFill>
    </fill>
    <fill>
      <patternFill patternType="solid">
        <fgColor rgb="FF76B19F"/>
        <bgColor rgb="FF8EDA97"/>
      </patternFill>
    </fill>
    <fill>
      <patternFill patternType="solid">
        <fgColor rgb="FFC38E90"/>
        <bgColor rgb="FFFF8080"/>
      </patternFill>
    </fill>
    <fill>
      <patternFill patternType="solid">
        <fgColor rgb="FF6586A8"/>
        <bgColor rgb="FF76B19F"/>
      </patternFill>
    </fill>
    <fill>
      <patternFill patternType="solid">
        <fgColor rgb="FFFFFFFF"/>
        <bgColor rgb="FFF2F2F2"/>
      </patternFill>
    </fill>
    <fill>
      <patternFill patternType="solid">
        <fgColor theme="7" tint="0.59999389629810485"/>
        <bgColor indexed="64"/>
      </patternFill>
    </fill>
    <fill>
      <patternFill patternType="solid">
        <fgColor theme="9" tint="0.59999389629810485"/>
        <bgColor indexed="64"/>
      </patternFill>
    </fill>
    <fill>
      <patternFill patternType="solid">
        <fgColor rgb="FFFF5050"/>
        <bgColor indexed="64"/>
      </patternFill>
    </fill>
    <fill>
      <patternFill patternType="solid">
        <fgColor rgb="FFFFE699"/>
        <bgColor indexed="64"/>
      </patternFill>
    </fill>
  </fills>
  <borders count="2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ck">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rgb="FF000000"/>
      </right>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indexed="64"/>
      </bottom>
      <diagonal/>
    </border>
    <border>
      <left/>
      <right style="medium">
        <color rgb="FF000000"/>
      </right>
      <top style="medium">
        <color rgb="FF000000"/>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2">
    <xf numFmtId="0" fontId="0" fillId="0" borderId="0"/>
    <xf numFmtId="0" fontId="11" fillId="0" borderId="0" applyNumberFormat="0" applyFill="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28" fillId="10" borderId="0" applyBorder="0" applyProtection="0">
      <alignment horizontal="left"/>
    </xf>
    <xf numFmtId="0" fontId="29" fillId="11" borderId="0" applyBorder="0" applyProtection="0">
      <alignment horizontal="left"/>
    </xf>
    <xf numFmtId="0" fontId="29" fillId="12" borderId="0" applyBorder="0" applyProtection="0">
      <alignment horizontal="left"/>
    </xf>
    <xf numFmtId="0" fontId="29" fillId="13" borderId="0" applyBorder="0" applyProtection="0">
      <alignment horizontal="left"/>
    </xf>
    <xf numFmtId="0" fontId="29" fillId="14" borderId="0" applyBorder="0" applyProtection="0">
      <alignment horizontal="left"/>
    </xf>
  </cellStyleXfs>
  <cellXfs count="395">
    <xf numFmtId="0" fontId="0" fillId="0" borderId="0" xfId="0"/>
    <xf numFmtId="0" fontId="0" fillId="0" borderId="0" xfId="0" applyAlignment="1">
      <alignment vertical="center"/>
    </xf>
    <xf numFmtId="0" fontId="0" fillId="0" borderId="1" xfId="0" applyBorder="1"/>
    <xf numFmtId="14" fontId="0" fillId="0" borderId="1" xfId="0" applyNumberFormat="1" applyBorder="1"/>
    <xf numFmtId="0" fontId="5" fillId="2" borderId="1" xfId="0" applyFont="1" applyFill="1" applyBorder="1"/>
    <xf numFmtId="0" fontId="0" fillId="0" borderId="0" xfId="0" applyBorder="1"/>
    <xf numFmtId="0" fontId="12" fillId="3" borderId="0" xfId="1" applyFont="1" applyFill="1" applyBorder="1" applyAlignment="1">
      <alignment horizontal="center" vertical="center"/>
    </xf>
    <xf numFmtId="0" fontId="0" fillId="3" borderId="0" xfId="0" applyFill="1" applyBorder="1"/>
    <xf numFmtId="164" fontId="6" fillId="3" borderId="0" xfId="0" applyNumberFormat="1" applyFont="1" applyFill="1" applyBorder="1" applyAlignment="1">
      <alignment horizontal="center"/>
    </xf>
    <xf numFmtId="0" fontId="9" fillId="3" borderId="0" xfId="0" applyFont="1" applyFill="1" applyBorder="1"/>
    <xf numFmtId="164" fontId="10" fillId="3" borderId="0" xfId="0" applyNumberFormat="1" applyFont="1" applyFill="1" applyBorder="1" applyAlignment="1">
      <alignment horizontal="center"/>
    </xf>
    <xf numFmtId="164" fontId="8" fillId="3" borderId="0" xfId="0" applyNumberFormat="1" applyFont="1" applyFill="1" applyBorder="1" applyAlignment="1">
      <alignment horizontal="center"/>
    </xf>
    <xf numFmtId="20" fontId="6" fillId="0" borderId="0" xfId="0" applyNumberFormat="1" applyFont="1" applyBorder="1" applyAlignment="1">
      <alignment horizontal="center"/>
    </xf>
    <xf numFmtId="0" fontId="0" fillId="3" borderId="0" xfId="0" applyFill="1" applyBorder="1" applyAlignment="1">
      <alignment vertical="center"/>
    </xf>
    <xf numFmtId="0" fontId="7" fillId="0" borderId="0" xfId="0" applyFont="1" applyAlignment="1"/>
    <xf numFmtId="0" fontId="0" fillId="0" borderId="0" xfId="0" applyBorder="1" applyAlignment="1">
      <alignment horizontal="right"/>
    </xf>
    <xf numFmtId="0" fontId="10" fillId="0" borderId="0" xfId="0" applyFont="1" applyBorder="1" applyAlignment="1">
      <alignment horizontal="center"/>
    </xf>
    <xf numFmtId="0" fontId="10" fillId="0" borderId="0" xfId="0" applyFont="1" applyBorder="1" applyAlignment="1">
      <alignment horizontal="right"/>
    </xf>
    <xf numFmtId="165" fontId="8" fillId="0" borderId="0" xfId="0" applyNumberFormat="1" applyFont="1" applyFill="1" applyBorder="1" applyAlignment="1">
      <alignment horizontal="center"/>
    </xf>
    <xf numFmtId="165" fontId="14" fillId="0" borderId="0" xfId="0" applyNumberFormat="1" applyFont="1" applyAlignment="1">
      <alignment vertical="top"/>
    </xf>
    <xf numFmtId="0" fontId="13" fillId="0" borderId="0" xfId="0" applyFont="1" applyAlignment="1">
      <alignment vertical="center"/>
    </xf>
    <xf numFmtId="165" fontId="0" fillId="0" borderId="0" xfId="0" applyNumberFormat="1"/>
    <xf numFmtId="165" fontId="15" fillId="0" borderId="0" xfId="0" applyNumberFormat="1" applyFont="1" applyBorder="1" applyAlignment="1"/>
    <xf numFmtId="0" fontId="15" fillId="0" borderId="0" xfId="0" applyFont="1" applyAlignment="1">
      <alignment vertical="top"/>
    </xf>
    <xf numFmtId="0" fontId="15" fillId="0" borderId="0" xfId="0" applyFont="1" applyAlignment="1">
      <alignment vertical="top" wrapText="1"/>
    </xf>
    <xf numFmtId="0" fontId="15" fillId="0" borderId="0" xfId="0" applyFont="1"/>
    <xf numFmtId="0" fontId="16" fillId="3" borderId="0" xfId="3" applyFont="1" applyFill="1" applyBorder="1" applyAlignment="1">
      <alignment horizontal="centerContinuous" vertical="center"/>
    </xf>
    <xf numFmtId="0" fontId="9" fillId="0" borderId="2" xfId="0" applyFont="1" applyBorder="1"/>
    <xf numFmtId="0" fontId="17" fillId="0" borderId="2" xfId="0" applyFont="1" applyBorder="1" applyAlignment="1"/>
    <xf numFmtId="0" fontId="0" fillId="0" borderId="0" xfId="0" applyBorder="1" applyAlignment="1">
      <alignment vertical="top"/>
    </xf>
    <xf numFmtId="0" fontId="0" fillId="0" borderId="0" xfId="0" applyBorder="1" applyAlignment="1">
      <alignment vertical="top" wrapText="1"/>
    </xf>
    <xf numFmtId="0" fontId="20" fillId="0" borderId="0" xfId="0" applyFont="1" applyBorder="1" applyAlignment="1">
      <alignment horizontal="left"/>
    </xf>
    <xf numFmtId="165" fontId="19" fillId="0" borderId="0" xfId="0" applyNumberFormat="1" applyFont="1" applyAlignment="1">
      <alignment horizontal="center" vertical="center"/>
    </xf>
    <xf numFmtId="165" fontId="19" fillId="0" borderId="0" xfId="0" applyNumberFormat="1" applyFont="1" applyBorder="1" applyAlignment="1">
      <alignment horizontal="center" vertical="center"/>
    </xf>
    <xf numFmtId="165" fontId="19" fillId="0" borderId="2" xfId="0" applyNumberFormat="1" applyFont="1" applyBorder="1" applyAlignment="1">
      <alignment horizontal="center" vertical="center"/>
    </xf>
    <xf numFmtId="0" fontId="20" fillId="0" borderId="0" xfId="0" applyFont="1" applyAlignment="1">
      <alignment horizontal="left"/>
    </xf>
    <xf numFmtId="165" fontId="21" fillId="0" borderId="2" xfId="0" applyNumberFormat="1" applyFont="1" applyBorder="1" applyAlignment="1">
      <alignment horizontal="left" vertical="top"/>
    </xf>
    <xf numFmtId="165" fontId="22" fillId="0" borderId="2" xfId="0" applyNumberFormat="1" applyFont="1" applyBorder="1" applyAlignment="1">
      <alignment vertical="top"/>
    </xf>
    <xf numFmtId="0" fontId="23" fillId="0" borderId="2" xfId="0" applyFont="1" applyBorder="1" applyAlignment="1">
      <alignment vertical="top" wrapText="1"/>
    </xf>
    <xf numFmtId="14" fontId="19" fillId="0" borderId="2" xfId="0" applyNumberFormat="1" applyFont="1" applyBorder="1" applyAlignment="1">
      <alignment horizontal="left" vertical="top"/>
    </xf>
    <xf numFmtId="0" fontId="20" fillId="0" borderId="0" xfId="0" applyFont="1" applyAlignment="1">
      <alignment horizontal="center"/>
    </xf>
    <xf numFmtId="0" fontId="24" fillId="5" borderId="6" xfId="3" applyFont="1" applyBorder="1" applyAlignment="1">
      <alignment horizontal="left"/>
    </xf>
    <xf numFmtId="0" fontId="24" fillId="5" borderId="6" xfId="3" applyFont="1" applyBorder="1" applyAlignment="1"/>
    <xf numFmtId="0" fontId="24" fillId="5" borderId="6" xfId="3" applyFont="1" applyBorder="1" applyAlignment="1">
      <alignment horizontal="center" vertical="center"/>
    </xf>
    <xf numFmtId="0" fontId="0" fillId="0" borderId="12" xfId="0" applyBorder="1"/>
    <xf numFmtId="0" fontId="0" fillId="0" borderId="13" xfId="0" applyBorder="1"/>
    <xf numFmtId="0" fontId="25" fillId="0" borderId="0" xfId="0" applyFont="1"/>
    <xf numFmtId="14" fontId="26" fillId="4" borderId="7" xfId="2" applyNumberFormat="1" applyFont="1" applyBorder="1" applyAlignment="1">
      <alignment horizontal="left"/>
    </xf>
    <xf numFmtId="165" fontId="26" fillId="4" borderId="8" xfId="2" applyNumberFormat="1" applyFont="1" applyBorder="1" applyAlignment="1">
      <alignment horizontal="left"/>
    </xf>
    <xf numFmtId="165" fontId="27" fillId="4" borderId="8" xfId="2" applyNumberFormat="1" applyFont="1" applyBorder="1" applyAlignment="1">
      <alignment horizontal="left" vertical="top"/>
    </xf>
    <xf numFmtId="14" fontId="26" fillId="8" borderId="3" xfId="6" applyNumberFormat="1" applyFont="1" applyBorder="1" applyAlignment="1">
      <alignment horizontal="left"/>
    </xf>
    <xf numFmtId="165" fontId="26" fillId="8" borderId="0" xfId="6" applyNumberFormat="1" applyFont="1" applyBorder="1" applyAlignment="1">
      <alignment horizontal="left"/>
    </xf>
    <xf numFmtId="165" fontId="26" fillId="8" borderId="0" xfId="6" applyNumberFormat="1" applyFont="1" applyBorder="1" applyAlignment="1">
      <alignment horizontal="left" vertical="top"/>
    </xf>
    <xf numFmtId="0" fontId="0" fillId="0" borderId="15" xfId="0" applyBorder="1"/>
    <xf numFmtId="0" fontId="0" fillId="0" borderId="11" xfId="0" applyBorder="1"/>
    <xf numFmtId="14" fontId="26" fillId="4" borderId="10" xfId="2" applyNumberFormat="1" applyFont="1" applyBorder="1" applyAlignment="1">
      <alignment horizontal="left"/>
    </xf>
    <xf numFmtId="165" fontId="26" fillId="4" borderId="2" xfId="2" applyNumberFormat="1" applyFont="1" applyBorder="1" applyAlignment="1">
      <alignment horizontal="left"/>
    </xf>
    <xf numFmtId="165" fontId="26" fillId="4" borderId="2" xfId="2" applyNumberFormat="1" applyFont="1" applyBorder="1" applyAlignment="1">
      <alignment horizontal="left" vertical="top"/>
    </xf>
    <xf numFmtId="14" fontId="26" fillId="9" borderId="7" xfId="3" applyNumberFormat="1" applyFont="1" applyFill="1" applyBorder="1" applyAlignment="1">
      <alignment horizontal="left"/>
    </xf>
    <xf numFmtId="165" fontId="26" fillId="9" borderId="8" xfId="3" applyNumberFormat="1" applyFont="1" applyFill="1" applyBorder="1" applyAlignment="1">
      <alignment horizontal="left"/>
    </xf>
    <xf numFmtId="165" fontId="26" fillId="9" borderId="8" xfId="2" applyNumberFormat="1" applyFont="1" applyFill="1" applyBorder="1" applyAlignment="1">
      <alignment horizontal="left" vertical="top"/>
    </xf>
    <xf numFmtId="14" fontId="19" fillId="9" borderId="10" xfId="3" applyNumberFormat="1" applyFont="1" applyFill="1" applyBorder="1" applyAlignment="1">
      <alignment horizontal="left"/>
    </xf>
    <xf numFmtId="165" fontId="19" fillId="9" borderId="2" xfId="3" applyNumberFormat="1" applyFont="1" applyFill="1" applyBorder="1" applyAlignment="1">
      <alignment horizontal="left"/>
    </xf>
    <xf numFmtId="165" fontId="18" fillId="9" borderId="2" xfId="2" applyNumberFormat="1" applyFont="1" applyFill="1" applyBorder="1" applyAlignment="1">
      <alignment horizontal="left" vertical="top"/>
    </xf>
    <xf numFmtId="14" fontId="26" fillId="8" borderId="7" xfId="6" applyNumberFormat="1" applyFont="1" applyBorder="1" applyAlignment="1">
      <alignment horizontal="left"/>
    </xf>
    <xf numFmtId="165" fontId="26" fillId="8" borderId="8" xfId="6" applyNumberFormat="1" applyFont="1" applyBorder="1" applyAlignment="1">
      <alignment horizontal="left"/>
    </xf>
    <xf numFmtId="165" fontId="26" fillId="8" borderId="8" xfId="6" applyNumberFormat="1" applyFont="1" applyBorder="1" applyAlignment="1">
      <alignment horizontal="left" vertical="top"/>
    </xf>
    <xf numFmtId="14" fontId="4" fillId="8" borderId="10" xfId="6" applyNumberFormat="1" applyBorder="1" applyAlignment="1">
      <alignment horizontal="left"/>
    </xf>
    <xf numFmtId="165" fontId="4" fillId="8" borderId="2" xfId="6" applyNumberFormat="1" applyBorder="1" applyAlignment="1">
      <alignment horizontal="left"/>
    </xf>
    <xf numFmtId="165" fontId="4" fillId="8" borderId="2" xfId="6" applyNumberFormat="1" applyBorder="1" applyAlignment="1">
      <alignment horizontal="left" vertical="top"/>
    </xf>
    <xf numFmtId="20" fontId="4" fillId="8" borderId="2" xfId="6" applyNumberFormat="1" applyBorder="1" applyAlignment="1">
      <alignment horizontal="left"/>
    </xf>
    <xf numFmtId="0" fontId="20" fillId="0" borderId="16" xfId="0" applyFont="1" applyBorder="1" applyAlignment="1">
      <alignment horizontal="center"/>
    </xf>
    <xf numFmtId="0" fontId="19" fillId="4" borderId="17" xfId="2" applyFont="1" applyBorder="1" applyAlignment="1">
      <alignment horizontal="center" vertical="top"/>
    </xf>
    <xf numFmtId="0" fontId="19" fillId="7" borderId="17" xfId="5" applyFont="1" applyBorder="1" applyAlignment="1">
      <alignment horizontal="center" vertical="top"/>
    </xf>
    <xf numFmtId="0" fontId="19" fillId="9" borderId="17" xfId="4" applyFont="1" applyFill="1" applyBorder="1" applyAlignment="1">
      <alignment horizontal="center" vertical="top"/>
    </xf>
    <xf numFmtId="0" fontId="19" fillId="8" borderId="18" xfId="6" applyFont="1" applyBorder="1" applyAlignment="1">
      <alignment horizontal="center" vertical="center"/>
    </xf>
    <xf numFmtId="0" fontId="31" fillId="0" borderId="0" xfId="0" applyFont="1" applyAlignment="1">
      <alignment horizontal="left"/>
    </xf>
    <xf numFmtId="168" fontId="35" fillId="0" borderId="0" xfId="0" applyNumberFormat="1" applyFont="1"/>
    <xf numFmtId="0" fontId="35" fillId="0" borderId="0" xfId="0" applyFont="1"/>
    <xf numFmtId="168" fontId="35" fillId="0" borderId="19" xfId="0" applyNumberFormat="1" applyFont="1" applyBorder="1"/>
    <xf numFmtId="0" fontId="35" fillId="0" borderId="19" xfId="0" applyFont="1" applyBorder="1"/>
    <xf numFmtId="0" fontId="31" fillId="0" borderId="19" xfId="0" applyFont="1" applyBorder="1" applyAlignment="1">
      <alignment horizontal="left"/>
    </xf>
    <xf numFmtId="169" fontId="21" fillId="0" borderId="2" xfId="0" applyNumberFormat="1" applyFont="1" applyBorder="1" applyAlignment="1">
      <alignment horizontal="left" vertical="top" wrapText="1"/>
    </xf>
    <xf numFmtId="165" fontId="26" fillId="9" borderId="8" xfId="2" applyNumberFormat="1" applyFont="1" applyFill="1" applyBorder="1" applyAlignment="1">
      <alignment horizontal="left"/>
    </xf>
    <xf numFmtId="165" fontId="27" fillId="9" borderId="8" xfId="2" applyNumberFormat="1" applyFont="1" applyFill="1" applyBorder="1" applyAlignment="1">
      <alignment horizontal="left" vertical="top"/>
    </xf>
    <xf numFmtId="165" fontId="26" fillId="9" borderId="2" xfId="2" applyNumberFormat="1" applyFont="1" applyFill="1" applyBorder="1" applyAlignment="1">
      <alignment horizontal="left"/>
    </xf>
    <xf numFmtId="165" fontId="26" fillId="9" borderId="2" xfId="2" applyNumberFormat="1" applyFont="1" applyFill="1" applyBorder="1" applyAlignment="1">
      <alignment horizontal="left" vertical="top"/>
    </xf>
    <xf numFmtId="165" fontId="26" fillId="16" borderId="8" xfId="6" applyNumberFormat="1" applyFont="1" applyFill="1" applyBorder="1" applyAlignment="1">
      <alignment horizontal="left"/>
    </xf>
    <xf numFmtId="165" fontId="26" fillId="16" borderId="8" xfId="6" applyNumberFormat="1" applyFont="1" applyFill="1" applyBorder="1" applyAlignment="1">
      <alignment horizontal="left" vertical="top"/>
    </xf>
    <xf numFmtId="165" fontId="4" fillId="16" borderId="2" xfId="6" applyNumberFormat="1" applyFill="1" applyBorder="1" applyAlignment="1">
      <alignment horizontal="left"/>
    </xf>
    <xf numFmtId="165" fontId="4" fillId="16" borderId="2" xfId="6" applyNumberFormat="1" applyFill="1" applyBorder="1" applyAlignment="1">
      <alignment horizontal="left" vertical="top"/>
    </xf>
    <xf numFmtId="165" fontId="26" fillId="9" borderId="8" xfId="6" applyNumberFormat="1" applyFont="1" applyFill="1" applyBorder="1" applyAlignment="1">
      <alignment horizontal="left"/>
    </xf>
    <xf numFmtId="165" fontId="26" fillId="9" borderId="8" xfId="6" applyNumberFormat="1" applyFont="1" applyFill="1" applyBorder="1" applyAlignment="1">
      <alignment horizontal="left" vertical="top"/>
    </xf>
    <xf numFmtId="165" fontId="4" fillId="9" borderId="2" xfId="6" applyNumberFormat="1" applyFill="1" applyBorder="1" applyAlignment="1">
      <alignment horizontal="left"/>
    </xf>
    <xf numFmtId="165" fontId="4" fillId="9" borderId="2" xfId="6" applyNumberFormat="1" applyFill="1" applyBorder="1" applyAlignment="1">
      <alignment horizontal="left" vertical="top"/>
    </xf>
    <xf numFmtId="165" fontId="26" fillId="9" borderId="0" xfId="6" applyNumberFormat="1" applyFont="1" applyFill="1" applyBorder="1" applyAlignment="1">
      <alignment horizontal="left"/>
    </xf>
    <xf numFmtId="165" fontId="26" fillId="9" borderId="0" xfId="6" applyNumberFormat="1" applyFont="1" applyFill="1" applyBorder="1" applyAlignment="1">
      <alignment horizontal="left" vertical="top"/>
    </xf>
    <xf numFmtId="20" fontId="4" fillId="9" borderId="2" xfId="6" applyNumberFormat="1" applyFill="1" applyBorder="1" applyAlignment="1">
      <alignment horizontal="left"/>
    </xf>
    <xf numFmtId="0" fontId="0" fillId="0" borderId="20" xfId="0" applyBorder="1"/>
    <xf numFmtId="0" fontId="0" fillId="0" borderId="21" xfId="0" applyBorder="1"/>
    <xf numFmtId="0" fontId="0" fillId="0" borderId="22" xfId="0" applyBorder="1"/>
    <xf numFmtId="170" fontId="19" fillId="0" borderId="2" xfId="0" applyNumberFormat="1" applyFont="1" applyBorder="1" applyAlignment="1">
      <alignment horizontal="left" vertical="top"/>
    </xf>
    <xf numFmtId="170" fontId="26" fillId="9" borderId="7" xfId="2" applyNumberFormat="1" applyFont="1" applyFill="1" applyBorder="1" applyAlignment="1">
      <alignment horizontal="left"/>
    </xf>
    <xf numFmtId="170" fontId="26" fillId="9" borderId="10" xfId="2" applyNumberFormat="1" applyFont="1" applyFill="1" applyBorder="1" applyAlignment="1">
      <alignment horizontal="left"/>
    </xf>
    <xf numFmtId="170" fontId="26" fillId="9" borderId="7" xfId="3" applyNumberFormat="1" applyFont="1" applyFill="1" applyBorder="1" applyAlignment="1">
      <alignment horizontal="left"/>
    </xf>
    <xf numFmtId="170" fontId="19" fillId="9" borderId="10" xfId="3" applyNumberFormat="1" applyFont="1" applyFill="1" applyBorder="1" applyAlignment="1">
      <alignment horizontal="left"/>
    </xf>
    <xf numFmtId="170" fontId="26" fillId="16" borderId="7" xfId="6" applyNumberFormat="1" applyFont="1" applyFill="1" applyBorder="1" applyAlignment="1">
      <alignment horizontal="left"/>
    </xf>
    <xf numFmtId="170" fontId="4" fillId="16" borderId="10" xfId="6" applyNumberFormat="1" applyFill="1" applyBorder="1" applyAlignment="1">
      <alignment horizontal="left"/>
    </xf>
    <xf numFmtId="170" fontId="26" fillId="8" borderId="3" xfId="6" applyNumberFormat="1" applyFont="1" applyBorder="1" applyAlignment="1">
      <alignment horizontal="left"/>
    </xf>
    <xf numFmtId="170" fontId="4" fillId="8" borderId="10" xfId="6" applyNumberFormat="1" applyBorder="1" applyAlignment="1">
      <alignment horizontal="left"/>
    </xf>
    <xf numFmtId="170" fontId="26" fillId="9" borderId="7" xfId="6" applyNumberFormat="1" applyFont="1" applyFill="1" applyBorder="1" applyAlignment="1">
      <alignment horizontal="left"/>
    </xf>
    <xf numFmtId="170" fontId="4" fillId="9" borderId="10" xfId="6" applyNumberFormat="1" applyFill="1" applyBorder="1" applyAlignment="1">
      <alignment horizontal="left"/>
    </xf>
    <xf numFmtId="170" fontId="26" fillId="9" borderId="3" xfId="6" applyNumberFormat="1" applyFont="1" applyFill="1" applyBorder="1" applyAlignment="1">
      <alignment horizontal="left"/>
    </xf>
    <xf numFmtId="170" fontId="4" fillId="4" borderId="10" xfId="2" applyNumberFormat="1" applyBorder="1" applyAlignment="1">
      <alignment horizontal="left"/>
    </xf>
    <xf numFmtId="165" fontId="4" fillId="4" borderId="2" xfId="2" applyNumberFormat="1" applyBorder="1" applyAlignment="1">
      <alignment horizontal="left"/>
    </xf>
    <xf numFmtId="165" fontId="4" fillId="4" borderId="2" xfId="2" applyNumberFormat="1" applyBorder="1" applyAlignment="1">
      <alignment horizontal="left" vertical="top"/>
    </xf>
    <xf numFmtId="170" fontId="26" fillId="4" borderId="7" xfId="2" applyNumberFormat="1" applyFont="1" applyBorder="1" applyAlignment="1">
      <alignment horizontal="left"/>
    </xf>
    <xf numFmtId="165" fontId="26" fillId="4" borderId="8" xfId="2" applyNumberFormat="1" applyFont="1" applyBorder="1" applyAlignment="1">
      <alignment horizontal="left" vertical="top"/>
    </xf>
    <xf numFmtId="0" fontId="0" fillId="0" borderId="9" xfId="0" applyBorder="1"/>
    <xf numFmtId="0" fontId="0" fillId="0" borderId="4" xfId="0" applyBorder="1"/>
    <xf numFmtId="0" fontId="0" fillId="0" borderId="5" xfId="0" applyBorder="1"/>
    <xf numFmtId="0" fontId="0" fillId="0" borderId="2" xfId="0" applyBorder="1"/>
    <xf numFmtId="0" fontId="20" fillId="0" borderId="2" xfId="0" applyFont="1" applyBorder="1" applyAlignment="1">
      <alignment horizontal="left"/>
    </xf>
    <xf numFmtId="170" fontId="4" fillId="9" borderId="10" xfId="2" applyNumberFormat="1" applyFill="1" applyBorder="1" applyAlignment="1">
      <alignment horizontal="left"/>
    </xf>
    <xf numFmtId="165" fontId="4" fillId="9" borderId="2" xfId="2" applyNumberFormat="1" applyFill="1" applyBorder="1" applyAlignment="1">
      <alignment horizontal="left"/>
    </xf>
    <xf numFmtId="165" fontId="4" fillId="9" borderId="2" xfId="2" applyNumberFormat="1" applyFill="1" applyBorder="1" applyAlignment="1">
      <alignment horizontal="left" vertical="top"/>
    </xf>
    <xf numFmtId="170" fontId="26" fillId="7" borderId="7" xfId="5" applyNumberFormat="1" applyFont="1" applyBorder="1" applyAlignment="1">
      <alignment horizontal="left"/>
    </xf>
    <xf numFmtId="165" fontId="26" fillId="7" borderId="8" xfId="5" applyNumberFormat="1" applyFont="1" applyBorder="1" applyAlignment="1">
      <alignment horizontal="left"/>
    </xf>
    <xf numFmtId="165" fontId="26" fillId="7" borderId="8" xfId="5" applyNumberFormat="1" applyFont="1" applyBorder="1" applyAlignment="1">
      <alignment horizontal="left" vertical="top"/>
    </xf>
    <xf numFmtId="170" fontId="26" fillId="7" borderId="10" xfId="5" applyNumberFormat="1" applyFont="1" applyBorder="1" applyAlignment="1">
      <alignment horizontal="left"/>
    </xf>
    <xf numFmtId="165" fontId="26" fillId="7" borderId="2" xfId="5" applyNumberFormat="1" applyFont="1" applyBorder="1" applyAlignment="1">
      <alignment horizontal="left"/>
    </xf>
    <xf numFmtId="165" fontId="26" fillId="7" borderId="2" xfId="5" applyNumberFormat="1" applyFont="1" applyBorder="1" applyAlignment="1">
      <alignment horizontal="left" vertical="top"/>
    </xf>
    <xf numFmtId="20" fontId="4" fillId="4" borderId="2" xfId="2" applyNumberFormat="1" applyBorder="1" applyAlignment="1">
      <alignment horizontal="left"/>
    </xf>
    <xf numFmtId="170" fontId="26" fillId="4" borderId="3" xfId="2" applyNumberFormat="1" applyFont="1" applyBorder="1" applyAlignment="1">
      <alignment horizontal="left"/>
    </xf>
    <xf numFmtId="165" fontId="26" fillId="4" borderId="0" xfId="2" applyNumberFormat="1" applyFont="1" applyBorder="1" applyAlignment="1">
      <alignment horizontal="left"/>
    </xf>
    <xf numFmtId="165" fontId="26" fillId="4" borderId="0" xfId="2" applyNumberFormat="1" applyFont="1" applyBorder="1" applyAlignment="1">
      <alignment horizontal="left" vertical="top"/>
    </xf>
    <xf numFmtId="170" fontId="4" fillId="7" borderId="10" xfId="5" applyNumberFormat="1" applyBorder="1" applyAlignment="1">
      <alignment horizontal="left"/>
    </xf>
    <xf numFmtId="165" fontId="4" fillId="7" borderId="2" xfId="5" applyNumberFormat="1" applyBorder="1" applyAlignment="1">
      <alignment horizontal="left"/>
    </xf>
    <xf numFmtId="165" fontId="4" fillId="7" borderId="2" xfId="5" applyNumberFormat="1" applyBorder="1" applyAlignment="1">
      <alignment horizontal="left" vertical="top"/>
    </xf>
    <xf numFmtId="20" fontId="4" fillId="7" borderId="2" xfId="5" applyNumberFormat="1" applyBorder="1" applyAlignment="1">
      <alignment horizontal="left"/>
    </xf>
    <xf numFmtId="170" fontId="26" fillId="7" borderId="3" xfId="5" applyNumberFormat="1" applyFont="1" applyBorder="1" applyAlignment="1">
      <alignment horizontal="left"/>
    </xf>
    <xf numFmtId="165" fontId="26" fillId="7" borderId="0" xfId="5" applyNumberFormat="1" applyFont="1" applyBorder="1" applyAlignment="1">
      <alignment horizontal="left"/>
    </xf>
    <xf numFmtId="165" fontId="26" fillId="7" borderId="0" xfId="5" applyNumberFormat="1" applyFont="1" applyBorder="1" applyAlignment="1">
      <alignment horizontal="left" vertical="top"/>
    </xf>
    <xf numFmtId="170" fontId="26" fillId="9" borderId="3" xfId="5" applyNumberFormat="1" applyFont="1" applyFill="1" applyBorder="1" applyAlignment="1">
      <alignment horizontal="left"/>
    </xf>
    <xf numFmtId="165" fontId="26" fillId="9" borderId="0" xfId="5" applyNumberFormat="1" applyFont="1" applyFill="1" applyBorder="1" applyAlignment="1">
      <alignment horizontal="left"/>
    </xf>
    <xf numFmtId="165" fontId="26" fillId="9" borderId="0" xfId="5" applyNumberFormat="1" applyFont="1" applyFill="1" applyBorder="1" applyAlignment="1">
      <alignment horizontal="left" vertical="top"/>
    </xf>
    <xf numFmtId="170" fontId="4" fillId="9" borderId="10" xfId="5" applyNumberFormat="1" applyFill="1" applyBorder="1" applyAlignment="1">
      <alignment horizontal="left"/>
    </xf>
    <xf numFmtId="20" fontId="4" fillId="9" borderId="2" xfId="5" applyNumberFormat="1" applyFill="1" applyBorder="1" applyAlignment="1">
      <alignment horizontal="left"/>
    </xf>
    <xf numFmtId="165" fontId="4" fillId="9" borderId="2" xfId="5" applyNumberFormat="1" applyFill="1" applyBorder="1" applyAlignment="1">
      <alignment horizontal="left" vertical="top"/>
    </xf>
    <xf numFmtId="170" fontId="26" fillId="16" borderId="7" xfId="2" applyNumberFormat="1" applyFont="1" applyFill="1" applyBorder="1" applyAlignment="1">
      <alignment horizontal="left"/>
    </xf>
    <xf numFmtId="165" fontId="26" fillId="16" borderId="8" xfId="2" applyNumberFormat="1" applyFont="1" applyFill="1" applyBorder="1" applyAlignment="1">
      <alignment horizontal="left"/>
    </xf>
    <xf numFmtId="165" fontId="26" fillId="16" borderId="8" xfId="2" applyNumberFormat="1" applyFont="1" applyFill="1" applyBorder="1" applyAlignment="1">
      <alignment horizontal="left" vertical="top"/>
    </xf>
    <xf numFmtId="170" fontId="4" fillId="16" borderId="10" xfId="2" applyNumberFormat="1" applyFill="1" applyBorder="1" applyAlignment="1">
      <alignment horizontal="left"/>
    </xf>
    <xf numFmtId="165" fontId="4" fillId="16" borderId="2" xfId="2" applyNumberFormat="1" applyFill="1" applyBorder="1" applyAlignment="1">
      <alignment horizontal="left"/>
    </xf>
    <xf numFmtId="165" fontId="4" fillId="16" borderId="2" xfId="2" applyNumberFormat="1" applyFill="1" applyBorder="1" applyAlignment="1">
      <alignment horizontal="left" vertical="top"/>
    </xf>
    <xf numFmtId="170" fontId="26" fillId="9" borderId="7" xfId="5" applyNumberFormat="1" applyFont="1" applyFill="1" applyBorder="1" applyAlignment="1">
      <alignment horizontal="left"/>
    </xf>
    <xf numFmtId="165" fontId="26" fillId="9" borderId="8" xfId="5" applyNumberFormat="1" applyFont="1" applyFill="1" applyBorder="1" applyAlignment="1">
      <alignment horizontal="left"/>
    </xf>
    <xf numFmtId="165" fontId="26" fillId="9" borderId="8" xfId="5" applyNumberFormat="1" applyFont="1" applyFill="1" applyBorder="1" applyAlignment="1">
      <alignment horizontal="left" vertical="top"/>
    </xf>
    <xf numFmtId="170" fontId="26" fillId="9" borderId="10" xfId="5" applyNumberFormat="1" applyFont="1" applyFill="1" applyBorder="1" applyAlignment="1">
      <alignment horizontal="left"/>
    </xf>
    <xf numFmtId="165" fontId="26" fillId="9" borderId="2" xfId="5" applyNumberFormat="1" applyFont="1" applyFill="1" applyBorder="1" applyAlignment="1">
      <alignment horizontal="left"/>
    </xf>
    <xf numFmtId="165" fontId="26" fillId="9" borderId="2" xfId="5" applyNumberFormat="1" applyFont="1" applyFill="1" applyBorder="1" applyAlignment="1">
      <alignment horizontal="left" vertical="top"/>
    </xf>
    <xf numFmtId="170" fontId="26" fillId="16" borderId="10" xfId="6" applyNumberFormat="1" applyFont="1" applyFill="1" applyBorder="1" applyAlignment="1">
      <alignment horizontal="left"/>
    </xf>
    <xf numFmtId="165" fontId="26" fillId="16" borderId="2" xfId="6" applyNumberFormat="1" applyFont="1" applyFill="1" applyBorder="1" applyAlignment="1">
      <alignment horizontal="left"/>
    </xf>
    <xf numFmtId="165" fontId="26" fillId="16" borderId="2" xfId="6" applyNumberFormat="1" applyFont="1" applyFill="1" applyBorder="1" applyAlignment="1">
      <alignment horizontal="left" vertical="top"/>
    </xf>
    <xf numFmtId="0" fontId="4" fillId="9" borderId="9" xfId="6" applyFill="1" applyBorder="1" applyAlignment="1">
      <alignment horizontal="left" vertical="top" wrapText="1"/>
    </xf>
    <xf numFmtId="0" fontId="4" fillId="9" borderId="5" xfId="6" applyFill="1" applyBorder="1" applyAlignment="1">
      <alignment horizontal="left" vertical="top" wrapText="1"/>
    </xf>
    <xf numFmtId="165" fontId="4" fillId="9" borderId="2" xfId="5" applyNumberFormat="1" applyFill="1" applyBorder="1" applyAlignment="1">
      <alignment horizontal="left"/>
    </xf>
    <xf numFmtId="170" fontId="26" fillId="17" borderId="7" xfId="5" applyNumberFormat="1" applyFont="1" applyFill="1" applyBorder="1" applyAlignment="1">
      <alignment horizontal="left"/>
    </xf>
    <xf numFmtId="165" fontId="26" fillId="17" borderId="8" xfId="5" applyNumberFormat="1" applyFont="1" applyFill="1" applyBorder="1" applyAlignment="1">
      <alignment horizontal="left"/>
    </xf>
    <xf numFmtId="165" fontId="26" fillId="17" borderId="8" xfId="5" applyNumberFormat="1" applyFont="1" applyFill="1" applyBorder="1" applyAlignment="1">
      <alignment horizontal="left" vertical="top"/>
    </xf>
    <xf numFmtId="170" fontId="4" fillId="17" borderId="10" xfId="5" applyNumberFormat="1" applyFill="1" applyBorder="1" applyAlignment="1">
      <alignment horizontal="left"/>
    </xf>
    <xf numFmtId="165" fontId="4" fillId="17" borderId="2" xfId="5" applyNumberFormat="1" applyFill="1" applyBorder="1" applyAlignment="1">
      <alignment horizontal="left"/>
    </xf>
    <xf numFmtId="165" fontId="4" fillId="17" borderId="2" xfId="5" applyNumberFormat="1" applyFill="1" applyBorder="1" applyAlignment="1">
      <alignment horizontal="left" vertical="top"/>
    </xf>
    <xf numFmtId="170" fontId="26" fillId="17" borderId="7" xfId="5" applyNumberFormat="1" applyFont="1" applyFill="1" applyBorder="1" applyAlignment="1">
      <alignment horizontal="left" vertical="top"/>
    </xf>
    <xf numFmtId="170" fontId="26" fillId="7" borderId="7" xfId="5" applyNumberFormat="1" applyFont="1" applyBorder="1" applyAlignment="1">
      <alignment horizontal="left" vertical="top"/>
    </xf>
    <xf numFmtId="170" fontId="26" fillId="9" borderId="7" xfId="5" applyNumberFormat="1" applyFont="1" applyFill="1" applyBorder="1" applyAlignment="1">
      <alignment horizontal="left" vertical="top"/>
    </xf>
    <xf numFmtId="0" fontId="26" fillId="9" borderId="9" xfId="5" applyFont="1" applyFill="1" applyBorder="1" applyAlignment="1">
      <alignment horizontal="left" vertical="top" wrapText="1"/>
    </xf>
    <xf numFmtId="0" fontId="26" fillId="9" borderId="2" xfId="5" applyFont="1" applyFill="1" applyBorder="1" applyAlignment="1">
      <alignment horizontal="left" vertical="top" wrapText="1"/>
    </xf>
    <xf numFmtId="0" fontId="26" fillId="9" borderId="5" xfId="5" applyFont="1" applyFill="1" applyBorder="1" applyAlignment="1">
      <alignment horizontal="left" vertical="top" wrapText="1"/>
    </xf>
    <xf numFmtId="170" fontId="26" fillId="8" borderId="7" xfId="6" applyNumberFormat="1" applyFont="1" applyBorder="1" applyAlignment="1">
      <alignment horizontal="left" vertical="top"/>
    </xf>
    <xf numFmtId="165" fontId="26" fillId="18" borderId="2" xfId="2" applyNumberFormat="1" applyFont="1" applyFill="1" applyBorder="1" applyAlignment="1">
      <alignment horizontal="left" vertical="top"/>
    </xf>
    <xf numFmtId="165" fontId="26" fillId="18" borderId="8" xfId="5" applyNumberFormat="1" applyFont="1" applyFill="1" applyBorder="1" applyAlignment="1">
      <alignment horizontal="left" vertical="top"/>
    </xf>
    <xf numFmtId="170" fontId="26" fillId="8" borderId="7" xfId="6" applyNumberFormat="1" applyFont="1" applyBorder="1" applyAlignment="1">
      <alignment horizontal="left"/>
    </xf>
    <xf numFmtId="170" fontId="26" fillId="8" borderId="10" xfId="6" applyNumberFormat="1" applyFont="1" applyBorder="1" applyAlignment="1">
      <alignment horizontal="left"/>
    </xf>
    <xf numFmtId="165" fontId="26" fillId="8" borderId="2" xfId="6" applyNumberFormat="1" applyFont="1" applyBorder="1" applyAlignment="1">
      <alignment horizontal="left"/>
    </xf>
    <xf numFmtId="165" fontId="26" fillId="8" borderId="2" xfId="6" applyNumberFormat="1" applyFont="1" applyBorder="1" applyAlignment="1">
      <alignment horizontal="left" vertical="top"/>
    </xf>
    <xf numFmtId="170" fontId="26" fillId="16" borderId="7" xfId="6" applyNumberFormat="1" applyFont="1" applyFill="1" applyBorder="1" applyAlignment="1">
      <alignment horizontal="left" vertical="top"/>
    </xf>
    <xf numFmtId="170" fontId="26" fillId="18" borderId="7" xfId="2" applyNumberFormat="1" applyFont="1" applyFill="1" applyBorder="1" applyAlignment="1">
      <alignment horizontal="left"/>
    </xf>
    <xf numFmtId="165" fontId="26" fillId="18" borderId="8" xfId="2" applyNumberFormat="1" applyFont="1" applyFill="1" applyBorder="1" applyAlignment="1">
      <alignment horizontal="left"/>
    </xf>
    <xf numFmtId="170" fontId="26" fillId="18" borderId="10" xfId="2" applyNumberFormat="1" applyFont="1" applyFill="1" applyBorder="1" applyAlignment="1">
      <alignment horizontal="left"/>
    </xf>
    <xf numFmtId="165" fontId="26" fillId="18" borderId="2" xfId="2" applyNumberFormat="1" applyFont="1" applyFill="1" applyBorder="1" applyAlignment="1">
      <alignment horizontal="left"/>
    </xf>
    <xf numFmtId="0" fontId="19" fillId="18" borderId="17" xfId="4" applyFont="1" applyFill="1" applyBorder="1" applyAlignment="1">
      <alignment horizontal="center" vertical="top"/>
    </xf>
    <xf numFmtId="170" fontId="26" fillId="18" borderId="7" xfId="5" applyNumberFormat="1" applyFont="1" applyFill="1" applyBorder="1" applyAlignment="1">
      <alignment horizontal="left"/>
    </xf>
    <xf numFmtId="165" fontId="26" fillId="18" borderId="8" xfId="5" applyNumberFormat="1" applyFont="1" applyFill="1" applyBorder="1" applyAlignment="1">
      <alignment horizontal="left"/>
    </xf>
    <xf numFmtId="170" fontId="4" fillId="18" borderId="10" xfId="5" applyNumberFormat="1" applyFill="1" applyBorder="1" applyAlignment="1">
      <alignment horizontal="left"/>
    </xf>
    <xf numFmtId="165" fontId="4" fillId="18" borderId="2" xfId="5" applyNumberFormat="1" applyFill="1" applyBorder="1" applyAlignment="1">
      <alignment horizontal="left"/>
    </xf>
    <xf numFmtId="165" fontId="4" fillId="18" borderId="2" xfId="5" applyNumberFormat="1" applyFill="1" applyBorder="1" applyAlignment="1">
      <alignment horizontal="left" vertical="top"/>
    </xf>
    <xf numFmtId="170" fontId="26" fillId="18" borderId="7" xfId="6" applyNumberFormat="1" applyFont="1" applyFill="1" applyBorder="1" applyAlignment="1">
      <alignment horizontal="left"/>
    </xf>
    <xf numFmtId="165" fontId="26" fillId="18" borderId="8" xfId="6" applyNumberFormat="1" applyFont="1" applyFill="1" applyBorder="1" applyAlignment="1">
      <alignment horizontal="left"/>
    </xf>
    <xf numFmtId="165" fontId="26" fillId="18" borderId="8" xfId="6" applyNumberFormat="1" applyFont="1" applyFill="1" applyBorder="1" applyAlignment="1">
      <alignment horizontal="left" vertical="top"/>
    </xf>
    <xf numFmtId="170" fontId="26" fillId="18" borderId="10" xfId="6" applyNumberFormat="1" applyFont="1" applyFill="1" applyBorder="1" applyAlignment="1">
      <alignment horizontal="left"/>
    </xf>
    <xf numFmtId="165" fontId="26" fillId="18" borderId="2" xfId="6" applyNumberFormat="1" applyFont="1" applyFill="1" applyBorder="1" applyAlignment="1">
      <alignment horizontal="left"/>
    </xf>
    <xf numFmtId="165" fontId="26" fillId="18" borderId="2" xfId="6" applyNumberFormat="1" applyFont="1" applyFill="1" applyBorder="1" applyAlignment="1">
      <alignment horizontal="left" vertical="top"/>
    </xf>
    <xf numFmtId="170" fontId="26" fillId="18" borderId="7" xfId="6" applyNumberFormat="1" applyFont="1" applyFill="1" applyBorder="1" applyAlignment="1">
      <alignment horizontal="left" vertical="top"/>
    </xf>
    <xf numFmtId="170" fontId="4" fillId="18" borderId="10" xfId="6" applyNumberFormat="1" applyFill="1" applyBorder="1" applyAlignment="1">
      <alignment horizontal="left"/>
    </xf>
    <xf numFmtId="165" fontId="4" fillId="18" borderId="2" xfId="6" applyNumberFormat="1" applyFill="1" applyBorder="1" applyAlignment="1">
      <alignment horizontal="left"/>
    </xf>
    <xf numFmtId="165" fontId="4" fillId="18" borderId="2" xfId="6" applyNumberFormat="1" applyFill="1" applyBorder="1" applyAlignment="1">
      <alignment horizontal="left" vertical="top"/>
    </xf>
    <xf numFmtId="170" fontId="26" fillId="19" borderId="7" xfId="2" applyNumberFormat="1" applyFont="1" applyFill="1" applyBorder="1" applyAlignment="1">
      <alignment horizontal="left"/>
    </xf>
    <xf numFmtId="165" fontId="26" fillId="19" borderId="8" xfId="2" applyNumberFormat="1" applyFont="1" applyFill="1" applyBorder="1" applyAlignment="1">
      <alignment horizontal="left"/>
    </xf>
    <xf numFmtId="165" fontId="26" fillId="19" borderId="8" xfId="5" applyNumberFormat="1" applyFont="1" applyFill="1" applyBorder="1" applyAlignment="1">
      <alignment horizontal="left" vertical="top"/>
    </xf>
    <xf numFmtId="170" fontId="26" fillId="19" borderId="10" xfId="2" applyNumberFormat="1" applyFont="1" applyFill="1" applyBorder="1" applyAlignment="1">
      <alignment horizontal="left"/>
    </xf>
    <xf numFmtId="165" fontId="26" fillId="19" borderId="2" xfId="2" applyNumberFormat="1" applyFont="1" applyFill="1" applyBorder="1" applyAlignment="1">
      <alignment horizontal="left"/>
    </xf>
    <xf numFmtId="165" fontId="26" fillId="19" borderId="2" xfId="2" applyNumberFormat="1" applyFont="1" applyFill="1" applyBorder="1" applyAlignment="1">
      <alignment horizontal="left" vertical="top"/>
    </xf>
    <xf numFmtId="170" fontId="26" fillId="19" borderId="7" xfId="6" applyNumberFormat="1" applyFont="1" applyFill="1" applyBorder="1" applyAlignment="1">
      <alignment horizontal="left"/>
    </xf>
    <xf numFmtId="165" fontId="26" fillId="19" borderId="8" xfId="6" applyNumberFormat="1" applyFont="1" applyFill="1" applyBorder="1" applyAlignment="1">
      <alignment horizontal="left"/>
    </xf>
    <xf numFmtId="165" fontId="26" fillId="19" borderId="8" xfId="6" applyNumberFormat="1" applyFont="1" applyFill="1" applyBorder="1" applyAlignment="1">
      <alignment horizontal="left" vertical="top"/>
    </xf>
    <xf numFmtId="170" fontId="26" fillId="19" borderId="10" xfId="6" applyNumberFormat="1" applyFont="1" applyFill="1" applyBorder="1" applyAlignment="1">
      <alignment horizontal="left"/>
    </xf>
    <xf numFmtId="165" fontId="26" fillId="19" borderId="2" xfId="6" applyNumberFormat="1" applyFont="1" applyFill="1" applyBorder="1" applyAlignment="1">
      <alignment horizontal="left"/>
    </xf>
    <xf numFmtId="165" fontId="26" fillId="19" borderId="2" xfId="6" applyNumberFormat="1" applyFont="1" applyFill="1" applyBorder="1" applyAlignment="1">
      <alignment horizontal="left" vertical="top"/>
    </xf>
    <xf numFmtId="49" fontId="0" fillId="0" borderId="9" xfId="0" applyNumberFormat="1" applyBorder="1"/>
    <xf numFmtId="49" fontId="0" fillId="0" borderId="22" xfId="0" applyNumberFormat="1" applyBorder="1"/>
    <xf numFmtId="49" fontId="0" fillId="0" borderId="4" xfId="0" applyNumberFormat="1" applyBorder="1"/>
    <xf numFmtId="49" fontId="0" fillId="0" borderId="0" xfId="0" applyNumberFormat="1"/>
    <xf numFmtId="169" fontId="19" fillId="0" borderId="0" xfId="0" applyNumberFormat="1" applyFont="1" applyBorder="1" applyAlignment="1">
      <alignment horizontal="center" vertical="center"/>
    </xf>
    <xf numFmtId="169" fontId="19" fillId="0" borderId="2" xfId="0" applyNumberFormat="1" applyFont="1" applyBorder="1" applyAlignment="1">
      <alignment horizontal="center" vertical="center"/>
    </xf>
    <xf numFmtId="170" fontId="26" fillId="19" borderId="7" xfId="6" applyNumberFormat="1" applyFont="1" applyFill="1" applyBorder="1" applyAlignment="1">
      <alignment horizontal="left" vertical="top"/>
    </xf>
    <xf numFmtId="170" fontId="26" fillId="19" borderId="7" xfId="5" applyNumberFormat="1" applyFont="1" applyFill="1" applyBorder="1" applyAlignment="1">
      <alignment horizontal="left"/>
    </xf>
    <xf numFmtId="165" fontId="26" fillId="19" borderId="8" xfId="5" applyNumberFormat="1" applyFont="1" applyFill="1" applyBorder="1" applyAlignment="1">
      <alignment horizontal="left"/>
    </xf>
    <xf numFmtId="170" fontId="4" fillId="19" borderId="10" xfId="5" applyNumberFormat="1" applyFill="1" applyBorder="1" applyAlignment="1">
      <alignment horizontal="left"/>
    </xf>
    <xf numFmtId="165" fontId="4" fillId="19" borderId="2" xfId="5" applyNumberFormat="1" applyFill="1" applyBorder="1" applyAlignment="1">
      <alignment horizontal="left"/>
    </xf>
    <xf numFmtId="165" fontId="4" fillId="19" borderId="2" xfId="5" applyNumberFormat="1" applyFill="1" applyBorder="1" applyAlignment="1">
      <alignment horizontal="left" vertical="top"/>
    </xf>
    <xf numFmtId="170" fontId="36" fillId="19" borderId="7" xfId="5" applyNumberFormat="1" applyFont="1" applyFill="1" applyBorder="1" applyAlignment="1">
      <alignment horizontal="left"/>
    </xf>
    <xf numFmtId="165" fontId="36" fillId="19" borderId="8" xfId="5" applyNumberFormat="1" applyFont="1" applyFill="1" applyBorder="1" applyAlignment="1">
      <alignment horizontal="left"/>
    </xf>
    <xf numFmtId="165" fontId="36" fillId="19" borderId="8" xfId="5" applyNumberFormat="1" applyFont="1" applyFill="1" applyBorder="1" applyAlignment="1">
      <alignment horizontal="left" vertical="top"/>
    </xf>
    <xf numFmtId="0" fontId="3" fillId="0" borderId="2" xfId="0" applyFont="1" applyBorder="1" applyAlignment="1">
      <alignment vertical="top"/>
    </xf>
    <xf numFmtId="0" fontId="3" fillId="9" borderId="8" xfId="6" applyFont="1" applyFill="1" applyBorder="1" applyAlignment="1">
      <alignment horizontal="left" vertical="top" wrapText="1"/>
    </xf>
    <xf numFmtId="0" fontId="3" fillId="0" borderId="0" xfId="0" applyFont="1" applyBorder="1" applyAlignment="1">
      <alignment horizontal="left" vertical="top" wrapText="1"/>
    </xf>
    <xf numFmtId="0" fontId="4" fillId="8" borderId="5" xfId="6" applyBorder="1" applyAlignment="1">
      <alignment horizontal="left" vertical="top" wrapText="1"/>
    </xf>
    <xf numFmtId="0" fontId="4" fillId="9" borderId="2" xfId="6" applyFill="1" applyBorder="1" applyAlignment="1">
      <alignment horizontal="left" vertical="top" wrapText="1"/>
    </xf>
    <xf numFmtId="0" fontId="4" fillId="8" borderId="2" xfId="6" applyBorder="1" applyAlignment="1">
      <alignment horizontal="left" vertical="top" wrapText="1"/>
    </xf>
    <xf numFmtId="0" fontId="26" fillId="9" borderId="8" xfId="5" applyFont="1" applyFill="1" applyBorder="1" applyAlignment="1">
      <alignment horizontal="left" vertical="top" wrapText="1"/>
    </xf>
    <xf numFmtId="0" fontId="4" fillId="9" borderId="9" xfId="5" applyFill="1" applyBorder="1" applyAlignment="1">
      <alignment horizontal="left" vertical="top" wrapText="1"/>
    </xf>
    <xf numFmtId="0" fontId="4" fillId="9" borderId="2" xfId="5" applyFill="1" applyBorder="1" applyAlignment="1">
      <alignment horizontal="left" vertical="top" wrapText="1"/>
    </xf>
    <xf numFmtId="0" fontId="4" fillId="9" borderId="5" xfId="5" applyFill="1" applyBorder="1" applyAlignment="1">
      <alignment horizontal="left" vertical="top" wrapText="1"/>
    </xf>
    <xf numFmtId="0" fontId="3" fillId="7" borderId="8" xfId="5" applyFont="1" applyBorder="1" applyAlignment="1">
      <alignment horizontal="left" vertical="top" wrapText="1"/>
    </xf>
    <xf numFmtId="0" fontId="4" fillId="7" borderId="9" xfId="5" applyBorder="1" applyAlignment="1">
      <alignment horizontal="left" vertical="top" wrapText="1"/>
    </xf>
    <xf numFmtId="0" fontId="4" fillId="7" borderId="2" xfId="5" applyBorder="1" applyAlignment="1">
      <alignment horizontal="left" vertical="top" wrapText="1"/>
    </xf>
    <xf numFmtId="0" fontId="4" fillId="7" borderId="5" xfId="5" applyBorder="1" applyAlignment="1">
      <alignment horizontal="left" vertical="top" wrapText="1"/>
    </xf>
    <xf numFmtId="0" fontId="3" fillId="9" borderId="8" xfId="5" applyFont="1" applyFill="1" applyBorder="1" applyAlignment="1">
      <alignment horizontal="left" vertical="top" wrapText="1"/>
    </xf>
    <xf numFmtId="0" fontId="3" fillId="8" borderId="8" xfId="6" applyFont="1" applyBorder="1" applyAlignment="1">
      <alignment horizontal="left" vertical="top" wrapText="1"/>
    </xf>
    <xf numFmtId="0" fontId="4" fillId="8" borderId="9" xfId="6" applyBorder="1" applyAlignment="1">
      <alignment horizontal="left" vertical="top" wrapText="1"/>
    </xf>
    <xf numFmtId="170" fontId="2" fillId="19" borderId="10" xfId="5" applyNumberFormat="1" applyFont="1" applyFill="1" applyBorder="1" applyAlignment="1">
      <alignment horizontal="left"/>
    </xf>
    <xf numFmtId="165" fontId="2" fillId="19" borderId="2" xfId="5" applyNumberFormat="1" applyFont="1" applyFill="1" applyBorder="1" applyAlignment="1">
      <alignment horizontal="left"/>
    </xf>
    <xf numFmtId="165" fontId="2" fillId="19" borderId="2" xfId="5" applyNumberFormat="1" applyFont="1" applyFill="1" applyBorder="1" applyAlignment="1">
      <alignment horizontal="left" vertical="top"/>
    </xf>
    <xf numFmtId="0" fontId="32" fillId="0" borderId="19" xfId="0" applyFont="1" applyBorder="1" applyAlignment="1">
      <alignment horizontal="left"/>
    </xf>
    <xf numFmtId="0" fontId="31" fillId="11" borderId="0" xfId="8" applyFont="1" applyAlignment="1">
      <alignment horizontal="center"/>
    </xf>
    <xf numFmtId="165" fontId="33" fillId="0" borderId="0" xfId="0" applyNumberFormat="1" applyFont="1" applyAlignment="1">
      <alignment horizontal="center"/>
    </xf>
    <xf numFmtId="169" fontId="33" fillId="0" borderId="0" xfId="0" applyNumberFormat="1" applyFont="1" applyAlignment="1">
      <alignment horizontal="center"/>
    </xf>
    <xf numFmtId="0" fontId="30" fillId="0" borderId="0" xfId="0" applyFont="1" applyAlignment="1">
      <alignment horizontal="left" vertical="center"/>
    </xf>
    <xf numFmtId="0" fontId="30" fillId="0" borderId="0" xfId="0" applyFont="1" applyAlignment="1">
      <alignment horizontal="center" vertical="center" wrapText="1"/>
    </xf>
    <xf numFmtId="0" fontId="30" fillId="15" borderId="0" xfId="0" applyFont="1" applyFill="1" applyAlignment="1">
      <alignment horizontal="center" vertical="center"/>
    </xf>
    <xf numFmtId="0" fontId="30" fillId="0" borderId="0" xfId="0" applyFont="1" applyAlignment="1">
      <alignment horizontal="center" vertical="center"/>
    </xf>
    <xf numFmtId="0" fontId="34" fillId="0" borderId="0" xfId="0" applyFont="1" applyAlignment="1">
      <alignment horizontal="left" vertical="center" wrapText="1"/>
    </xf>
    <xf numFmtId="0" fontId="31" fillId="12" borderId="0" xfId="9" applyFont="1" applyAlignment="1">
      <alignment horizontal="center"/>
    </xf>
    <xf numFmtId="166" fontId="33" fillId="0" borderId="0" xfId="0" applyNumberFormat="1" applyFont="1" applyAlignment="1">
      <alignment horizontal="center"/>
    </xf>
    <xf numFmtId="0" fontId="31" fillId="13" borderId="0" xfId="10" applyFont="1" applyAlignment="1">
      <alignment horizontal="center"/>
    </xf>
    <xf numFmtId="167" fontId="35" fillId="0" borderId="19" xfId="0" applyNumberFormat="1" applyFont="1" applyBorder="1" applyAlignment="1">
      <alignment horizontal="center" vertical="center"/>
    </xf>
    <xf numFmtId="167" fontId="35" fillId="0" borderId="19" xfId="0" applyNumberFormat="1" applyFont="1" applyBorder="1" applyAlignment="1">
      <alignment horizontal="center" vertical="center" wrapText="1"/>
    </xf>
    <xf numFmtId="0" fontId="31" fillId="14" borderId="0" xfId="11" applyFont="1" applyAlignment="1">
      <alignment horizontal="center"/>
    </xf>
    <xf numFmtId="0" fontId="12" fillId="3" borderId="0" xfId="1" applyFont="1" applyFill="1" applyBorder="1" applyAlignment="1">
      <alignment horizontal="center" vertical="center" wrapText="1"/>
    </xf>
    <xf numFmtId="0" fontId="3" fillId="0" borderId="7"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3" xfId="0" applyFont="1" applyBorder="1" applyAlignment="1">
      <alignment horizontal="left" vertical="top" wrapText="1"/>
    </xf>
    <xf numFmtId="0" fontId="3" fillId="0" borderId="0" xfId="0" applyFont="1" applyBorder="1" applyAlignment="1">
      <alignment horizontal="left" vertical="top" wrapText="1"/>
    </xf>
    <xf numFmtId="0" fontId="3" fillId="0" borderId="4" xfId="0" applyFont="1" applyBorder="1" applyAlignment="1">
      <alignment horizontal="left" vertical="top" wrapText="1"/>
    </xf>
    <xf numFmtId="0" fontId="3" fillId="0" borderId="10" xfId="0" applyFont="1" applyBorder="1" applyAlignment="1">
      <alignment horizontal="left" vertical="top" wrapText="1"/>
    </xf>
    <xf numFmtId="0" fontId="3" fillId="0" borderId="2" xfId="0" applyFont="1" applyBorder="1" applyAlignment="1">
      <alignment horizontal="left" vertical="top" wrapText="1"/>
    </xf>
    <xf numFmtId="0" fontId="3" fillId="0" borderId="5" xfId="0" applyFont="1" applyBorder="1" applyAlignment="1">
      <alignment horizontal="left" vertical="top" wrapText="1"/>
    </xf>
    <xf numFmtId="0" fontId="24" fillId="5" borderId="6" xfId="3" applyFont="1" applyBorder="1" applyAlignment="1">
      <alignment horizontal="center"/>
    </xf>
    <xf numFmtId="0" fontId="3" fillId="0" borderId="0" xfId="0" applyFont="1" applyAlignment="1">
      <alignment horizontal="left" vertical="top" wrapText="1"/>
    </xf>
    <xf numFmtId="0" fontId="3" fillId="4" borderId="9" xfId="2" applyFont="1" applyBorder="1" applyAlignment="1">
      <alignment horizontal="left" vertical="center" wrapText="1"/>
    </xf>
    <xf numFmtId="0" fontId="4" fillId="4" borderId="5" xfId="2" applyBorder="1" applyAlignment="1">
      <alignment horizontal="left" vertical="center" wrapText="1"/>
    </xf>
    <xf numFmtId="0" fontId="26" fillId="9" borderId="9" xfId="4" applyFont="1" applyFill="1" applyBorder="1" applyAlignment="1">
      <alignment horizontal="left" vertical="top" wrapText="1"/>
    </xf>
    <xf numFmtId="0" fontId="26" fillId="9" borderId="5" xfId="4" applyFont="1" applyFill="1" applyBorder="1" applyAlignment="1">
      <alignment horizontal="left" vertical="top" wrapText="1"/>
    </xf>
    <xf numFmtId="0" fontId="3" fillId="8" borderId="9" xfId="6" applyFont="1" applyBorder="1" applyAlignment="1">
      <alignment horizontal="left" vertical="top" wrapText="1"/>
    </xf>
    <xf numFmtId="0" fontId="4" fillId="8" borderId="5" xfId="6" applyBorder="1" applyAlignment="1">
      <alignment horizontal="left" vertical="top" wrapText="1"/>
    </xf>
    <xf numFmtId="0" fontId="3" fillId="8" borderId="11" xfId="6" applyFont="1" applyBorder="1" applyAlignment="1">
      <alignment horizontal="left" vertical="top" wrapText="1"/>
    </xf>
    <xf numFmtId="0" fontId="4" fillId="8" borderId="14" xfId="6" applyBorder="1" applyAlignment="1">
      <alignment horizontal="left" vertical="top" wrapText="1"/>
    </xf>
    <xf numFmtId="0" fontId="26" fillId="9" borderId="8" xfId="6" applyFont="1" applyFill="1" applyBorder="1" applyAlignment="1">
      <alignment horizontal="left" vertical="top" wrapText="1"/>
    </xf>
    <xf numFmtId="0" fontId="4" fillId="9" borderId="2" xfId="6" applyFill="1" applyBorder="1" applyAlignment="1">
      <alignment horizontal="left" vertical="top" wrapText="1"/>
    </xf>
    <xf numFmtId="0" fontId="26" fillId="9" borderId="0" xfId="6" applyFont="1" applyFill="1" applyBorder="1" applyAlignment="1">
      <alignment horizontal="left" vertical="top" wrapText="1"/>
    </xf>
    <xf numFmtId="0" fontId="3" fillId="9" borderId="8" xfId="2" applyFont="1" applyFill="1" applyBorder="1" applyAlignment="1">
      <alignment horizontal="left" vertical="center" wrapText="1"/>
    </xf>
    <xf numFmtId="0" fontId="4" fillId="9" borderId="2" xfId="2" applyFill="1" applyBorder="1" applyAlignment="1">
      <alignment horizontal="left" vertical="center" wrapText="1"/>
    </xf>
    <xf numFmtId="0" fontId="26" fillId="9" borderId="8" xfId="4" applyFont="1" applyFill="1" applyBorder="1" applyAlignment="1">
      <alignment horizontal="left" vertical="top" wrapText="1"/>
    </xf>
    <xf numFmtId="0" fontId="26" fillId="9" borderId="2" xfId="4" applyFont="1" applyFill="1" applyBorder="1" applyAlignment="1">
      <alignment horizontal="left" vertical="top" wrapText="1"/>
    </xf>
    <xf numFmtId="0" fontId="3" fillId="9" borderId="0" xfId="6" applyFont="1" applyFill="1" applyBorder="1" applyAlignment="1">
      <alignment horizontal="left" vertical="top" wrapText="1"/>
    </xf>
    <xf numFmtId="0" fontId="3" fillId="16" borderId="8" xfId="6" applyFont="1" applyFill="1" applyBorder="1" applyAlignment="1">
      <alignment horizontal="left" vertical="top" wrapText="1"/>
    </xf>
    <xf numFmtId="0" fontId="4" fillId="16" borderId="2" xfId="6" applyFill="1" applyBorder="1" applyAlignment="1">
      <alignment horizontal="left" vertical="top" wrapText="1"/>
    </xf>
    <xf numFmtId="0" fontId="26" fillId="16" borderId="8" xfId="6" applyFont="1" applyFill="1" applyBorder="1" applyAlignment="1">
      <alignment horizontal="left" vertical="top" wrapText="1"/>
    </xf>
    <xf numFmtId="0" fontId="3" fillId="8" borderId="0" xfId="6" applyFont="1" applyBorder="1" applyAlignment="1">
      <alignment horizontal="left" vertical="top" wrapText="1"/>
    </xf>
    <xf numFmtId="0" fontId="4" fillId="8" borderId="2" xfId="6" applyBorder="1" applyAlignment="1">
      <alignment horizontal="left" vertical="top" wrapText="1"/>
    </xf>
    <xf numFmtId="0" fontId="3" fillId="9" borderId="8" xfId="2" applyFont="1" applyFill="1" applyBorder="1" applyAlignment="1">
      <alignment horizontal="left" vertical="top" wrapText="1"/>
    </xf>
    <xf numFmtId="0" fontId="3" fillId="9" borderId="9" xfId="2" applyFont="1" applyFill="1" applyBorder="1" applyAlignment="1">
      <alignment horizontal="left" vertical="top" wrapText="1"/>
    </xf>
    <xf numFmtId="0" fontId="3" fillId="9" borderId="2" xfId="2" applyFont="1" applyFill="1" applyBorder="1" applyAlignment="1">
      <alignment horizontal="left" vertical="top" wrapText="1"/>
    </xf>
    <xf numFmtId="0" fontId="3" fillId="9" borderId="5" xfId="2" applyFont="1" applyFill="1" applyBorder="1" applyAlignment="1">
      <alignment horizontal="left" vertical="top" wrapText="1"/>
    </xf>
    <xf numFmtId="0" fontId="3" fillId="4" borderId="8" xfId="2" applyFont="1" applyBorder="1" applyAlignment="1">
      <alignment horizontal="left" vertical="top" wrapText="1"/>
    </xf>
    <xf numFmtId="0" fontId="3" fillId="4" borderId="9" xfId="2" applyFont="1" applyBorder="1" applyAlignment="1">
      <alignment horizontal="left" vertical="top" wrapText="1"/>
    </xf>
    <xf numFmtId="0" fontId="3" fillId="4" borderId="2" xfId="2" applyFont="1" applyBorder="1" applyAlignment="1">
      <alignment horizontal="left" vertical="top" wrapText="1"/>
    </xf>
    <xf numFmtId="0" fontId="3" fillId="4" borderId="5" xfId="2" applyFont="1" applyBorder="1" applyAlignment="1">
      <alignment horizontal="left" vertical="top" wrapText="1"/>
    </xf>
    <xf numFmtId="0" fontId="3" fillId="9" borderId="0" xfId="2" applyFont="1" applyFill="1" applyBorder="1" applyAlignment="1">
      <alignment horizontal="left" vertical="top" wrapText="1"/>
    </xf>
    <xf numFmtId="0" fontId="3" fillId="9" borderId="4" xfId="2" applyFont="1" applyFill="1" applyBorder="1" applyAlignment="1">
      <alignment horizontal="left" vertical="top" wrapText="1"/>
    </xf>
    <xf numFmtId="0" fontId="17" fillId="0" borderId="8" xfId="0" applyFont="1" applyBorder="1" applyAlignment="1">
      <alignment horizontal="left" wrapText="1"/>
    </xf>
    <xf numFmtId="0" fontId="17" fillId="0" borderId="2" xfId="0" applyFont="1" applyBorder="1" applyAlignment="1">
      <alignment horizontal="left" wrapText="1"/>
    </xf>
    <xf numFmtId="0" fontId="0" fillId="0" borderId="20" xfId="0" applyBorder="1" applyAlignment="1">
      <alignment horizontal="center" vertical="center"/>
    </xf>
    <xf numFmtId="0" fontId="0" fillId="0" borderId="22" xfId="0" applyBorder="1" applyAlignment="1">
      <alignment horizontal="center" vertical="center"/>
    </xf>
    <xf numFmtId="0" fontId="26" fillId="9" borderId="8" xfId="5" applyFont="1" applyFill="1" applyBorder="1" applyAlignment="1">
      <alignment horizontal="left" vertical="top" wrapText="1"/>
    </xf>
    <xf numFmtId="0" fontId="4" fillId="9" borderId="9" xfId="5" applyFill="1" applyBorder="1" applyAlignment="1">
      <alignment horizontal="left" vertical="top" wrapText="1"/>
    </xf>
    <xf numFmtId="0" fontId="4" fillId="9" borderId="2" xfId="5" applyFill="1" applyBorder="1" applyAlignment="1">
      <alignment horizontal="left" vertical="top" wrapText="1"/>
    </xf>
    <xf numFmtId="0" fontId="4" fillId="9" borderId="5" xfId="5" applyFill="1" applyBorder="1" applyAlignment="1">
      <alignment horizontal="left" vertical="top" wrapText="1"/>
    </xf>
    <xf numFmtId="0" fontId="3" fillId="7" borderId="8" xfId="5" applyFont="1" applyBorder="1" applyAlignment="1">
      <alignment horizontal="left" vertical="top" wrapText="1"/>
    </xf>
    <xf numFmtId="0" fontId="4" fillId="7" borderId="9" xfId="5" applyBorder="1" applyAlignment="1">
      <alignment horizontal="left" vertical="top" wrapText="1"/>
    </xf>
    <xf numFmtId="0" fontId="4" fillId="7" borderId="2" xfId="5" applyBorder="1" applyAlignment="1">
      <alignment horizontal="left" vertical="top" wrapText="1"/>
    </xf>
    <xf numFmtId="0" fontId="4" fillId="7" borderId="5" xfId="5" applyBorder="1" applyAlignment="1">
      <alignment horizontal="left" vertical="top" wrapText="1"/>
    </xf>
    <xf numFmtId="0" fontId="26" fillId="9" borderId="8" xfId="2" applyFont="1" applyFill="1" applyBorder="1" applyAlignment="1">
      <alignment horizontal="left" vertical="top" wrapText="1"/>
    </xf>
    <xf numFmtId="0" fontId="26" fillId="9" borderId="9" xfId="2" applyFont="1" applyFill="1" applyBorder="1" applyAlignment="1">
      <alignment horizontal="left" vertical="top" wrapText="1"/>
    </xf>
    <xf numFmtId="0" fontId="26" fillId="9" borderId="2" xfId="2" applyFont="1" applyFill="1" applyBorder="1" applyAlignment="1">
      <alignment horizontal="left" vertical="top" wrapText="1"/>
    </xf>
    <xf numFmtId="0" fontId="26" fillId="9" borderId="5" xfId="2" applyFont="1" applyFill="1" applyBorder="1" applyAlignment="1">
      <alignment horizontal="left" vertical="top" wrapText="1"/>
    </xf>
    <xf numFmtId="0" fontId="4" fillId="4" borderId="9" xfId="2" applyBorder="1" applyAlignment="1">
      <alignment horizontal="left" vertical="top" wrapText="1"/>
    </xf>
    <xf numFmtId="0" fontId="4" fillId="4" borderId="2" xfId="2" applyBorder="1" applyAlignment="1">
      <alignment horizontal="left" vertical="top" wrapText="1"/>
    </xf>
    <xf numFmtId="0" fontId="4" fillId="4" borderId="5" xfId="2" applyBorder="1" applyAlignment="1">
      <alignment horizontal="left" vertical="top" wrapText="1"/>
    </xf>
    <xf numFmtId="49" fontId="0" fillId="0" borderId="20" xfId="0" applyNumberFormat="1" applyBorder="1" applyAlignment="1">
      <alignment horizontal="center" vertical="center"/>
    </xf>
    <xf numFmtId="49" fontId="0" fillId="0" borderId="22" xfId="0" applyNumberFormat="1" applyBorder="1" applyAlignment="1">
      <alignment horizontal="center" vertical="center"/>
    </xf>
    <xf numFmtId="0" fontId="3" fillId="16" borderId="8" xfId="2" applyFont="1" applyFill="1" applyBorder="1" applyAlignment="1">
      <alignment horizontal="left" vertical="top" wrapText="1"/>
    </xf>
    <xf numFmtId="0" fontId="3" fillId="16" borderId="9" xfId="2" applyFont="1" applyFill="1" applyBorder="1" applyAlignment="1">
      <alignment horizontal="left" vertical="top" wrapText="1"/>
    </xf>
    <xf numFmtId="0" fontId="3" fillId="16" borderId="2" xfId="2" applyFont="1" applyFill="1" applyBorder="1" applyAlignment="1">
      <alignment horizontal="left" vertical="top" wrapText="1"/>
    </xf>
    <xf numFmtId="0" fontId="3" fillId="16" borderId="5" xfId="2" applyFont="1" applyFill="1" applyBorder="1" applyAlignment="1">
      <alignment horizontal="left" vertical="top" wrapText="1"/>
    </xf>
    <xf numFmtId="0" fontId="3" fillId="17" borderId="8" xfId="5" applyFont="1" applyFill="1" applyBorder="1" applyAlignment="1">
      <alignment horizontal="left" vertical="top" wrapText="1"/>
    </xf>
    <xf numFmtId="0" fontId="3" fillId="17" borderId="9" xfId="5" applyFont="1" applyFill="1" applyBorder="1" applyAlignment="1">
      <alignment horizontal="left" vertical="top" wrapText="1"/>
    </xf>
    <xf numFmtId="0" fontId="3" fillId="17" borderId="2" xfId="5" applyFont="1" applyFill="1" applyBorder="1" applyAlignment="1">
      <alignment horizontal="left" vertical="top" wrapText="1"/>
    </xf>
    <xf numFmtId="0" fontId="3" fillId="17" borderId="5" xfId="5" applyFont="1" applyFill="1" applyBorder="1" applyAlignment="1">
      <alignment horizontal="left" vertical="top" wrapText="1"/>
    </xf>
    <xf numFmtId="0" fontId="3" fillId="9" borderId="8" xfId="5" applyFont="1" applyFill="1" applyBorder="1" applyAlignment="1">
      <alignment horizontal="left" vertical="top" wrapText="1"/>
    </xf>
    <xf numFmtId="0" fontId="3" fillId="9" borderId="9" xfId="5" applyFont="1" applyFill="1" applyBorder="1" applyAlignment="1">
      <alignment horizontal="left" vertical="top" wrapText="1"/>
    </xf>
    <xf numFmtId="0" fontId="3" fillId="9" borderId="2" xfId="5" applyFont="1" applyFill="1" applyBorder="1" applyAlignment="1">
      <alignment horizontal="left" vertical="top" wrapText="1"/>
    </xf>
    <xf numFmtId="0" fontId="3" fillId="9" borderId="5" xfId="5" applyFont="1" applyFill="1" applyBorder="1" applyAlignment="1">
      <alignment horizontal="left" vertical="top" wrapText="1"/>
    </xf>
    <xf numFmtId="0" fontId="3" fillId="7" borderId="9" xfId="5" applyFont="1" applyBorder="1" applyAlignment="1">
      <alignment horizontal="left" vertical="top" wrapText="1"/>
    </xf>
    <xf numFmtId="0" fontId="3" fillId="7" borderId="2" xfId="5" applyFont="1" applyBorder="1" applyAlignment="1">
      <alignment horizontal="left" vertical="top" wrapText="1"/>
    </xf>
    <xf numFmtId="0" fontId="3" fillId="7" borderId="5" xfId="5" applyFont="1" applyBorder="1" applyAlignment="1">
      <alignment horizontal="left" vertical="top" wrapText="1"/>
    </xf>
    <xf numFmtId="0" fontId="26" fillId="7" borderId="8" xfId="5" applyFont="1" applyBorder="1" applyAlignment="1">
      <alignment horizontal="left" vertical="top" wrapText="1"/>
    </xf>
    <xf numFmtId="0" fontId="26" fillId="7" borderId="9" xfId="5" applyFont="1" applyBorder="1" applyAlignment="1">
      <alignment horizontal="left" vertical="top" wrapText="1"/>
    </xf>
    <xf numFmtId="0" fontId="26" fillId="7" borderId="2" xfId="5" applyFont="1" applyBorder="1" applyAlignment="1">
      <alignment horizontal="left" vertical="top" wrapText="1"/>
    </xf>
    <xf numFmtId="0" fontId="26" fillId="7" borderId="5" xfId="5" applyFont="1" applyBorder="1" applyAlignment="1">
      <alignment horizontal="left" vertical="top" wrapText="1"/>
    </xf>
    <xf numFmtId="0" fontId="26" fillId="9" borderId="0" xfId="2" applyFont="1" applyFill="1" applyBorder="1" applyAlignment="1">
      <alignment horizontal="left" vertical="top" wrapText="1"/>
    </xf>
    <xf numFmtId="0" fontId="26" fillId="9" borderId="4" xfId="2" applyFont="1" applyFill="1" applyBorder="1" applyAlignment="1">
      <alignment horizontal="left" vertical="top" wrapText="1"/>
    </xf>
    <xf numFmtId="0" fontId="3" fillId="8" borderId="8" xfId="6" applyFont="1" applyBorder="1" applyAlignment="1">
      <alignment horizontal="left" vertical="top" wrapText="1"/>
    </xf>
    <xf numFmtId="0" fontId="4" fillId="8" borderId="9" xfId="6" applyBorder="1" applyAlignment="1">
      <alignment horizontal="left" vertical="top" wrapText="1"/>
    </xf>
    <xf numFmtId="0" fontId="26" fillId="8" borderId="8" xfId="6" applyFont="1" applyBorder="1" applyAlignment="1">
      <alignment horizontal="left" vertical="top" wrapText="1"/>
    </xf>
    <xf numFmtId="49" fontId="3" fillId="3" borderId="20" xfId="6" applyNumberFormat="1" applyFont="1" applyFill="1" applyBorder="1" applyAlignment="1">
      <alignment horizontal="center" vertical="center"/>
    </xf>
    <xf numFmtId="49" fontId="4" fillId="3" borderId="22" xfId="6" applyNumberFormat="1" applyFill="1" applyBorder="1" applyAlignment="1">
      <alignment horizontal="center" vertical="center"/>
    </xf>
    <xf numFmtId="0" fontId="4" fillId="8" borderId="4" xfId="6" applyBorder="1" applyAlignment="1">
      <alignment horizontal="left" vertical="top" wrapText="1"/>
    </xf>
    <xf numFmtId="0" fontId="26" fillId="18" borderId="0" xfId="2" applyFont="1" applyFill="1" applyBorder="1" applyAlignment="1">
      <alignment horizontal="left" vertical="top" wrapText="1"/>
    </xf>
    <xf numFmtId="0" fontId="26" fillId="18" borderId="4" xfId="2" applyFont="1" applyFill="1" applyBorder="1" applyAlignment="1">
      <alignment horizontal="left" vertical="top" wrapText="1"/>
    </xf>
    <xf numFmtId="0" fontId="26" fillId="18" borderId="2" xfId="2" applyFont="1" applyFill="1" applyBorder="1" applyAlignment="1">
      <alignment horizontal="left" vertical="top" wrapText="1"/>
    </xf>
    <xf numFmtId="0" fontId="26" fillId="18" borderId="5" xfId="2" applyFont="1" applyFill="1" applyBorder="1" applyAlignment="1">
      <alignment horizontal="left" vertical="top" wrapText="1"/>
    </xf>
    <xf numFmtId="0" fontId="3" fillId="7" borderId="0" xfId="5" applyFont="1" applyBorder="1" applyAlignment="1">
      <alignment horizontal="left" vertical="top" wrapText="1"/>
    </xf>
    <xf numFmtId="0" fontId="4" fillId="7" borderId="4" xfId="5" applyBorder="1" applyAlignment="1">
      <alignment horizontal="left" vertical="top" wrapText="1"/>
    </xf>
    <xf numFmtId="0" fontId="26" fillId="18" borderId="8" xfId="6" applyFont="1" applyFill="1" applyBorder="1" applyAlignment="1">
      <alignment horizontal="left" vertical="top" wrapText="1"/>
    </xf>
    <xf numFmtId="0" fontId="4" fillId="18" borderId="9" xfId="6" applyFill="1" applyBorder="1" applyAlignment="1">
      <alignment horizontal="left" vertical="top" wrapText="1"/>
    </xf>
    <xf numFmtId="0" fontId="4" fillId="18" borderId="2" xfId="6" applyFill="1" applyBorder="1" applyAlignment="1">
      <alignment horizontal="left" vertical="top" wrapText="1"/>
    </xf>
    <xf numFmtId="0" fontId="4" fillId="18" borderId="5" xfId="6" applyFill="1" applyBorder="1" applyAlignment="1">
      <alignment horizontal="left" vertical="top" wrapText="1"/>
    </xf>
    <xf numFmtId="0" fontId="3" fillId="18" borderId="8" xfId="5" applyFont="1" applyFill="1" applyBorder="1" applyAlignment="1">
      <alignment horizontal="left" vertical="top" wrapText="1"/>
    </xf>
    <xf numFmtId="0" fontId="4" fillId="18" borderId="9" xfId="5" applyFill="1" applyBorder="1" applyAlignment="1">
      <alignment horizontal="left" vertical="top" wrapText="1"/>
    </xf>
    <xf numFmtId="0" fontId="4" fillId="18" borderId="2" xfId="5" applyFill="1" applyBorder="1" applyAlignment="1">
      <alignment horizontal="left" vertical="top" wrapText="1"/>
    </xf>
    <xf numFmtId="0" fontId="4" fillId="18" borderId="5" xfId="5" applyFill="1" applyBorder="1" applyAlignment="1">
      <alignment horizontal="left" vertical="top" wrapText="1"/>
    </xf>
    <xf numFmtId="0" fontId="26" fillId="18" borderId="8" xfId="5" applyFont="1" applyFill="1" applyBorder="1" applyAlignment="1">
      <alignment horizontal="left" vertical="top" wrapText="1"/>
    </xf>
    <xf numFmtId="0" fontId="26" fillId="18" borderId="9" xfId="5" applyFont="1" applyFill="1" applyBorder="1" applyAlignment="1">
      <alignment horizontal="left" vertical="top" wrapText="1"/>
    </xf>
    <xf numFmtId="0" fontId="26" fillId="18" borderId="2" xfId="5" applyFont="1" applyFill="1" applyBorder="1" applyAlignment="1">
      <alignment horizontal="left" vertical="top" wrapText="1"/>
    </xf>
    <xf numFmtId="0" fontId="26" fillId="18" borderId="5" xfId="5" applyFont="1" applyFill="1" applyBorder="1" applyAlignment="1">
      <alignment horizontal="left" vertical="top" wrapText="1"/>
    </xf>
    <xf numFmtId="0" fontId="26" fillId="19" borderId="8" xfId="5" applyFont="1" applyFill="1" applyBorder="1" applyAlignment="1">
      <alignment horizontal="left" vertical="top" wrapText="1"/>
    </xf>
    <xf numFmtId="0" fontId="26" fillId="19" borderId="9" xfId="5" applyFont="1" applyFill="1" applyBorder="1" applyAlignment="1">
      <alignment horizontal="left" vertical="top" wrapText="1"/>
    </xf>
    <xf numFmtId="0" fontId="26" fillId="19" borderId="2" xfId="5" applyFont="1" applyFill="1" applyBorder="1" applyAlignment="1">
      <alignment horizontal="left" vertical="top" wrapText="1"/>
    </xf>
    <xf numFmtId="0" fontId="26" fillId="19" borderId="5" xfId="5" applyFont="1" applyFill="1" applyBorder="1" applyAlignment="1">
      <alignment horizontal="left" vertical="top" wrapText="1"/>
    </xf>
    <xf numFmtId="0" fontId="26" fillId="19" borderId="0" xfId="2" applyFont="1" applyFill="1" applyBorder="1" applyAlignment="1">
      <alignment horizontal="left" vertical="top" wrapText="1"/>
    </xf>
    <xf numFmtId="0" fontId="26" fillId="19" borderId="4" xfId="2" applyFont="1" applyFill="1" applyBorder="1" applyAlignment="1">
      <alignment horizontal="left" vertical="top" wrapText="1"/>
    </xf>
    <xf numFmtId="0" fontId="26" fillId="19" borderId="2" xfId="2" applyFont="1" applyFill="1" applyBorder="1" applyAlignment="1">
      <alignment horizontal="left" vertical="top" wrapText="1"/>
    </xf>
    <xf numFmtId="0" fontId="26" fillId="19" borderId="5" xfId="2" applyFont="1" applyFill="1" applyBorder="1" applyAlignment="1">
      <alignment horizontal="left" vertical="top" wrapText="1"/>
    </xf>
    <xf numFmtId="0" fontId="36" fillId="19" borderId="8" xfId="5" applyFont="1" applyFill="1" applyBorder="1" applyAlignment="1">
      <alignment horizontal="left" vertical="top" wrapText="1"/>
    </xf>
    <xf numFmtId="0" fontId="36" fillId="19" borderId="9" xfId="5" applyFont="1" applyFill="1" applyBorder="1" applyAlignment="1">
      <alignment horizontal="left" vertical="top" wrapText="1"/>
    </xf>
    <xf numFmtId="0" fontId="36" fillId="19" borderId="2" xfId="5" applyFont="1" applyFill="1" applyBorder="1" applyAlignment="1">
      <alignment horizontal="left" vertical="top" wrapText="1"/>
    </xf>
    <xf numFmtId="0" fontId="36" fillId="19" borderId="5" xfId="5" applyFont="1" applyFill="1" applyBorder="1" applyAlignment="1">
      <alignment horizontal="left" vertical="top" wrapText="1"/>
    </xf>
    <xf numFmtId="0" fontId="26" fillId="8" borderId="9" xfId="6" applyFont="1" applyBorder="1" applyAlignment="1">
      <alignment horizontal="left" vertical="top" wrapText="1"/>
    </xf>
    <xf numFmtId="0" fontId="26" fillId="8" borderId="2" xfId="6" applyFont="1" applyBorder="1" applyAlignment="1">
      <alignment horizontal="left" vertical="top" wrapText="1"/>
    </xf>
    <xf numFmtId="0" fontId="26" fillId="8" borderId="5" xfId="6" applyFont="1" applyBorder="1" applyAlignment="1">
      <alignment horizontal="left" vertical="top" wrapText="1"/>
    </xf>
    <xf numFmtId="49" fontId="37" fillId="0" borderId="20" xfId="0" applyNumberFormat="1" applyFont="1" applyBorder="1" applyAlignment="1">
      <alignment horizontal="center" vertical="center"/>
    </xf>
    <xf numFmtId="49" fontId="37" fillId="0" borderId="22" xfId="0" applyNumberFormat="1" applyFont="1" applyBorder="1" applyAlignment="1">
      <alignment horizontal="center" vertical="center"/>
    </xf>
  </cellXfs>
  <cellStyles count="12">
    <cellStyle name="20 % – uthevingsfarge 2" xfId="3" builtinId="34"/>
    <cellStyle name="40 % – uthevingsfarge 1" xfId="2" builtinId="31"/>
    <cellStyle name="40 % – uthevingsfarge 3" xfId="4" builtinId="39"/>
    <cellStyle name="40 % – uthevingsfarge 4" xfId="5" builtinId="43"/>
    <cellStyle name="40 % – uthevingsfarge 6" xfId="6" builtinId="51"/>
    <cellStyle name="Excel Built-in 60% - Accent1" xfId="11" xr:uid="{79328638-A4DA-4805-B048-C3FF5A99CFE7}"/>
    <cellStyle name="Excel Built-in 60% - Accent2" xfId="10" xr:uid="{E190626B-0EB3-4364-8960-D3F098403BA9}"/>
    <cellStyle name="Excel Built-in 60% - Accent4" xfId="8" xr:uid="{BF7BA738-850A-44EA-B135-3E082BF47E3A}"/>
    <cellStyle name="Excel Built-in 60% - Accent6" xfId="9" xr:uid="{8161FF48-E183-40D8-8AF2-1BCD5EA928C0}"/>
    <cellStyle name="Excel Built-in Good" xfId="7" xr:uid="{D7E96791-989F-4259-A405-24544A8A55CD}"/>
    <cellStyle name="Hyperkobling" xfId="1" builtinId="8"/>
    <cellStyle name="Normal" xfId="0" builtinId="0"/>
  </cellStyles>
  <dxfs count="215">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
      <fill>
        <patternFill>
          <bgColor rgb="FFFFC5C5"/>
        </patternFill>
      </fill>
    </dxf>
  </dxfs>
  <tableStyles count="0" defaultTableStyle="TableStyleMedium2" defaultPivotStyle="PivotStyleLight16"/>
  <colors>
    <mruColors>
      <color rgb="FFFF5050"/>
      <color rgb="FFFF5757"/>
      <color rgb="FFFFC5C5"/>
      <color rgb="FFF7C1C9"/>
      <color rgb="FFF3A7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B8D5C-F80C-45B2-8793-D61BC5C202ED}">
  <sheetPr codeName="Sheet2"/>
  <dimension ref="A6"/>
  <sheetViews>
    <sheetView workbookViewId="0">
      <selection activeCell="B6" sqref="B6"/>
    </sheetView>
  </sheetViews>
  <sheetFormatPr baseColWidth="10" defaultColWidth="9" defaultRowHeight="12.75"/>
  <sheetData>
    <row r="6" spans="1:1">
      <c r="A6" s="2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7DAA6-69E9-431E-9834-040764186590}">
  <dimension ref="A1:K6"/>
  <sheetViews>
    <sheetView topLeftCell="I1" zoomScale="205" zoomScaleNormal="205" workbookViewId="0">
      <selection activeCell="I2" sqref="I2:J2"/>
    </sheetView>
  </sheetViews>
  <sheetFormatPr baseColWidth="10" defaultColWidth="9" defaultRowHeight="12.75"/>
  <sheetData>
    <row r="1" spans="1:11" ht="16.5">
      <c r="A1" s="258" t="s">
        <v>0</v>
      </c>
      <c r="B1" s="258"/>
      <c r="C1" s="258" t="s">
        <v>1</v>
      </c>
      <c r="D1" s="258"/>
      <c r="E1" s="259" t="s">
        <v>2</v>
      </c>
      <c r="F1" s="259"/>
      <c r="G1" s="260" t="s">
        <v>3</v>
      </c>
      <c r="H1" s="260"/>
      <c r="I1" s="261" t="s">
        <v>4</v>
      </c>
      <c r="J1" s="261"/>
      <c r="K1" s="76"/>
    </row>
    <row r="2" spans="1:11" ht="17.25">
      <c r="A2" s="254" t="s">
        <v>5</v>
      </c>
      <c r="B2" s="254"/>
      <c r="C2" s="254" t="s">
        <v>6</v>
      </c>
      <c r="D2" s="254"/>
      <c r="E2" s="255" t="s">
        <v>7</v>
      </c>
      <c r="F2" s="255"/>
      <c r="G2" s="256">
        <v>8.3333333333333329E-2</v>
      </c>
      <c r="H2" s="256"/>
      <c r="I2" s="257">
        <v>0.375</v>
      </c>
      <c r="J2" s="257"/>
      <c r="K2" s="76"/>
    </row>
    <row r="3" spans="1:11" ht="17.25">
      <c r="A3" s="262" t="s">
        <v>8</v>
      </c>
      <c r="B3" s="262"/>
      <c r="C3" s="262" t="s">
        <v>9</v>
      </c>
      <c r="D3" s="262"/>
      <c r="E3" s="263" t="s">
        <v>10</v>
      </c>
      <c r="F3" s="263"/>
      <c r="G3" s="264">
        <v>0</v>
      </c>
      <c r="H3" s="264"/>
      <c r="I3" s="257">
        <v>0</v>
      </c>
      <c r="J3" s="257"/>
      <c r="K3" s="76"/>
    </row>
    <row r="4" spans="1:11" ht="17.25">
      <c r="A4" s="262"/>
      <c r="B4" s="262"/>
      <c r="C4" s="262"/>
      <c r="D4" s="262"/>
      <c r="E4" s="265" t="s">
        <v>11</v>
      </c>
      <c r="F4" s="265"/>
      <c r="G4" s="264">
        <v>7.2916666666666671E-2</v>
      </c>
      <c r="H4" s="264"/>
      <c r="I4" s="257">
        <v>7.2916666666666671E-2</v>
      </c>
      <c r="J4" s="257"/>
      <c r="K4" s="76"/>
    </row>
    <row r="5" spans="1:11" ht="18.75">
      <c r="A5" s="266">
        <v>0.20902777777777778</v>
      </c>
      <c r="B5" s="77"/>
      <c r="C5" s="267">
        <v>0.85069444444444453</v>
      </c>
      <c r="D5" s="78"/>
      <c r="E5" s="268" t="s">
        <v>12</v>
      </c>
      <c r="F5" s="268"/>
      <c r="G5" s="256">
        <v>6.25E-2</v>
      </c>
      <c r="H5" s="256"/>
      <c r="I5" s="257">
        <v>0.23611111111111113</v>
      </c>
      <c r="J5" s="257"/>
      <c r="K5" s="76"/>
    </row>
    <row r="6" spans="1:11" ht="18.75">
      <c r="A6" s="266"/>
      <c r="B6" s="79"/>
      <c r="C6" s="267"/>
      <c r="D6" s="80"/>
      <c r="E6" s="81"/>
      <c r="F6" s="81"/>
      <c r="G6" s="81"/>
      <c r="H6" s="81"/>
      <c r="I6" s="81"/>
      <c r="J6" s="81"/>
      <c r="K6" s="81"/>
    </row>
  </sheetData>
  <mergeCells count="23">
    <mergeCell ref="A5:A6"/>
    <mergeCell ref="C5:C6"/>
    <mergeCell ref="E5:F5"/>
    <mergeCell ref="G5:H5"/>
    <mergeCell ref="I5:J5"/>
    <mergeCell ref="A3:B4"/>
    <mergeCell ref="C3:D4"/>
    <mergeCell ref="E3:F3"/>
    <mergeCell ref="G3:H3"/>
    <mergeCell ref="I3:J3"/>
    <mergeCell ref="E4:F4"/>
    <mergeCell ref="G4:H4"/>
    <mergeCell ref="I4:J4"/>
    <mergeCell ref="A1:B1"/>
    <mergeCell ref="C1:D1"/>
    <mergeCell ref="E1:F1"/>
    <mergeCell ref="G1:H1"/>
    <mergeCell ref="I1:J1"/>
    <mergeCell ref="A2:B2"/>
    <mergeCell ref="C2:D2"/>
    <mergeCell ref="E2:F2"/>
    <mergeCell ref="G2:H2"/>
    <mergeCell ref="I2:J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06796F-B119-488D-A12F-AEAFC77733A2}">
  <sheetPr codeName="Sheet8"/>
  <dimension ref="A1:K36"/>
  <sheetViews>
    <sheetView showGridLines="0" zoomScaleNormal="100" workbookViewId="0">
      <selection activeCell="F5" sqref="F5"/>
    </sheetView>
  </sheetViews>
  <sheetFormatPr baseColWidth="10" defaultColWidth="9" defaultRowHeight="12.75"/>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6</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39">
        <f>A10</f>
        <v>43866</v>
      </c>
      <c r="B3" s="234"/>
      <c r="C3" s="39">
        <f>A16</f>
        <v>43868</v>
      </c>
      <c r="D3" s="234"/>
      <c r="E3" s="72" t="s">
        <v>7</v>
      </c>
      <c r="F3" s="32">
        <f>Sumcolor(E3,D10:D19)</f>
        <v>6.25E-2</v>
      </c>
      <c r="G3" s="33">
        <f>SUM(Først:Sist!F3, 'Uke5'!I2)</f>
        <v>0.60416666666666663</v>
      </c>
      <c r="H3" s="22"/>
      <c r="I3" s="7"/>
      <c r="J3" s="7"/>
    </row>
    <row r="4" spans="1:10" ht="15" customHeight="1">
      <c r="A4" s="271" t="s">
        <v>17</v>
      </c>
      <c r="B4" s="271"/>
      <c r="C4" s="280" t="s">
        <v>18</v>
      </c>
      <c r="D4" s="280"/>
      <c r="E4" s="73" t="s">
        <v>10</v>
      </c>
      <c r="F4" s="32">
        <f>Sumcolor(E4,D10:D19)</f>
        <v>0</v>
      </c>
      <c r="G4" s="33">
        <f>SUM(Først:Sist!F4)</f>
        <v>1.8784722222222223</v>
      </c>
      <c r="H4" s="22"/>
      <c r="I4" s="7"/>
      <c r="J4" s="269"/>
    </row>
    <row r="5" spans="1:10" ht="15.75">
      <c r="A5" s="280"/>
      <c r="B5" s="280"/>
      <c r="C5" s="280"/>
      <c r="D5" s="280"/>
      <c r="E5" s="74" t="s">
        <v>11</v>
      </c>
      <c r="F5" s="32">
        <f>Sumcolor(E5,D10:D19)</f>
        <v>3.819444444444442E-2</v>
      </c>
      <c r="G5" s="33">
        <f>SUM(Først:Sist!F5, 'Uke5'!I4)</f>
        <v>1.020833333333333</v>
      </c>
      <c r="H5" s="22"/>
      <c r="I5" s="7"/>
      <c r="J5" s="269"/>
    </row>
    <row r="6" spans="1:10" ht="18.75" customHeight="1" thickBot="1">
      <c r="A6" s="36">
        <f>SUM(D10:D19)</f>
        <v>0.28472222222222221</v>
      </c>
      <c r="B6" s="37"/>
      <c r="C6" s="82">
        <f>SUM(Først:Sist!A6, 'Uke5'!C5)</f>
        <v>4.4131944444444446</v>
      </c>
      <c r="D6" s="38"/>
      <c r="E6" s="75" t="s">
        <v>19</v>
      </c>
      <c r="F6" s="34">
        <f>Sumcolor(E6,D10:D19)</f>
        <v>0.18402777777777779</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31" t="s">
        <v>24</v>
      </c>
      <c r="F9" s="46" t="s">
        <v>25</v>
      </c>
      <c r="H9" s="25"/>
    </row>
    <row r="10" spans="1:10" ht="15">
      <c r="A10" s="47">
        <v>43866</v>
      </c>
      <c r="B10" s="48">
        <v>0.41666666666666669</v>
      </c>
      <c r="C10" s="48">
        <v>0.47916666666666669</v>
      </c>
      <c r="D10" s="49">
        <f t="shared" ref="D10" si="0">(C10-B10)</f>
        <v>6.25E-2</v>
      </c>
      <c r="E10" s="281" t="s">
        <v>26</v>
      </c>
      <c r="F10" s="53"/>
      <c r="H10" s="25"/>
    </row>
    <row r="11" spans="1:10" ht="15.75" thickBot="1">
      <c r="A11" s="55"/>
      <c r="B11" s="56"/>
      <c r="C11" s="56"/>
      <c r="D11" s="57"/>
      <c r="E11" s="282"/>
      <c r="F11" s="54"/>
      <c r="H11" s="25"/>
    </row>
    <row r="12" spans="1:10" ht="15">
      <c r="A12" s="58">
        <v>43866</v>
      </c>
      <c r="B12" s="59">
        <v>0.5</v>
      </c>
      <c r="C12" s="59">
        <v>0.53819444444444442</v>
      </c>
      <c r="D12" s="60">
        <f>(C12-B12)</f>
        <v>3.819444444444442E-2</v>
      </c>
      <c r="E12" s="283" t="s">
        <v>27</v>
      </c>
      <c r="F12" s="54"/>
    </row>
    <row r="13" spans="1:10" ht="16.5" thickBot="1">
      <c r="A13" s="61"/>
      <c r="B13" s="62"/>
      <c r="C13" s="62"/>
      <c r="D13" s="63"/>
      <c r="E13" s="284"/>
      <c r="F13" s="54"/>
    </row>
    <row r="14" spans="1:10" ht="15">
      <c r="A14" s="64">
        <v>43867</v>
      </c>
      <c r="B14" s="65">
        <v>0.41666666666666669</v>
      </c>
      <c r="C14" s="65">
        <v>0.48958333333333331</v>
      </c>
      <c r="D14" s="66">
        <f>(C14-B14)</f>
        <v>7.291666666666663E-2</v>
      </c>
      <c r="E14" s="285" t="s">
        <v>28</v>
      </c>
      <c r="F14" s="54"/>
    </row>
    <row r="15" spans="1:10" ht="15.75" thickBot="1">
      <c r="A15" s="67"/>
      <c r="B15" s="68"/>
      <c r="C15" s="68"/>
      <c r="D15" s="69"/>
      <c r="E15" s="286"/>
      <c r="F15" s="54"/>
    </row>
    <row r="16" spans="1:10" ht="15">
      <c r="A16" s="64">
        <v>43868</v>
      </c>
      <c r="B16" s="65">
        <v>0.79166666666666663</v>
      </c>
      <c r="C16" s="65">
        <v>0.875</v>
      </c>
      <c r="D16" s="66">
        <f>(C16-B16)</f>
        <v>8.333333333333337E-2</v>
      </c>
      <c r="E16" s="285" t="s">
        <v>29</v>
      </c>
      <c r="F16" s="54"/>
    </row>
    <row r="17" spans="1:11" ht="15.75" thickBot="1">
      <c r="A17" s="67"/>
      <c r="B17" s="68"/>
      <c r="C17" s="68"/>
      <c r="D17" s="69"/>
      <c r="E17" s="286"/>
      <c r="F17" s="54"/>
      <c r="G17" s="12"/>
    </row>
    <row r="18" spans="1:11" ht="15">
      <c r="A18" s="50">
        <v>43870</v>
      </c>
      <c r="B18" s="51">
        <v>0.60416666666666663</v>
      </c>
      <c r="C18" s="51">
        <v>0.63194444444444442</v>
      </c>
      <c r="D18" s="52">
        <f>C18-B18</f>
        <v>2.777777777777779E-2</v>
      </c>
      <c r="E18" s="287" t="s">
        <v>30</v>
      </c>
      <c r="F18" s="44"/>
      <c r="G18" s="12"/>
    </row>
    <row r="19" spans="1:11" ht="15.75" thickBot="1">
      <c r="A19" s="67"/>
      <c r="B19" s="70"/>
      <c r="C19" s="70"/>
      <c r="D19" s="69"/>
      <c r="E19" s="288"/>
      <c r="F19" s="45"/>
      <c r="I19" s="8"/>
      <c r="K19" s="8"/>
    </row>
    <row r="20" spans="1:11">
      <c r="H20" s="8"/>
      <c r="I20" s="8"/>
      <c r="K20" s="8"/>
    </row>
    <row r="21" spans="1:11" ht="24" thickBot="1">
      <c r="A21" s="28" t="s">
        <v>31</v>
      </c>
      <c r="B21" s="28"/>
      <c r="C21" s="27"/>
      <c r="D21" s="27"/>
      <c r="E21" s="27"/>
      <c r="H21" s="8"/>
      <c r="I21" s="8"/>
      <c r="K21" s="8"/>
    </row>
    <row r="22" spans="1:11" ht="13.5" thickBot="1">
      <c r="A22" s="5"/>
      <c r="B22" s="15"/>
      <c r="C22" s="16"/>
      <c r="D22" s="17"/>
      <c r="E22" s="18"/>
      <c r="F22" s="5"/>
      <c r="G22" s="5"/>
      <c r="H22" s="9"/>
      <c r="I22" s="9"/>
      <c r="K22" s="8"/>
    </row>
    <row r="23" spans="1:11" ht="15.75" customHeight="1">
      <c r="A23" s="270"/>
      <c r="B23" s="271"/>
      <c r="C23" s="271"/>
      <c r="D23" s="271"/>
      <c r="E23" s="272"/>
      <c r="H23" s="10"/>
      <c r="I23" s="10"/>
      <c r="K23" s="8"/>
    </row>
    <row r="24" spans="1:11" ht="12.75" customHeight="1">
      <c r="A24" s="273"/>
      <c r="B24" s="274"/>
      <c r="C24" s="274"/>
      <c r="D24" s="274"/>
      <c r="E24" s="275"/>
      <c r="F24" s="30"/>
      <c r="G24" s="30"/>
      <c r="H24" s="29"/>
      <c r="K24" s="8"/>
    </row>
    <row r="25" spans="1:11" ht="12.75" customHeight="1">
      <c r="A25" s="273"/>
      <c r="B25" s="274"/>
      <c r="C25" s="274"/>
      <c r="D25" s="274"/>
      <c r="E25" s="275"/>
      <c r="F25" s="30"/>
      <c r="G25" s="30"/>
      <c r="H25" s="29"/>
      <c r="K25" s="9"/>
    </row>
    <row r="26" spans="1:11" ht="12.75" customHeight="1">
      <c r="A26" s="273"/>
      <c r="B26" s="274"/>
      <c r="C26" s="274"/>
      <c r="D26" s="274"/>
      <c r="E26" s="275"/>
      <c r="F26" s="30"/>
      <c r="G26" s="30"/>
      <c r="H26" s="29"/>
      <c r="K26" s="11"/>
    </row>
    <row r="27" spans="1:11" ht="12.75" customHeight="1">
      <c r="A27" s="273"/>
      <c r="B27" s="274"/>
      <c r="C27" s="274"/>
      <c r="D27" s="274"/>
      <c r="E27" s="275"/>
      <c r="F27" s="30"/>
      <c r="G27" s="30"/>
      <c r="H27" s="29"/>
      <c r="K27" s="7"/>
    </row>
    <row r="28" spans="1:11" ht="12.75" customHeight="1">
      <c r="A28" s="273"/>
      <c r="B28" s="274"/>
      <c r="C28" s="274"/>
      <c r="D28" s="274"/>
      <c r="E28" s="275"/>
      <c r="F28" s="30"/>
      <c r="G28" s="30"/>
      <c r="H28" s="29"/>
    </row>
    <row r="29" spans="1:11" ht="12.75" customHeight="1">
      <c r="A29" s="273"/>
      <c r="B29" s="274"/>
      <c r="C29" s="274"/>
      <c r="D29" s="274"/>
      <c r="E29" s="275"/>
      <c r="F29" s="30"/>
      <c r="G29" s="30"/>
      <c r="H29" s="29"/>
    </row>
    <row r="30" spans="1:11" ht="12.75" customHeight="1">
      <c r="A30" s="273"/>
      <c r="B30" s="274"/>
      <c r="C30" s="274"/>
      <c r="D30" s="274"/>
      <c r="E30" s="275"/>
      <c r="F30" s="30"/>
      <c r="G30" s="30"/>
      <c r="H30" s="29"/>
    </row>
    <row r="31" spans="1:11" ht="12.75" customHeight="1">
      <c r="A31" s="273"/>
      <c r="B31" s="274"/>
      <c r="C31" s="274"/>
      <c r="D31" s="274"/>
      <c r="E31" s="275"/>
      <c r="F31" s="30"/>
      <c r="G31" s="30"/>
      <c r="H31" s="29"/>
    </row>
    <row r="32" spans="1:11" ht="12.75" customHeight="1">
      <c r="A32" s="273"/>
      <c r="B32" s="274"/>
      <c r="C32" s="274"/>
      <c r="D32" s="274"/>
      <c r="E32" s="275"/>
      <c r="F32" s="30"/>
      <c r="G32" s="30"/>
      <c r="H32" s="29"/>
    </row>
    <row r="33" spans="1:8" ht="12.75" customHeight="1">
      <c r="A33" s="273"/>
      <c r="B33" s="274"/>
      <c r="C33" s="274"/>
      <c r="D33" s="274"/>
      <c r="E33" s="275"/>
      <c r="F33" s="30"/>
      <c r="G33" s="30"/>
      <c r="H33" s="29"/>
    </row>
    <row r="34" spans="1:8" ht="12.75" customHeight="1">
      <c r="A34" s="273"/>
      <c r="B34" s="274"/>
      <c r="C34" s="274"/>
      <c r="D34" s="274"/>
      <c r="E34" s="275"/>
      <c r="F34" s="30"/>
      <c r="G34" s="30"/>
      <c r="H34" s="29"/>
    </row>
    <row r="35" spans="1:8" ht="13.5" customHeight="1">
      <c r="A35" s="273"/>
      <c r="B35" s="274"/>
      <c r="C35" s="274"/>
      <c r="D35" s="274"/>
      <c r="E35" s="275"/>
    </row>
    <row r="36" spans="1:8" ht="13.5" thickBot="1">
      <c r="A36" s="276"/>
      <c r="B36" s="277"/>
      <c r="C36" s="277"/>
      <c r="D36" s="277"/>
      <c r="E36" s="278"/>
    </row>
  </sheetData>
  <mergeCells count="10">
    <mergeCell ref="J4:J5"/>
    <mergeCell ref="A23:E36"/>
    <mergeCell ref="A1:D1"/>
    <mergeCell ref="A4:B5"/>
    <mergeCell ref="C4:D5"/>
    <mergeCell ref="E10:E11"/>
    <mergeCell ref="E12:E13"/>
    <mergeCell ref="E14:E15"/>
    <mergeCell ref="E16:E17"/>
    <mergeCell ref="E18:E19"/>
  </mergeCells>
  <conditionalFormatting sqref="G17:G18">
    <cfRule type="expression" dxfId="214" priority="5">
      <formula>ISNUMBER(SEARCH(TEXT(#REF!,"ddd"),#REF!))</formula>
    </cfRule>
  </conditionalFormatting>
  <conditionalFormatting sqref="H20:I21 I19">
    <cfRule type="expression" dxfId="213" priority="6">
      <formula>ISNUMBER(SEARCH(TEXT(#REF!,"ddd"),#REF!))</formula>
    </cfRule>
  </conditionalFormatting>
  <conditionalFormatting sqref="A10:D12 A16:D17 A18:C18">
    <cfRule type="expression" dxfId="212" priority="7">
      <formula>ISNUMBER(SEARCH(TEXT(#REF!,"ddd"),#REF!))</formula>
    </cfRule>
  </conditionalFormatting>
  <conditionalFormatting sqref="K19:K24">
    <cfRule type="expression" dxfId="211" priority="8">
      <formula>ISNUMBER(SEARCH(TEXT(#REF!,"ddd"),#REF!))</formula>
    </cfRule>
  </conditionalFormatting>
  <conditionalFormatting sqref="D14">
    <cfRule type="expression" dxfId="210" priority="4">
      <formula>ISNUMBER(SEARCH(TEXT(#REF!,"ddd"),#REF!))</formula>
    </cfRule>
  </conditionalFormatting>
  <conditionalFormatting sqref="A14:C14">
    <cfRule type="expression" dxfId="209" priority="1">
      <formula>ISNUMBER(SEARCH(TEXT(#REF!,"ddd"),#REF!))</formula>
    </cfRule>
  </conditionalFormatting>
  <conditionalFormatting sqref="A13:D13">
    <cfRule type="expression" dxfId="208" priority="3">
      <formula>ISNUMBER(SEARCH(TEXT(#REF!,"ddd"),#REF!))</formula>
    </cfRule>
  </conditionalFormatting>
  <conditionalFormatting sqref="A15:D15">
    <cfRule type="expression" dxfId="207" priority="2">
      <formula>ISNUMBER(SEARCH(TEXT(#REF!,"ddd"),#REF!))</formula>
    </cfRule>
  </conditionalFormatting>
  <dataValidations disablePrompts="1" count="3">
    <dataValidation type="custom" allowBlank="1" showInputMessage="1" showErrorMessage="1" sqref="C10 C17" xr:uid="{2264F8A4-9B24-4DAA-BC96-07B70F271F28}">
      <formula1>AND($C10&lt;=1,ISNUMBER($C10),($C10&gt;=$B10))</formula1>
    </dataValidation>
    <dataValidation type="custom" allowBlank="1" showInputMessage="1" showErrorMessage="1" sqref="G17:G18" xr:uid="{8FAEBDEF-1AE6-403F-A6CC-D0A6ACC3E23C}">
      <formula1>AND($B15&lt;=1,ISNUMBER($B15))</formula1>
    </dataValidation>
    <dataValidation type="custom" allowBlank="1" showInputMessage="1" showErrorMessage="1" sqref="C18 B10:B18 C11:C16" xr:uid="{3ECDF657-8BF6-4E9E-86E1-7915E665494E}">
      <formula1>AND($B10&lt;=1,ISNUMBER($B10))</formula1>
    </dataValidation>
  </dataValidations>
  <pageMargins left="0.25" right="0.25" top="0.75" bottom="0.75" header="0.3" footer="0.3"/>
  <pageSetup paperSize="9" orientation="portrait" horizontalDpi="4294967293" verticalDpi="4294967293"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BA818-CA86-4B6A-93A5-56DFFC188668}">
  <sheetPr codeName="Sheet9">
    <pageSetUpPr fitToPage="1"/>
  </sheetPr>
  <dimension ref="A1:K70"/>
  <sheetViews>
    <sheetView showGridLines="0" topLeftCell="F1" zoomScaleNormal="100" workbookViewId="0">
      <selection activeCell="F5" sqref="F5"/>
    </sheetView>
  </sheetViews>
  <sheetFormatPr baseColWidth="10" defaultColWidth="9" defaultRowHeight="12.75"/>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7</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43871</v>
      </c>
      <c r="B3" s="234"/>
      <c r="C3" s="101">
        <f>A26</f>
        <v>43876</v>
      </c>
      <c r="D3" s="234"/>
      <c r="E3" s="72" t="s">
        <v>7</v>
      </c>
      <c r="F3" s="32">
        <f>Sumcolor(E3,D10:D19)</f>
        <v>0</v>
      </c>
      <c r="G3" s="33">
        <f>SUM(Først:Sist!F3, 'Uke5'!I2)</f>
        <v>0.60416666666666663</v>
      </c>
      <c r="H3" s="22"/>
      <c r="I3" s="7"/>
      <c r="J3" s="7"/>
    </row>
    <row r="4" spans="1:10" ht="15" customHeight="1">
      <c r="A4" s="271" t="s">
        <v>17</v>
      </c>
      <c r="B4" s="271"/>
      <c r="C4" s="280" t="s">
        <v>18</v>
      </c>
      <c r="D4" s="280"/>
      <c r="E4" s="73" t="s">
        <v>10</v>
      </c>
      <c r="F4" s="32">
        <f>Sumcolor(E4,D10:D19)</f>
        <v>6.597222222222221E-2</v>
      </c>
      <c r="G4" s="33">
        <f>SUM(Først:Sist!F4)</f>
        <v>1.8784722222222223</v>
      </c>
      <c r="H4" s="22"/>
      <c r="I4" s="7"/>
      <c r="J4" s="269"/>
    </row>
    <row r="5" spans="1:10" ht="15.75">
      <c r="A5" s="280"/>
      <c r="B5" s="280"/>
      <c r="C5" s="280"/>
      <c r="D5" s="280"/>
      <c r="E5" s="74" t="s">
        <v>11</v>
      </c>
      <c r="F5" s="32">
        <f>Sumcolor(E5,D10:D26)</f>
        <v>0.39930555555555552</v>
      </c>
      <c r="G5" s="33">
        <f>SUM(Først:Sist!F5, 'Uke5'!I4)</f>
        <v>1.020833333333333</v>
      </c>
      <c r="H5" s="22"/>
      <c r="I5" s="7"/>
      <c r="J5" s="269"/>
    </row>
    <row r="6" spans="1:10" ht="18.75" customHeight="1" thickBot="1">
      <c r="A6" s="36">
        <f>SUM(D10:D26)</f>
        <v>0.48611111111111099</v>
      </c>
      <c r="B6" s="37"/>
      <c r="C6" s="82">
        <f>SUM(Først:Sist!A6, 'Uke5'!C5)</f>
        <v>4.4131944444444446</v>
      </c>
      <c r="D6" s="38"/>
      <c r="E6" s="75" t="s">
        <v>19</v>
      </c>
      <c r="F6" s="34">
        <f>Sumcolor(E6,D10:D19)</f>
        <v>2.0833333333333259E-2</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31" t="s">
        <v>24</v>
      </c>
      <c r="F9" s="46" t="s">
        <v>25</v>
      </c>
      <c r="H9" s="25"/>
    </row>
    <row r="10" spans="1:10" ht="15">
      <c r="A10" s="102">
        <v>43871</v>
      </c>
      <c r="B10" s="83">
        <v>0.58333333333333337</v>
      </c>
      <c r="C10" s="83">
        <v>0.64583333333333337</v>
      </c>
      <c r="D10" s="84">
        <f t="shared" ref="D10" si="0">(C10-B10)</f>
        <v>6.25E-2</v>
      </c>
      <c r="E10" s="292" t="s">
        <v>32</v>
      </c>
      <c r="F10" s="98"/>
      <c r="H10" s="25"/>
    </row>
    <row r="11" spans="1:10" ht="15.75" thickBot="1">
      <c r="A11" s="103"/>
      <c r="B11" s="85"/>
      <c r="C11" s="85"/>
      <c r="D11" s="86"/>
      <c r="E11" s="293"/>
      <c r="F11" s="99"/>
      <c r="H11" s="25"/>
    </row>
    <row r="12" spans="1:10" ht="15">
      <c r="A12" s="104">
        <v>43873</v>
      </c>
      <c r="B12" s="59">
        <v>0.41666666666666669</v>
      </c>
      <c r="C12" s="59">
        <v>0.4513888888888889</v>
      </c>
      <c r="D12" s="60">
        <f>(C12-B12)</f>
        <v>3.472222222222221E-2</v>
      </c>
      <c r="E12" s="294" t="s">
        <v>33</v>
      </c>
      <c r="F12" s="99"/>
    </row>
    <row r="13" spans="1:10" ht="16.5" thickBot="1">
      <c r="A13" s="105"/>
      <c r="B13" s="62"/>
      <c r="C13" s="62"/>
      <c r="D13" s="63"/>
      <c r="E13" s="295"/>
      <c r="F13" s="99"/>
    </row>
    <row r="14" spans="1:10" ht="15">
      <c r="A14" s="106">
        <v>43873</v>
      </c>
      <c r="B14" s="87">
        <v>0.4513888888888889</v>
      </c>
      <c r="C14" s="87">
        <v>0.4826388888888889</v>
      </c>
      <c r="D14" s="88">
        <f>(C14-B14)</f>
        <v>3.125E-2</v>
      </c>
      <c r="E14" s="297" t="s">
        <v>34</v>
      </c>
      <c r="F14" s="99"/>
    </row>
    <row r="15" spans="1:10" ht="15.75" thickBot="1">
      <c r="A15" s="107"/>
      <c r="B15" s="89"/>
      <c r="C15" s="89"/>
      <c r="D15" s="90"/>
      <c r="E15" s="298"/>
      <c r="F15" s="99"/>
    </row>
    <row r="16" spans="1:10" ht="15">
      <c r="A16" s="106">
        <v>43873</v>
      </c>
      <c r="B16" s="87">
        <v>0.50694444444444442</v>
      </c>
      <c r="C16" s="87">
        <v>0.54166666666666663</v>
      </c>
      <c r="D16" s="88">
        <f>(C16-B16)</f>
        <v>3.472222222222221E-2</v>
      </c>
      <c r="E16" s="299" t="s">
        <v>35</v>
      </c>
      <c r="F16" s="99"/>
    </row>
    <row r="17" spans="1:11" ht="15.75" thickBot="1">
      <c r="A17" s="107"/>
      <c r="B17" s="89"/>
      <c r="C17" s="89"/>
      <c r="D17" s="90"/>
      <c r="E17" s="298"/>
      <c r="F17" s="99"/>
      <c r="G17" s="12"/>
    </row>
    <row r="18" spans="1:11" ht="15">
      <c r="A18" s="108">
        <v>43873</v>
      </c>
      <c r="B18" s="51">
        <v>0.61458333333333337</v>
      </c>
      <c r="C18" s="51">
        <v>0.63541666666666663</v>
      </c>
      <c r="D18" s="52">
        <f>C18-B18</f>
        <v>2.0833333333333259E-2</v>
      </c>
      <c r="E18" s="300" t="s">
        <v>36</v>
      </c>
      <c r="F18" s="99"/>
      <c r="G18" s="12"/>
    </row>
    <row r="19" spans="1:11" ht="15.75" thickBot="1">
      <c r="A19" s="109"/>
      <c r="B19" s="70"/>
      <c r="C19" s="70"/>
      <c r="D19" s="69"/>
      <c r="E19" s="301"/>
      <c r="F19" s="99"/>
      <c r="I19" s="8"/>
      <c r="K19" s="8"/>
    </row>
    <row r="20" spans="1:11" ht="15">
      <c r="A20" s="110">
        <v>43874</v>
      </c>
      <c r="B20" s="91">
        <v>0.41666666666666669</v>
      </c>
      <c r="C20" s="91">
        <v>0.47916666666666669</v>
      </c>
      <c r="D20" s="92">
        <f t="shared" ref="D20" si="1">(C20-B20)</f>
        <v>6.25E-2</v>
      </c>
      <c r="E20" s="289" t="s">
        <v>37</v>
      </c>
      <c r="F20" s="99"/>
      <c r="H20" s="8"/>
      <c r="I20" s="8"/>
      <c r="K20" s="8"/>
    </row>
    <row r="21" spans="1:11" ht="15.75" thickBot="1">
      <c r="A21" s="111"/>
      <c r="B21" s="93"/>
      <c r="C21" s="93"/>
      <c r="D21" s="94"/>
      <c r="E21" s="290"/>
      <c r="F21" s="99"/>
      <c r="H21" s="8"/>
      <c r="I21" s="8"/>
      <c r="K21" s="8"/>
    </row>
    <row r="22" spans="1:11" ht="15">
      <c r="A22" s="112">
        <v>43875</v>
      </c>
      <c r="B22" s="95">
        <v>0.41666666666666669</v>
      </c>
      <c r="C22" s="95">
        <v>0.49305555555555558</v>
      </c>
      <c r="D22" s="96">
        <f>(C22-B22)</f>
        <v>7.6388888888888895E-2</v>
      </c>
      <c r="E22" s="296" t="s">
        <v>38</v>
      </c>
      <c r="F22" s="99"/>
      <c r="G22" s="5"/>
      <c r="H22" s="9"/>
      <c r="I22" s="9"/>
      <c r="K22" s="8"/>
    </row>
    <row r="23" spans="1:11" ht="15.75" customHeight="1" thickBot="1">
      <c r="A23" s="111"/>
      <c r="B23" s="97"/>
      <c r="C23" s="97"/>
      <c r="D23" s="94"/>
      <c r="E23" s="290"/>
      <c r="F23" s="99"/>
      <c r="H23" s="10"/>
      <c r="I23" s="10"/>
      <c r="K23" s="8"/>
    </row>
    <row r="24" spans="1:11" ht="12.75" customHeight="1">
      <c r="A24" s="110">
        <v>43875</v>
      </c>
      <c r="B24" s="91">
        <v>0.51388888888888895</v>
      </c>
      <c r="C24" s="91">
        <v>0.5625</v>
      </c>
      <c r="D24" s="92">
        <f>C24-B24</f>
        <v>4.8611111111111049E-2</v>
      </c>
      <c r="E24" s="289" t="s">
        <v>39</v>
      </c>
      <c r="F24" s="99"/>
      <c r="G24" s="30"/>
      <c r="H24" s="29"/>
      <c r="K24" s="8"/>
    </row>
    <row r="25" spans="1:11" ht="12.75" customHeight="1" thickBot="1">
      <c r="A25" s="111"/>
      <c r="B25" s="93"/>
      <c r="C25" s="93"/>
      <c r="D25" s="94"/>
      <c r="E25" s="290"/>
      <c r="F25" s="99"/>
      <c r="G25" s="30"/>
      <c r="H25" s="29"/>
      <c r="K25" s="9"/>
    </row>
    <row r="26" spans="1:11" ht="12.75" customHeight="1">
      <c r="A26" s="112">
        <v>43876</v>
      </c>
      <c r="B26" s="95">
        <v>0.54166666666666663</v>
      </c>
      <c r="C26" s="95">
        <v>0.65625</v>
      </c>
      <c r="D26" s="96">
        <f>(C26-B26)</f>
        <v>0.11458333333333337</v>
      </c>
      <c r="E26" s="291" t="s">
        <v>40</v>
      </c>
      <c r="F26" s="99"/>
      <c r="G26" s="30"/>
      <c r="H26" s="29"/>
      <c r="K26" s="11"/>
    </row>
    <row r="27" spans="1:11" ht="12.75" customHeight="1" thickBot="1">
      <c r="A27" s="111"/>
      <c r="B27" s="97"/>
      <c r="C27" s="97"/>
      <c r="D27" s="94"/>
      <c r="E27" s="290"/>
      <c r="F27" s="100"/>
      <c r="G27" s="30"/>
      <c r="H27" s="29"/>
      <c r="K27" s="7"/>
    </row>
    <row r="28" spans="1:11" ht="12.75" customHeight="1">
      <c r="F28" s="30"/>
      <c r="G28" s="30"/>
      <c r="H28" s="29"/>
    </row>
    <row r="29" spans="1:11" ht="12.75" customHeight="1">
      <c r="F29" s="30"/>
      <c r="G29" s="30"/>
      <c r="H29" s="29"/>
    </row>
    <row r="30" spans="1:11" ht="12.75" customHeight="1">
      <c r="F30" s="30"/>
      <c r="G30" s="30"/>
      <c r="H30" s="29"/>
    </row>
    <row r="31" spans="1:11" ht="12.75" customHeight="1">
      <c r="F31" s="30"/>
      <c r="G31" s="30"/>
      <c r="H31" s="29"/>
    </row>
    <row r="32" spans="1:11" ht="12.75" customHeight="1">
      <c r="F32" s="30"/>
      <c r="G32" s="30"/>
      <c r="H32" s="29"/>
    </row>
    <row r="33" spans="1:8" ht="12.75" customHeight="1">
      <c r="F33" s="30"/>
      <c r="G33" s="30"/>
      <c r="H33" s="29"/>
    </row>
    <row r="34" spans="1:8" ht="12.75" customHeight="1">
      <c r="F34" s="30"/>
      <c r="G34" s="30"/>
      <c r="H34" s="29"/>
    </row>
    <row r="35" spans="1:8" ht="13.5" customHeight="1"/>
    <row r="40" spans="1:8" ht="24" thickBot="1">
      <c r="A40" s="28" t="s">
        <v>31</v>
      </c>
      <c r="B40" s="28"/>
      <c r="C40" s="27"/>
      <c r="D40" s="27"/>
      <c r="E40" s="27"/>
    </row>
    <row r="41" spans="1:8" ht="13.5" thickBot="1">
      <c r="A41" s="5"/>
      <c r="B41" s="15"/>
      <c r="C41" s="16"/>
      <c r="D41" s="17"/>
      <c r="E41" s="18"/>
    </row>
    <row r="42" spans="1:8" ht="12.6" customHeight="1">
      <c r="A42" s="271"/>
      <c r="B42" s="271"/>
      <c r="C42" s="271"/>
      <c r="D42" s="271"/>
      <c r="E42" s="271"/>
    </row>
    <row r="43" spans="1:8" ht="12.6" customHeight="1">
      <c r="A43" s="274"/>
      <c r="B43" s="274"/>
      <c r="C43" s="274"/>
      <c r="D43" s="274"/>
      <c r="E43" s="274"/>
    </row>
    <row r="44" spans="1:8" ht="12.6" customHeight="1">
      <c r="A44" s="274"/>
      <c r="B44" s="274"/>
      <c r="C44" s="274"/>
      <c r="D44" s="274"/>
      <c r="E44" s="274"/>
    </row>
    <row r="45" spans="1:8" ht="12.6" customHeight="1">
      <c r="A45" s="274"/>
      <c r="B45" s="274"/>
      <c r="C45" s="274"/>
      <c r="D45" s="274"/>
      <c r="E45" s="274"/>
    </row>
    <row r="46" spans="1:8" ht="12.6" customHeight="1">
      <c r="A46" s="274"/>
      <c r="B46" s="274"/>
      <c r="C46" s="274"/>
      <c r="D46" s="274"/>
      <c r="E46" s="274"/>
    </row>
    <row r="47" spans="1:8" ht="12.6"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c r="A53" s="274"/>
      <c r="B53" s="274"/>
      <c r="C53" s="274"/>
      <c r="D53" s="274"/>
      <c r="E53" s="274"/>
    </row>
    <row r="54" spans="1:5" ht="12.6" customHeight="1">
      <c r="A54" s="274"/>
      <c r="B54" s="274"/>
      <c r="C54" s="274"/>
      <c r="D54" s="274"/>
      <c r="E54" s="274"/>
    </row>
    <row r="55" spans="1:5" ht="13.15" customHeight="1">
      <c r="A55" s="274"/>
      <c r="B55" s="274"/>
      <c r="C55" s="274"/>
      <c r="D55" s="274"/>
      <c r="E55" s="274"/>
    </row>
    <row r="56" spans="1:5" ht="12.6" customHeight="1">
      <c r="A56" s="274"/>
      <c r="B56" s="274"/>
      <c r="C56" s="274"/>
      <c r="D56" s="274"/>
      <c r="E56" s="274"/>
    </row>
    <row r="57" spans="1:5" ht="12.6" customHeight="1">
      <c r="A57" s="274"/>
      <c r="B57" s="274"/>
      <c r="C57" s="274"/>
      <c r="D57" s="274"/>
      <c r="E57" s="274"/>
    </row>
    <row r="58" spans="1:5" ht="12.6" customHeight="1">
      <c r="A58" s="274"/>
      <c r="B58" s="274"/>
      <c r="C58" s="274"/>
      <c r="D58" s="274"/>
      <c r="E58" s="274"/>
    </row>
    <row r="59" spans="1:5" ht="12.6" customHeight="1">
      <c r="A59" s="274"/>
      <c r="B59" s="274"/>
      <c r="C59" s="274"/>
      <c r="D59" s="274"/>
      <c r="E59" s="274"/>
    </row>
    <row r="60" spans="1:5" ht="12.6" customHeight="1">
      <c r="A60" s="274"/>
      <c r="B60" s="274"/>
      <c r="C60" s="274"/>
      <c r="D60" s="274"/>
      <c r="E60" s="274"/>
    </row>
    <row r="61" spans="1:5" ht="12.6" customHeight="1">
      <c r="A61" s="274"/>
      <c r="B61" s="274"/>
      <c r="C61" s="274"/>
      <c r="D61" s="274"/>
      <c r="E61" s="274"/>
    </row>
    <row r="62" spans="1:5" ht="12.6" customHeight="1">
      <c r="A62" s="274"/>
      <c r="B62" s="274"/>
      <c r="C62" s="274"/>
      <c r="D62" s="274"/>
      <c r="E62" s="274"/>
    </row>
    <row r="63" spans="1:5" ht="12.6" customHeight="1">
      <c r="A63" s="274"/>
      <c r="B63" s="274"/>
      <c r="C63" s="274"/>
      <c r="D63" s="274"/>
      <c r="E63" s="274"/>
    </row>
    <row r="64" spans="1:5" ht="12.6" customHeight="1">
      <c r="A64" s="274"/>
      <c r="B64" s="274"/>
      <c r="C64" s="274"/>
      <c r="D64" s="274"/>
      <c r="E64" s="274"/>
    </row>
    <row r="65" spans="1:5" ht="12.6" customHeight="1">
      <c r="A65" s="274"/>
      <c r="B65" s="274"/>
      <c r="C65" s="274"/>
      <c r="D65" s="274"/>
      <c r="E65" s="274"/>
    </row>
    <row r="66" spans="1:5" ht="12.6" customHeight="1">
      <c r="A66" s="274"/>
      <c r="B66" s="274"/>
      <c r="C66" s="274"/>
      <c r="D66" s="274"/>
      <c r="E66" s="274"/>
    </row>
    <row r="67" spans="1:5" ht="12.6" customHeight="1">
      <c r="A67" s="274"/>
      <c r="B67" s="274"/>
      <c r="C67" s="274"/>
      <c r="D67" s="274"/>
      <c r="E67" s="274"/>
    </row>
    <row r="68" spans="1:5" ht="12.6" customHeight="1">
      <c r="A68" s="274"/>
      <c r="B68" s="274"/>
      <c r="C68" s="274"/>
      <c r="D68" s="274"/>
      <c r="E68" s="274"/>
    </row>
    <row r="69" spans="1:5" ht="12.6" customHeight="1">
      <c r="A69" s="274"/>
      <c r="B69" s="274"/>
      <c r="C69" s="274"/>
      <c r="D69" s="274"/>
      <c r="E69" s="274"/>
    </row>
    <row r="70" spans="1:5" ht="12.6" customHeight="1">
      <c r="A70" s="274"/>
      <c r="B70" s="274"/>
      <c r="C70" s="274"/>
      <c r="D70" s="274"/>
      <c r="E70" s="274"/>
    </row>
  </sheetData>
  <mergeCells count="14">
    <mergeCell ref="J4:J5"/>
    <mergeCell ref="E10:E11"/>
    <mergeCell ref="E12:E13"/>
    <mergeCell ref="E20:E21"/>
    <mergeCell ref="E22:E23"/>
    <mergeCell ref="E14:E15"/>
    <mergeCell ref="E16:E17"/>
    <mergeCell ref="E18:E19"/>
    <mergeCell ref="A42:E70"/>
    <mergeCell ref="A1:D1"/>
    <mergeCell ref="A4:B5"/>
    <mergeCell ref="C4:D5"/>
    <mergeCell ref="E24:E25"/>
    <mergeCell ref="E26:E27"/>
  </mergeCells>
  <conditionalFormatting sqref="G17:G18">
    <cfRule type="expression" dxfId="206" priority="5">
      <formula>ISNUMBER(SEARCH(TEXT(#REF!,"ddd"),#REF!))</formula>
    </cfRule>
  </conditionalFormatting>
  <conditionalFormatting sqref="H20:I21 I19">
    <cfRule type="expression" dxfId="205" priority="6">
      <formula>ISNUMBER(SEARCH(TEXT(#REF!,"ddd"),#REF!))</formula>
    </cfRule>
  </conditionalFormatting>
  <conditionalFormatting sqref="A10:D12 A16:D17 A18:C18 A20:D21 A24:D25 A22:C22 A26:C26">
    <cfRule type="expression" dxfId="204" priority="7">
      <formula>ISNUMBER(SEARCH(TEXT(#REF!,"ddd"),#REF!))</formula>
    </cfRule>
  </conditionalFormatting>
  <conditionalFormatting sqref="K19:K24">
    <cfRule type="expression" dxfId="203" priority="8">
      <formula>ISNUMBER(SEARCH(TEXT(#REF!,"ddd"),#REF!))</formula>
    </cfRule>
  </conditionalFormatting>
  <conditionalFormatting sqref="D14">
    <cfRule type="expression" dxfId="202" priority="4">
      <formula>ISNUMBER(SEARCH(TEXT(#REF!,"ddd"),#REF!))</formula>
    </cfRule>
  </conditionalFormatting>
  <conditionalFormatting sqref="A14:C14">
    <cfRule type="expression" dxfId="201" priority="1">
      <formula>ISNUMBER(SEARCH(TEXT(#REF!,"ddd"),#REF!))</formula>
    </cfRule>
  </conditionalFormatting>
  <conditionalFormatting sqref="A13:D13">
    <cfRule type="expression" dxfId="200" priority="3">
      <formula>ISNUMBER(SEARCH(TEXT(#REF!,"ddd"),#REF!))</formula>
    </cfRule>
  </conditionalFormatting>
  <conditionalFormatting sqref="A15:D15">
    <cfRule type="expression" dxfId="199" priority="2">
      <formula>ISNUMBER(SEARCH(TEXT(#REF!,"ddd"),#REF!))</formula>
    </cfRule>
  </conditionalFormatting>
  <dataValidations count="3">
    <dataValidation type="custom" allowBlank="1" showInputMessage="1" showErrorMessage="1" sqref="C18 B10:B18 C11:C16 C22 C26 B20:B22 B24:B26 C20 C24" xr:uid="{B1EB01A7-BF8E-49CE-BA74-0ED15686AEE9}">
      <formula1>AND($B10&lt;=1,ISNUMBER($B10))</formula1>
    </dataValidation>
    <dataValidation type="custom" allowBlank="1" showInputMessage="1" showErrorMessage="1" sqref="G17:G18" xr:uid="{6510D110-D48F-4287-989B-7C26C195A832}">
      <formula1>AND($B15&lt;=1,ISNUMBER($B15))</formula1>
    </dataValidation>
    <dataValidation type="custom" allowBlank="1" showInputMessage="1" showErrorMessage="1" sqref="C10 C17 C21 C25" xr:uid="{CE4C29F1-4BBA-4B3F-9A1D-1191D12FB69B}">
      <formula1>AND($C10&lt;=1,ISNUMBER($C10),($C10&gt;=$B10))</formula1>
    </dataValidation>
  </dataValidations>
  <pageMargins left="0.25" right="0.25" top="0.75" bottom="0.75" header="0.3" footer="0.3"/>
  <pageSetup paperSize="9" scale="47" orientation="landscape" horizontalDpi="4294967293" vertic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FECD3-BD38-4FA3-8F23-1DEF87B66E40}">
  <sheetPr codeName="Sheet10">
    <pageSetUpPr fitToPage="1"/>
  </sheetPr>
  <dimension ref="A1:J70"/>
  <sheetViews>
    <sheetView showGridLines="0" zoomScaleNormal="100" workbookViewId="0">
      <selection activeCell="G5" sqref="G5"/>
    </sheetView>
  </sheetViews>
  <sheetFormatPr baseColWidth="10" defaultColWidth="9" defaultRowHeight="12.75"/>
  <cols>
    <col min="1" max="1" width="13.5" bestFit="1" customWidth="1"/>
    <col min="2" max="2" width="14.25" customWidth="1"/>
    <col min="3" max="3" width="13.125" bestFit="1" customWidth="1"/>
    <col min="4" max="4" width="12.87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8</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43878</v>
      </c>
      <c r="B3" s="234"/>
      <c r="C3" s="101">
        <f>A14</f>
        <v>43881</v>
      </c>
      <c r="D3" s="234"/>
      <c r="E3" s="72" t="s">
        <v>7</v>
      </c>
      <c r="F3" s="32">
        <f>Sumcolor(E3,D10:D13)</f>
        <v>8.333333333333337E-2</v>
      </c>
      <c r="G3" s="33">
        <f>SUM(Først:Sist!F3, 'Uke5'!I2)</f>
        <v>0.60416666666666663</v>
      </c>
      <c r="H3" s="22"/>
      <c r="I3" s="7"/>
      <c r="J3" s="7"/>
    </row>
    <row r="4" spans="1:10" ht="15" customHeight="1">
      <c r="A4" s="271" t="s">
        <v>17</v>
      </c>
      <c r="B4" s="271"/>
      <c r="C4" s="280" t="s">
        <v>18</v>
      </c>
      <c r="D4" s="280"/>
      <c r="E4" s="73" t="s">
        <v>10</v>
      </c>
      <c r="F4" s="32">
        <f>Sumcolor(E4,D10:D13)</f>
        <v>0</v>
      </c>
      <c r="G4" s="33">
        <f>SUM(Først:Sist!F4)</f>
        <v>1.8784722222222223</v>
      </c>
      <c r="H4" s="22"/>
      <c r="I4" s="7"/>
      <c r="J4" s="269"/>
    </row>
    <row r="5" spans="1:10" ht="15.75">
      <c r="A5" s="280"/>
      <c r="B5" s="280"/>
      <c r="C5" s="280"/>
      <c r="D5" s="280"/>
      <c r="E5" s="74" t="s">
        <v>11</v>
      </c>
      <c r="F5" s="32">
        <f>Sumcolor(E5,D10:D14)</f>
        <v>4.513888888888884E-2</v>
      </c>
      <c r="G5" s="33">
        <f>SUM(Først:Sist!F5, 'Uke5'!I4)</f>
        <v>1.020833333333333</v>
      </c>
      <c r="H5" s="22"/>
      <c r="I5" s="7"/>
      <c r="J5" s="269"/>
    </row>
    <row r="6" spans="1:10" ht="18.75" customHeight="1" thickBot="1">
      <c r="A6" s="36">
        <f>SUM(D10:D14)</f>
        <v>0.12847222222222221</v>
      </c>
      <c r="B6" s="37"/>
      <c r="C6" s="82">
        <f>SUM(Først:Sist!A6, 'Uke5'!C5)</f>
        <v>4.4131944444444446</v>
      </c>
      <c r="D6" s="38"/>
      <c r="E6" s="75" t="s">
        <v>19</v>
      </c>
      <c r="F6" s="34">
        <f>Sumcolor(E6,D10:D13)</f>
        <v>0</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43878</v>
      </c>
      <c r="B10" s="83">
        <v>0.58680555555555558</v>
      </c>
      <c r="C10" s="83">
        <v>0.60069444444444442</v>
      </c>
      <c r="D10" s="84">
        <f t="shared" ref="D10" si="0">(C10-B10)</f>
        <v>1.388888888888884E-2</v>
      </c>
      <c r="E10" s="310" t="s">
        <v>41</v>
      </c>
      <c r="F10" s="311"/>
      <c r="G10" s="118"/>
      <c r="H10" s="25"/>
    </row>
    <row r="11" spans="1:10" ht="15.75" thickBot="1">
      <c r="A11" s="103"/>
      <c r="B11" s="85"/>
      <c r="C11" s="85"/>
      <c r="D11" s="86"/>
      <c r="E11" s="304"/>
      <c r="F11" s="305"/>
      <c r="G11" s="119"/>
      <c r="H11" s="25"/>
    </row>
    <row r="12" spans="1:10" ht="14.45" customHeight="1">
      <c r="A12" s="116">
        <v>43878</v>
      </c>
      <c r="B12" s="48">
        <v>0.60416666666666663</v>
      </c>
      <c r="C12" s="48">
        <v>0.6875</v>
      </c>
      <c r="D12" s="117">
        <f>(C12-B12)</f>
        <v>8.333333333333337E-2</v>
      </c>
      <c r="E12" s="306" t="s">
        <v>42</v>
      </c>
      <c r="F12" s="307"/>
      <c r="G12" s="119"/>
    </row>
    <row r="13" spans="1:10" ht="15.75" thickBot="1">
      <c r="A13" s="113"/>
      <c r="B13" s="114"/>
      <c r="C13" s="114"/>
      <c r="D13" s="115"/>
      <c r="E13" s="308"/>
      <c r="F13" s="309"/>
      <c r="G13" s="100"/>
    </row>
    <row r="14" spans="1:10" ht="14.45" customHeight="1">
      <c r="A14" s="102">
        <v>43881</v>
      </c>
      <c r="B14" s="83">
        <v>0.41666666666666669</v>
      </c>
      <c r="C14" s="83">
        <v>0.44791666666666669</v>
      </c>
      <c r="D14" s="60">
        <f>(C14-B14)</f>
        <v>3.125E-2</v>
      </c>
      <c r="E14" s="302" t="s">
        <v>43</v>
      </c>
      <c r="F14" s="303"/>
      <c r="G14" s="118"/>
    </row>
    <row r="15" spans="1:10" ht="13.5" customHeight="1" thickBot="1">
      <c r="A15" s="123"/>
      <c r="B15" s="124"/>
      <c r="C15" s="124"/>
      <c r="D15" s="125"/>
      <c r="E15" s="304"/>
      <c r="F15" s="305"/>
      <c r="G15" s="120"/>
    </row>
    <row r="16" spans="1:10" ht="14.45" customHeight="1">
      <c r="A16" s="312" t="s">
        <v>31</v>
      </c>
      <c r="B16" s="312"/>
    </row>
    <row r="17" spans="1:8" ht="15" customHeight="1" thickBot="1">
      <c r="A17" s="313"/>
      <c r="B17" s="313"/>
      <c r="C17" s="27"/>
      <c r="D17" s="27"/>
      <c r="E17" s="27"/>
    </row>
    <row r="18" spans="1:8" ht="14.45" customHeight="1" thickBot="1">
      <c r="A18" s="5"/>
      <c r="B18" s="15"/>
      <c r="C18" s="16"/>
      <c r="D18" s="17"/>
      <c r="E18" s="18"/>
    </row>
    <row r="19" spans="1:8" ht="15" customHeight="1">
      <c r="A19" s="271"/>
      <c r="B19" s="271"/>
      <c r="C19" s="271"/>
      <c r="D19" s="271"/>
      <c r="E19" s="271"/>
    </row>
    <row r="20" spans="1:8" ht="14.45" customHeight="1">
      <c r="A20" s="274"/>
      <c r="B20" s="274"/>
      <c r="C20" s="274"/>
      <c r="D20" s="274"/>
      <c r="E20" s="274"/>
    </row>
    <row r="21" spans="1:8" ht="15" customHeight="1">
      <c r="A21" s="274"/>
      <c r="B21" s="274"/>
      <c r="C21" s="274"/>
      <c r="D21" s="274"/>
      <c r="E21" s="274"/>
    </row>
    <row r="22" spans="1:8" ht="14.45" customHeight="1">
      <c r="A22" s="274"/>
      <c r="B22" s="274"/>
      <c r="C22" s="274"/>
      <c r="D22" s="274"/>
      <c r="E22" s="274"/>
    </row>
    <row r="23" spans="1:8" ht="15.75" customHeight="1">
      <c r="A23" s="274"/>
      <c r="B23" s="274"/>
      <c r="C23" s="274"/>
      <c r="D23" s="274"/>
      <c r="E23" s="274"/>
    </row>
    <row r="24" spans="1:8" ht="12.75" customHeight="1">
      <c r="A24" s="274"/>
      <c r="B24" s="274"/>
      <c r="C24" s="274"/>
      <c r="D24" s="274"/>
      <c r="E24" s="274"/>
    </row>
    <row r="25" spans="1:8" ht="12.75" customHeight="1">
      <c r="A25" s="274"/>
      <c r="B25" s="274"/>
      <c r="C25" s="274"/>
      <c r="D25" s="274"/>
      <c r="E25" s="274"/>
    </row>
    <row r="26" spans="1:8" ht="12.75" customHeight="1">
      <c r="A26" s="274"/>
      <c r="B26" s="274"/>
      <c r="C26" s="274"/>
      <c r="D26" s="274"/>
      <c r="E26" s="274"/>
    </row>
    <row r="27" spans="1:8" ht="12.75" customHeight="1">
      <c r="A27" s="274"/>
      <c r="B27" s="274"/>
      <c r="C27" s="274"/>
      <c r="D27" s="274"/>
      <c r="E27" s="274"/>
    </row>
    <row r="28" spans="1:8" ht="12.75" customHeight="1">
      <c r="A28" s="274"/>
      <c r="B28" s="274"/>
      <c r="C28" s="274"/>
      <c r="D28" s="274"/>
      <c r="E28" s="274"/>
      <c r="F28" s="30"/>
      <c r="G28" s="30"/>
      <c r="H28" s="29"/>
    </row>
    <row r="29" spans="1:8" ht="12.75" customHeight="1">
      <c r="A29" s="236"/>
      <c r="B29" s="236"/>
      <c r="C29" s="236"/>
      <c r="D29" s="236"/>
      <c r="E29" s="236"/>
      <c r="F29" s="30"/>
      <c r="G29" s="30"/>
      <c r="H29" s="29"/>
    </row>
    <row r="30" spans="1:8" ht="12.75" customHeight="1">
      <c r="A30" s="236"/>
      <c r="B30" s="236"/>
      <c r="C30" s="236"/>
      <c r="D30" s="236"/>
      <c r="E30" s="236"/>
      <c r="F30" s="30"/>
      <c r="G30" s="30"/>
      <c r="H30" s="29"/>
    </row>
    <row r="31" spans="1:8" ht="12.75" customHeight="1">
      <c r="F31" s="30"/>
      <c r="G31" s="30"/>
      <c r="H31" s="29"/>
    </row>
    <row r="32" spans="1:8" ht="12.75" customHeight="1">
      <c r="F32" s="30"/>
      <c r="G32" s="30"/>
      <c r="H32" s="29"/>
    </row>
    <row r="33" spans="1:8" ht="12.75" customHeight="1">
      <c r="G33" s="30"/>
      <c r="H33" s="29"/>
    </row>
    <row r="34" spans="1:8" ht="12.75" customHeight="1">
      <c r="G34" s="30"/>
      <c r="H34" s="29"/>
    </row>
    <row r="35" spans="1:8" ht="13.5" customHeight="1"/>
    <row r="36" spans="1:8" ht="12.75" customHeight="1"/>
    <row r="37" spans="1:8" ht="12.75" customHeight="1"/>
    <row r="38" spans="1:8" ht="12.75" customHeight="1"/>
    <row r="39" spans="1:8" ht="12.75" customHeight="1"/>
    <row r="40" spans="1:8" ht="12.75" customHeight="1"/>
    <row r="41" spans="1:8" ht="15">
      <c r="A41" s="236"/>
      <c r="B41" s="236"/>
      <c r="C41" s="236"/>
      <c r="D41" s="236"/>
      <c r="E41" s="236"/>
    </row>
    <row r="42" spans="1:8" ht="12.6" customHeight="1">
      <c r="A42" s="236"/>
      <c r="B42" s="236"/>
      <c r="C42" s="236"/>
      <c r="D42" s="236"/>
      <c r="E42" s="236"/>
    </row>
    <row r="43" spans="1:8" ht="12.6" customHeight="1">
      <c r="A43" s="236"/>
      <c r="B43" s="236"/>
      <c r="C43" s="236"/>
      <c r="D43" s="236"/>
      <c r="E43" s="236"/>
    </row>
    <row r="44" spans="1:8" ht="12.6" customHeight="1"/>
    <row r="45" spans="1:8" ht="12.6" customHeight="1"/>
    <row r="46" spans="1:8" ht="12.6" customHeight="1"/>
    <row r="47" spans="1:8" ht="12.6" customHeight="1"/>
    <row r="48" spans="1:8"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2.6" customHeight="1"/>
    <row r="66" ht="12.6" customHeight="1"/>
    <row r="67" ht="12.6" customHeight="1"/>
    <row r="68" ht="12.6" customHeight="1"/>
    <row r="69" ht="12.6" customHeight="1"/>
    <row r="70" ht="12.6" customHeight="1"/>
  </sheetData>
  <mergeCells count="9">
    <mergeCell ref="A19:E28"/>
    <mergeCell ref="A1:D1"/>
    <mergeCell ref="A4:B5"/>
    <mergeCell ref="C4:D5"/>
    <mergeCell ref="J4:J5"/>
    <mergeCell ref="E14:F15"/>
    <mergeCell ref="E12:F13"/>
    <mergeCell ref="E10:F11"/>
    <mergeCell ref="A16:B17"/>
  </mergeCells>
  <conditionalFormatting sqref="A10:D12">
    <cfRule type="expression" dxfId="198" priority="11">
      <formula>ISNUMBER(SEARCH(TEXT(#REF!,"ddd"),#REF!))</formula>
    </cfRule>
  </conditionalFormatting>
  <conditionalFormatting sqref="A13:D13">
    <cfRule type="expression" dxfId="197" priority="7">
      <formula>ISNUMBER(SEARCH(TEXT(#REF!,"ddd"),#REF!))</formula>
    </cfRule>
  </conditionalFormatting>
  <conditionalFormatting sqref="A14:D14">
    <cfRule type="expression" dxfId="196" priority="4">
      <formula>ISNUMBER(SEARCH(TEXT(#REF!,"ddd"),#REF!))</formula>
    </cfRule>
  </conditionalFormatting>
  <conditionalFormatting sqref="A15:D15">
    <cfRule type="expression" dxfId="195" priority="3">
      <formula>ISNUMBER(SEARCH(TEXT(#REF!,"ddd"),#REF!))</formula>
    </cfRule>
  </conditionalFormatting>
  <dataValidations count="2">
    <dataValidation type="custom" allowBlank="1" showInputMessage="1" showErrorMessage="1" sqref="C10" xr:uid="{C968BB1A-8E03-41AB-A465-919B792FB671}">
      <formula1>AND($C10&lt;=1,ISNUMBER($C10),($C10&gt;=$B10))</formula1>
    </dataValidation>
    <dataValidation type="custom" allowBlank="1" showInputMessage="1" showErrorMessage="1" sqref="B10:B15 C11:C15" xr:uid="{A5967376-EFBF-4B32-96E3-D02B2B38ED63}">
      <formula1>AND($B10&lt;=1,ISNUMBER($B10))</formula1>
    </dataValidation>
  </dataValidations>
  <pageMargins left="0.25" right="0.25" top="0.75" bottom="0.75" header="0.3" footer="0.3"/>
  <pageSetup paperSize="9" scale="44" orientation="portrait" horizontalDpi="4294967293" verticalDpi="429496729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50A4E-3883-41F9-B5BA-964FC56EDE91}">
  <sheetPr codeName="Sheet11">
    <pageSetUpPr fitToPage="1"/>
  </sheetPr>
  <dimension ref="A1:K70"/>
  <sheetViews>
    <sheetView showGridLines="0" zoomScaleNormal="100" workbookViewId="0">
      <selection activeCell="G5" sqref="G5"/>
    </sheetView>
  </sheetViews>
  <sheetFormatPr baseColWidth="10" defaultColWidth="9" defaultRowHeight="12.75"/>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9</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43885</v>
      </c>
      <c r="B3" s="234"/>
      <c r="C3" s="101">
        <f>A26</f>
        <v>43887</v>
      </c>
      <c r="D3" s="234"/>
      <c r="E3" s="72" t="s">
        <v>7</v>
      </c>
      <c r="F3" s="32">
        <f>Sumcolor(E3,D10:D27)</f>
        <v>6.944444444444442E-2</v>
      </c>
      <c r="G3" s="33">
        <f>SUM(Først:Sist!F3, 'Uke5'!I2)</f>
        <v>0.60416666666666663</v>
      </c>
      <c r="H3" s="22"/>
      <c r="I3" s="7"/>
      <c r="J3" s="7"/>
    </row>
    <row r="4" spans="1:10" ht="15" customHeight="1">
      <c r="A4" s="271" t="s">
        <v>17</v>
      </c>
      <c r="B4" s="271"/>
      <c r="C4" s="280" t="s">
        <v>18</v>
      </c>
      <c r="D4" s="280"/>
      <c r="E4" s="73" t="s">
        <v>10</v>
      </c>
      <c r="F4" s="32">
        <f>Sumcolor(E4,D10:D32)</f>
        <v>0.45486111111111127</v>
      </c>
      <c r="G4" s="33">
        <f>SUM(Først:Sist!F4)</f>
        <v>1.8784722222222223</v>
      </c>
      <c r="H4" s="22"/>
      <c r="I4" s="7"/>
      <c r="J4" s="269"/>
    </row>
    <row r="5" spans="1:10" ht="15.75">
      <c r="A5" s="280"/>
      <c r="B5" s="280"/>
      <c r="C5" s="280"/>
      <c r="D5" s="280"/>
      <c r="E5" s="74" t="s">
        <v>11</v>
      </c>
      <c r="F5" s="32">
        <f>Sumcolor(E5,D10:D32)</f>
        <v>0.1736111111111111</v>
      </c>
      <c r="G5" s="33">
        <f>SUM(Først:Sist!F5, 'Uke5'!I4)</f>
        <v>1.020833333333333</v>
      </c>
      <c r="H5" s="22"/>
      <c r="I5" s="7"/>
      <c r="J5" s="269"/>
    </row>
    <row r="6" spans="1:10" ht="18.75" customHeight="1" thickBot="1">
      <c r="A6" s="36">
        <f>SUM(D10:D32)</f>
        <v>0.69791666666666674</v>
      </c>
      <c r="B6" s="37"/>
      <c r="C6" s="82">
        <f>SUM(Først:Sist!A6, 'Uke5'!C5)</f>
        <v>4.4131944444444446</v>
      </c>
      <c r="D6" s="38"/>
      <c r="E6" s="75" t="s">
        <v>19</v>
      </c>
      <c r="F6" s="34">
        <f>Sumcolor(E6,D10:D28)</f>
        <v>0</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43885</v>
      </c>
      <c r="B10" s="83">
        <v>0.61458333333333337</v>
      </c>
      <c r="C10" s="83">
        <v>0.625</v>
      </c>
      <c r="D10" s="84">
        <f t="shared" ref="D10" si="0">(C10-B10)</f>
        <v>1.041666666666663E-2</v>
      </c>
      <c r="E10" s="310" t="s">
        <v>41</v>
      </c>
      <c r="F10" s="311"/>
      <c r="G10" s="118"/>
      <c r="H10" s="25"/>
    </row>
    <row r="11" spans="1:10" ht="15.75" thickBot="1">
      <c r="A11" s="103"/>
      <c r="B11" s="85"/>
      <c r="C11" s="85"/>
      <c r="D11" s="86"/>
      <c r="E11" s="304"/>
      <c r="F11" s="305"/>
      <c r="G11" s="100"/>
      <c r="H11" s="25"/>
    </row>
    <row r="12" spans="1:10" ht="14.45" customHeight="1">
      <c r="A12" s="102">
        <v>43885</v>
      </c>
      <c r="B12" s="83">
        <v>0.625</v>
      </c>
      <c r="C12" s="83">
        <v>0.67708333333333337</v>
      </c>
      <c r="D12" s="60">
        <f>(C12-B12)</f>
        <v>5.208333333333337E-2</v>
      </c>
      <c r="E12" s="302" t="s">
        <v>44</v>
      </c>
      <c r="F12" s="303"/>
      <c r="G12" s="119"/>
    </row>
    <row r="13" spans="1:10" ht="15.75" thickBot="1">
      <c r="A13" s="123"/>
      <c r="B13" s="124"/>
      <c r="C13" s="124"/>
      <c r="D13" s="125"/>
      <c r="E13" s="304"/>
      <c r="F13" s="305"/>
      <c r="G13" s="100"/>
    </row>
    <row r="14" spans="1:10" ht="14.45" customHeight="1">
      <c r="A14" s="126">
        <v>43885</v>
      </c>
      <c r="B14" s="127">
        <v>0.67708333333333337</v>
      </c>
      <c r="C14" s="127">
        <v>0.70833333333333337</v>
      </c>
      <c r="D14" s="128">
        <f>(C14-B14)</f>
        <v>3.125E-2</v>
      </c>
      <c r="E14" s="320" t="s">
        <v>45</v>
      </c>
      <c r="F14" s="321"/>
      <c r="G14" s="314">
        <v>3</v>
      </c>
    </row>
    <row r="15" spans="1:10" ht="15.75" thickBot="1">
      <c r="A15" s="129"/>
      <c r="B15" s="130"/>
      <c r="C15" s="130"/>
      <c r="D15" s="131"/>
      <c r="E15" s="322"/>
      <c r="F15" s="323"/>
      <c r="G15" s="315"/>
    </row>
    <row r="16" spans="1:10" ht="14.45" customHeight="1">
      <c r="A16" s="106">
        <v>43886</v>
      </c>
      <c r="B16" s="87">
        <v>0.48958333333333331</v>
      </c>
      <c r="C16" s="87">
        <v>0.63541666666666663</v>
      </c>
      <c r="D16" s="88">
        <f>(C16-B16)</f>
        <v>0.14583333333333331</v>
      </c>
      <c r="E16" s="320" t="s">
        <v>46</v>
      </c>
      <c r="F16" s="321"/>
      <c r="G16" s="314">
        <v>3</v>
      </c>
    </row>
    <row r="17" spans="1:11" ht="15.75" thickBot="1">
      <c r="A17" s="107"/>
      <c r="B17" s="89"/>
      <c r="C17" s="89"/>
      <c r="D17" s="90"/>
      <c r="E17" s="322"/>
      <c r="F17" s="323"/>
      <c r="G17" s="315"/>
    </row>
    <row r="18" spans="1:11" ht="14.45" customHeight="1">
      <c r="A18" s="112">
        <v>43887</v>
      </c>
      <c r="B18" s="95">
        <v>0.42708333333333331</v>
      </c>
      <c r="C18" s="95">
        <v>0.44444444444444442</v>
      </c>
      <c r="D18" s="96">
        <f>C18-B18</f>
        <v>1.7361111111111105E-2</v>
      </c>
      <c r="E18" s="324" t="s">
        <v>47</v>
      </c>
      <c r="F18" s="325"/>
      <c r="G18" s="119"/>
    </row>
    <row r="19" spans="1:11" ht="15.75" thickBot="1">
      <c r="A19" s="111"/>
      <c r="B19" s="97"/>
      <c r="C19" s="97"/>
      <c r="D19" s="94"/>
      <c r="E19" s="326"/>
      <c r="F19" s="327"/>
      <c r="G19" s="100"/>
      <c r="I19" s="8"/>
      <c r="K19" s="8"/>
    </row>
    <row r="20" spans="1:11" ht="14.45" customHeight="1">
      <c r="A20" s="110">
        <v>43887</v>
      </c>
      <c r="B20" s="91">
        <v>0.44444444444444442</v>
      </c>
      <c r="C20" s="91">
        <v>0.46875</v>
      </c>
      <c r="D20" s="92">
        <f t="shared" ref="D20" si="1">(C20-B20)</f>
        <v>2.430555555555558E-2</v>
      </c>
      <c r="E20" s="324" t="s">
        <v>48</v>
      </c>
      <c r="F20" s="303"/>
      <c r="G20" s="119"/>
      <c r="H20" s="8"/>
      <c r="I20" s="8"/>
      <c r="K20" s="8"/>
    </row>
    <row r="21" spans="1:11" ht="15.75" thickBot="1">
      <c r="A21" s="111"/>
      <c r="B21" s="93"/>
      <c r="C21" s="93"/>
      <c r="D21" s="94"/>
      <c r="E21" s="304"/>
      <c r="F21" s="305"/>
      <c r="G21" s="100"/>
      <c r="H21" s="8"/>
      <c r="I21" s="8"/>
      <c r="K21" s="8"/>
    </row>
    <row r="22" spans="1:11" ht="14.45" customHeight="1">
      <c r="A22" s="133">
        <v>43887</v>
      </c>
      <c r="B22" s="134">
        <v>0.49305555555555558</v>
      </c>
      <c r="C22" s="134">
        <v>0.5625</v>
      </c>
      <c r="D22" s="135">
        <f>(C22-B22)</f>
        <v>6.944444444444442E-2</v>
      </c>
      <c r="E22" s="306" t="s">
        <v>49</v>
      </c>
      <c r="F22" s="328"/>
      <c r="G22" s="314"/>
      <c r="H22" s="9"/>
      <c r="I22" s="9"/>
      <c r="K22" s="8"/>
    </row>
    <row r="23" spans="1:11" ht="15.75" customHeight="1" thickBot="1">
      <c r="A23" s="113"/>
      <c r="B23" s="132"/>
      <c r="C23" s="132"/>
      <c r="D23" s="115"/>
      <c r="E23" s="329"/>
      <c r="F23" s="330"/>
      <c r="G23" s="315"/>
      <c r="H23" s="10"/>
      <c r="I23" s="10"/>
      <c r="K23" s="8"/>
    </row>
    <row r="24" spans="1:11" ht="12.75" customHeight="1">
      <c r="A24" s="126">
        <v>43887</v>
      </c>
      <c r="B24" s="127">
        <v>0.5625</v>
      </c>
      <c r="C24" s="127">
        <v>0.58333333333333337</v>
      </c>
      <c r="D24" s="128">
        <f>C24-B24</f>
        <v>2.083333333333337E-2</v>
      </c>
      <c r="E24" s="320" t="s">
        <v>50</v>
      </c>
      <c r="F24" s="321"/>
      <c r="G24" s="314">
        <v>6</v>
      </c>
      <c r="H24" s="29"/>
      <c r="K24" s="8"/>
    </row>
    <row r="25" spans="1:11" ht="12.75" customHeight="1" thickBot="1">
      <c r="A25" s="136"/>
      <c r="B25" s="137"/>
      <c r="C25" s="137"/>
      <c r="D25" s="138"/>
      <c r="E25" s="322"/>
      <c r="F25" s="323"/>
      <c r="G25" s="315"/>
      <c r="H25" s="29"/>
      <c r="K25" s="9"/>
    </row>
    <row r="26" spans="1:11" ht="12.75" customHeight="1">
      <c r="A26" s="140">
        <v>43887</v>
      </c>
      <c r="B26" s="141">
        <v>0.60416666666666663</v>
      </c>
      <c r="C26" s="141">
        <v>0.69444444444444453</v>
      </c>
      <c r="D26" s="142">
        <f>(C26-B26)</f>
        <v>9.0277777777777901E-2</v>
      </c>
      <c r="E26" s="320" t="s">
        <v>51</v>
      </c>
      <c r="F26" s="321"/>
      <c r="G26" s="314">
        <v>6</v>
      </c>
      <c r="H26" s="29"/>
      <c r="K26" s="11"/>
    </row>
    <row r="27" spans="1:11" ht="12.75" customHeight="1" thickBot="1">
      <c r="A27" s="136"/>
      <c r="B27" s="139"/>
      <c r="C27" s="139"/>
      <c r="D27" s="138"/>
      <c r="E27" s="322"/>
      <c r="F27" s="323"/>
      <c r="G27" s="315"/>
      <c r="H27" s="29"/>
      <c r="K27" s="7"/>
    </row>
    <row r="28" spans="1:11" ht="12.75" customHeight="1">
      <c r="A28" s="140">
        <v>43888</v>
      </c>
      <c r="B28" s="141">
        <v>0.41666666666666669</v>
      </c>
      <c r="C28" s="141">
        <v>0.58333333333333337</v>
      </c>
      <c r="D28" s="142">
        <f>(C28-B28)</f>
        <v>0.16666666666666669</v>
      </c>
      <c r="E28" s="320" t="s">
        <v>51</v>
      </c>
      <c r="F28" s="321"/>
      <c r="G28" s="314">
        <v>6</v>
      </c>
      <c r="H28" s="29"/>
    </row>
    <row r="29" spans="1:11" ht="12.75" customHeight="1" thickBot="1">
      <c r="A29" s="136"/>
      <c r="B29" s="139"/>
      <c r="C29" s="139"/>
      <c r="D29" s="138"/>
      <c r="E29" s="322"/>
      <c r="F29" s="323"/>
      <c r="G29" s="315"/>
      <c r="H29" s="29"/>
    </row>
    <row r="30" spans="1:11" ht="12.75" customHeight="1">
      <c r="A30" s="143">
        <v>43889</v>
      </c>
      <c r="B30" s="144">
        <v>0.5</v>
      </c>
      <c r="C30" s="144">
        <v>0.52777777777777779</v>
      </c>
      <c r="D30" s="145">
        <f>(C30-B30)</f>
        <v>2.777777777777779E-2</v>
      </c>
      <c r="E30" s="316" t="s">
        <v>52</v>
      </c>
      <c r="F30" s="317"/>
      <c r="G30" s="314"/>
      <c r="H30" s="29"/>
    </row>
    <row r="31" spans="1:11" ht="12.75" customHeight="1" thickBot="1">
      <c r="A31" s="146"/>
      <c r="B31" s="147"/>
      <c r="C31" s="147"/>
      <c r="D31" s="148"/>
      <c r="E31" s="318"/>
      <c r="F31" s="319"/>
      <c r="G31" s="315"/>
      <c r="H31" s="29"/>
    </row>
    <row r="32" spans="1:11" ht="12.75" customHeight="1">
      <c r="A32" s="143">
        <v>43890</v>
      </c>
      <c r="B32" s="144">
        <v>0.5</v>
      </c>
      <c r="C32" s="144">
        <v>0.54166666666666663</v>
      </c>
      <c r="D32" s="145">
        <f>(C32-B32)</f>
        <v>4.166666666666663E-2</v>
      </c>
      <c r="E32" s="316" t="s">
        <v>53</v>
      </c>
      <c r="F32" s="317"/>
      <c r="G32" s="314"/>
      <c r="H32" s="29"/>
    </row>
    <row r="33" spans="1:8" ht="12.75" customHeight="1" thickBot="1">
      <c r="A33" s="146"/>
      <c r="B33" s="147"/>
      <c r="C33" s="147"/>
      <c r="D33" s="148"/>
      <c r="E33" s="318"/>
      <c r="F33" s="319"/>
      <c r="G33" s="315"/>
      <c r="H33" s="29"/>
    </row>
    <row r="34" spans="1:8" ht="12.75" customHeight="1">
      <c r="F34" s="30"/>
      <c r="G34" s="30"/>
      <c r="H34" s="29"/>
    </row>
    <row r="35" spans="1:8" ht="13.5" customHeight="1"/>
    <row r="40" spans="1:8" ht="24" thickBot="1">
      <c r="A40" s="28" t="s">
        <v>31</v>
      </c>
      <c r="B40" s="28"/>
      <c r="C40" s="27"/>
      <c r="D40" s="27"/>
      <c r="E40" s="27"/>
    </row>
    <row r="41" spans="1:8" ht="13.5" thickBot="1">
      <c r="A41" s="5"/>
      <c r="B41" s="15"/>
      <c r="C41" s="16"/>
      <c r="D41" s="17"/>
      <c r="E41" s="18"/>
    </row>
    <row r="42" spans="1:8" ht="12.6" customHeight="1">
      <c r="A42" s="271"/>
      <c r="B42" s="271"/>
      <c r="C42" s="271"/>
      <c r="D42" s="271"/>
      <c r="E42" s="271"/>
    </row>
    <row r="43" spans="1:8" ht="12.6" customHeight="1">
      <c r="A43" s="274"/>
      <c r="B43" s="274"/>
      <c r="C43" s="274"/>
      <c r="D43" s="274"/>
      <c r="E43" s="274"/>
    </row>
    <row r="44" spans="1:8" ht="12.6" customHeight="1">
      <c r="A44" s="274"/>
      <c r="B44" s="274"/>
      <c r="C44" s="274"/>
      <c r="D44" s="274"/>
      <c r="E44" s="274"/>
    </row>
    <row r="45" spans="1:8" ht="12.6" customHeight="1">
      <c r="A45" s="274"/>
      <c r="B45" s="274"/>
      <c r="C45" s="274"/>
      <c r="D45" s="274"/>
      <c r="E45" s="274"/>
    </row>
    <row r="46" spans="1:8" ht="12.6" customHeight="1">
      <c r="A46" s="274"/>
      <c r="B46" s="274"/>
      <c r="C46" s="274"/>
      <c r="D46" s="274"/>
      <c r="E46" s="274"/>
    </row>
    <row r="47" spans="1:8" ht="12.6"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c r="A53" s="274"/>
      <c r="B53" s="274"/>
      <c r="C53" s="274"/>
      <c r="D53" s="274"/>
      <c r="E53" s="274"/>
    </row>
    <row r="54" spans="1:5" ht="12.6" customHeight="1">
      <c r="A54" s="274"/>
      <c r="B54" s="274"/>
      <c r="C54" s="274"/>
      <c r="D54" s="274"/>
      <c r="E54" s="274"/>
    </row>
    <row r="55" spans="1:5" ht="13.15" customHeight="1">
      <c r="A55" s="274"/>
      <c r="B55" s="274"/>
      <c r="C55" s="274"/>
      <c r="D55" s="274"/>
      <c r="E55" s="274"/>
    </row>
    <row r="56" spans="1:5" ht="12.6" customHeight="1">
      <c r="A56" s="274"/>
      <c r="B56" s="274"/>
      <c r="C56" s="274"/>
      <c r="D56" s="274"/>
      <c r="E56" s="274"/>
    </row>
    <row r="57" spans="1:5" ht="12.6" customHeight="1">
      <c r="A57" s="274"/>
      <c r="B57" s="274"/>
      <c r="C57" s="274"/>
      <c r="D57" s="274"/>
      <c r="E57" s="274"/>
    </row>
    <row r="58" spans="1:5" ht="12.6" customHeight="1">
      <c r="A58" s="274"/>
      <c r="B58" s="274"/>
      <c r="C58" s="274"/>
      <c r="D58" s="274"/>
      <c r="E58" s="274"/>
    </row>
    <row r="59" spans="1:5" ht="12.6" customHeight="1">
      <c r="A59" s="274"/>
      <c r="B59" s="274"/>
      <c r="C59" s="274"/>
      <c r="D59" s="274"/>
      <c r="E59" s="274"/>
    </row>
    <row r="60" spans="1:5" ht="12.6" customHeight="1">
      <c r="A60" s="274"/>
      <c r="B60" s="274"/>
      <c r="C60" s="274"/>
      <c r="D60" s="274"/>
      <c r="E60" s="274"/>
    </row>
    <row r="61" spans="1:5" ht="12.6" customHeight="1">
      <c r="A61" s="274"/>
      <c r="B61" s="274"/>
      <c r="C61" s="274"/>
      <c r="D61" s="274"/>
      <c r="E61" s="274"/>
    </row>
    <row r="62" spans="1:5" ht="12.6" customHeight="1">
      <c r="A62" s="274"/>
      <c r="B62" s="274"/>
      <c r="C62" s="274"/>
      <c r="D62" s="274"/>
      <c r="E62" s="274"/>
    </row>
    <row r="63" spans="1:5" ht="12.6" customHeight="1">
      <c r="A63" s="274"/>
      <c r="B63" s="274"/>
      <c r="C63" s="274"/>
      <c r="D63" s="274"/>
      <c r="E63" s="274"/>
    </row>
    <row r="64" spans="1:5" ht="12.6" customHeight="1">
      <c r="A64" s="274"/>
      <c r="B64" s="274"/>
      <c r="C64" s="274"/>
      <c r="D64" s="274"/>
      <c r="E64" s="274"/>
    </row>
    <row r="65" spans="1:5" ht="12.6" customHeight="1">
      <c r="A65" s="274"/>
      <c r="B65" s="274"/>
      <c r="C65" s="274"/>
      <c r="D65" s="274"/>
      <c r="E65" s="274"/>
    </row>
    <row r="66" spans="1:5" ht="12.6" customHeight="1">
      <c r="A66" s="274"/>
      <c r="B66" s="274"/>
      <c r="C66" s="274"/>
      <c r="D66" s="274"/>
      <c r="E66" s="274"/>
    </row>
    <row r="67" spans="1:5" ht="12.6" customHeight="1">
      <c r="A67" s="274"/>
      <c r="B67" s="274"/>
      <c r="C67" s="274"/>
      <c r="D67" s="274"/>
      <c r="E67" s="274"/>
    </row>
    <row r="68" spans="1:5" ht="12.6" customHeight="1">
      <c r="A68" s="274"/>
      <c r="B68" s="274"/>
      <c r="C68" s="274"/>
      <c r="D68" s="274"/>
      <c r="E68" s="274"/>
    </row>
    <row r="69" spans="1:5" ht="12.6" customHeight="1">
      <c r="A69" s="274"/>
      <c r="B69" s="274"/>
      <c r="C69" s="274"/>
      <c r="D69" s="274"/>
      <c r="E69" s="274"/>
    </row>
    <row r="70" spans="1:5" ht="12.6" customHeight="1">
      <c r="A70" s="274"/>
      <c r="B70" s="274"/>
      <c r="C70" s="274"/>
      <c r="D70" s="274"/>
      <c r="E70" s="274"/>
    </row>
  </sheetData>
  <mergeCells count="25">
    <mergeCell ref="A1:D1"/>
    <mergeCell ref="A4:B5"/>
    <mergeCell ref="C4:D5"/>
    <mergeCell ref="J4:J5"/>
    <mergeCell ref="E10:F11"/>
    <mergeCell ref="A42:E70"/>
    <mergeCell ref="E14:F15"/>
    <mergeCell ref="E16:F17"/>
    <mergeCell ref="E18:F19"/>
    <mergeCell ref="E20:F21"/>
    <mergeCell ref="E22:F23"/>
    <mergeCell ref="E24:F25"/>
    <mergeCell ref="E28:F29"/>
    <mergeCell ref="E30:F31"/>
    <mergeCell ref="G30:G31"/>
    <mergeCell ref="E32:F33"/>
    <mergeCell ref="G32:G33"/>
    <mergeCell ref="G16:G17"/>
    <mergeCell ref="E12:F13"/>
    <mergeCell ref="G14:G15"/>
    <mergeCell ref="E26:F27"/>
    <mergeCell ref="G22:G23"/>
    <mergeCell ref="G24:G25"/>
    <mergeCell ref="G26:G27"/>
    <mergeCell ref="G28:G29"/>
  </mergeCells>
  <conditionalFormatting sqref="H20:I21 I19">
    <cfRule type="expression" dxfId="194" priority="8">
      <formula>ISNUMBER(SEARCH(TEXT(#REF!,"ddd"),#REF!))</formula>
    </cfRule>
  </conditionalFormatting>
  <conditionalFormatting sqref="A10:D12 A16:D17 A18:C18 A20:D21 A24:D25 A22:C22 A26:C26">
    <cfRule type="expression" dxfId="193" priority="9">
      <formula>ISNUMBER(SEARCH(TEXT(#REF!,"ddd"),#REF!))</formula>
    </cfRule>
  </conditionalFormatting>
  <conditionalFormatting sqref="K19:K24">
    <cfRule type="expression" dxfId="192" priority="10">
      <formula>ISNUMBER(SEARCH(TEXT(#REF!,"ddd"),#REF!))</formula>
    </cfRule>
  </conditionalFormatting>
  <conditionalFormatting sqref="D14">
    <cfRule type="expression" dxfId="191" priority="7">
      <formula>ISNUMBER(SEARCH(TEXT(#REF!,"ddd"),#REF!))</formula>
    </cfRule>
  </conditionalFormatting>
  <conditionalFormatting sqref="A14:C14">
    <cfRule type="expression" dxfId="190" priority="4">
      <formula>ISNUMBER(SEARCH(TEXT(#REF!,"ddd"),#REF!))</formula>
    </cfRule>
  </conditionalFormatting>
  <conditionalFormatting sqref="A13:D13">
    <cfRule type="expression" dxfId="189" priority="6">
      <formula>ISNUMBER(SEARCH(TEXT(#REF!,"ddd"),#REF!))</formula>
    </cfRule>
  </conditionalFormatting>
  <conditionalFormatting sqref="A15:D15">
    <cfRule type="expression" dxfId="188" priority="5">
      <formula>ISNUMBER(SEARCH(TEXT(#REF!,"ddd"),#REF!))</formula>
    </cfRule>
  </conditionalFormatting>
  <conditionalFormatting sqref="A28:C28">
    <cfRule type="expression" dxfId="187" priority="3">
      <formula>ISNUMBER(SEARCH(TEXT(#REF!,"ddd"),#REF!))</formula>
    </cfRule>
  </conditionalFormatting>
  <conditionalFormatting sqref="A30:C30">
    <cfRule type="expression" dxfId="186" priority="2">
      <formula>ISNUMBER(SEARCH(TEXT(#REF!,"ddd"),#REF!))</formula>
    </cfRule>
  </conditionalFormatting>
  <conditionalFormatting sqref="A32:C32">
    <cfRule type="expression" dxfId="185" priority="1">
      <formula>ISNUMBER(SEARCH(TEXT(#REF!,"ddd"),#REF!))</formula>
    </cfRule>
  </conditionalFormatting>
  <dataValidations count="2">
    <dataValidation type="custom" allowBlank="1" showInputMessage="1" showErrorMessage="1" sqref="C18 B10:B18 C11:C16 C22 C26 B20:B22 B24:B26 C20 C24 B28:C28 B30:C30 B32:C32" xr:uid="{D4FB4572-7A6A-4844-A7C5-27D3B7002722}">
      <formula1>AND($B10&lt;=1,ISNUMBER($B10))</formula1>
    </dataValidation>
    <dataValidation type="custom" allowBlank="1" showInputMessage="1" showErrorMessage="1" sqref="C10 C17 C21 C25" xr:uid="{0738BFFE-B469-4CC2-B379-E82673462F03}">
      <formula1>AND($C10&lt;=1,ISNUMBER($C10),($C10&gt;=$B10))</formula1>
    </dataValidation>
  </dataValidations>
  <pageMargins left="0.25" right="0.25" top="0.75" bottom="0.75" header="0.3" footer="0.3"/>
  <pageSetup paperSize="9" scale="41" orientation="portrait" horizontalDpi="4294967293" verticalDpi="4294967293"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897AB-C164-4F72-9138-248728DDACFE}">
  <sheetPr codeName="Sheet12"/>
  <dimension ref="A1:K70"/>
  <sheetViews>
    <sheetView showGridLines="0" topLeftCell="A13" zoomScale="96" zoomScaleNormal="100" workbookViewId="0">
      <selection activeCell="G24" sqref="G24"/>
    </sheetView>
  </sheetViews>
  <sheetFormatPr baseColWidth="10" defaultColWidth="9" defaultRowHeight="12.75"/>
  <cols>
    <col min="1" max="1" width="13.5" bestFit="1" customWidth="1"/>
    <col min="2" max="2" width="14.25" customWidth="1"/>
    <col min="3" max="3" width="13.125" bestFit="1" customWidth="1"/>
    <col min="4" max="4" width="11.62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10</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43892</v>
      </c>
      <c r="B3" s="234"/>
      <c r="C3" s="101">
        <f>A22</f>
        <v>43898</v>
      </c>
      <c r="D3" s="234"/>
      <c r="E3" s="72" t="s">
        <v>7</v>
      </c>
      <c r="F3" s="32">
        <f>Sumcolor(E3,D10:D23)</f>
        <v>0</v>
      </c>
      <c r="G3" s="33">
        <f>SUM(Først:Sist!F3, 'Uke5'!I2)</f>
        <v>0.60416666666666663</v>
      </c>
      <c r="H3" s="22"/>
      <c r="I3" s="7"/>
      <c r="J3" s="7"/>
    </row>
    <row r="4" spans="1:10" ht="15" customHeight="1">
      <c r="A4" s="271" t="s">
        <v>17</v>
      </c>
      <c r="B4" s="271"/>
      <c r="C4" s="280" t="s">
        <v>18</v>
      </c>
      <c r="D4" s="280"/>
      <c r="E4" s="73" t="s">
        <v>10</v>
      </c>
      <c r="F4" s="32">
        <f>Sumcolor(E4,D10:D23)</f>
        <v>0.29166666666666663</v>
      </c>
      <c r="G4" s="33">
        <f>SUM(Først:Sist!F4)</f>
        <v>1.8784722222222223</v>
      </c>
      <c r="H4" s="22"/>
      <c r="I4" s="7"/>
      <c r="J4" s="269"/>
    </row>
    <row r="5" spans="1:10" ht="15.75">
      <c r="A5" s="280"/>
      <c r="B5" s="280"/>
      <c r="C5" s="280"/>
      <c r="D5" s="280"/>
      <c r="E5" s="74" t="s">
        <v>11</v>
      </c>
      <c r="F5" s="32">
        <f>Sumcolor(E5,D10:D23)</f>
        <v>8.6805555555555469E-2</v>
      </c>
      <c r="G5" s="33">
        <f>SUM(Først:Sist!F5, 'Uke5'!I4)</f>
        <v>1.020833333333333</v>
      </c>
      <c r="H5" s="22"/>
      <c r="I5" s="7"/>
      <c r="J5" s="269"/>
    </row>
    <row r="6" spans="1:10" ht="18.75" customHeight="1" thickBot="1">
      <c r="A6" s="36">
        <f>SUM(D10:D23)</f>
        <v>0.46180555555555547</v>
      </c>
      <c r="B6" s="37"/>
      <c r="C6" s="82">
        <f>SUM(Først:Sist!A6, 'Uke5'!C5)</f>
        <v>4.4131944444444446</v>
      </c>
      <c r="D6" s="38"/>
      <c r="E6" s="75" t="s">
        <v>19</v>
      </c>
      <c r="F6" s="34">
        <f>Sumcolor(E6,D10:D23)</f>
        <v>8.333333333333337E-2</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43892</v>
      </c>
      <c r="B10" s="83">
        <v>0.61458333333333337</v>
      </c>
      <c r="C10" s="83">
        <v>0.625</v>
      </c>
      <c r="D10" s="84">
        <f t="shared" ref="D10" si="0">(C10-B10)</f>
        <v>1.041666666666663E-2</v>
      </c>
      <c r="E10" s="310" t="s">
        <v>54</v>
      </c>
      <c r="F10" s="311"/>
      <c r="G10" s="219"/>
      <c r="H10" s="25"/>
    </row>
    <row r="11" spans="1:10" ht="15.75" thickBot="1">
      <c r="A11" s="103"/>
      <c r="B11" s="85"/>
      <c r="C11" s="85"/>
      <c r="D11" s="86"/>
      <c r="E11" s="304"/>
      <c r="F11" s="305"/>
      <c r="G11" s="220"/>
      <c r="H11" s="25"/>
    </row>
    <row r="12" spans="1:10" ht="14.45" customHeight="1">
      <c r="A12" s="149">
        <v>43892</v>
      </c>
      <c r="B12" s="150">
        <v>0.625</v>
      </c>
      <c r="C12" s="150">
        <v>0.6875</v>
      </c>
      <c r="D12" s="151">
        <f>(C12-B12)</f>
        <v>6.25E-2</v>
      </c>
      <c r="E12" s="333" t="s">
        <v>55</v>
      </c>
      <c r="F12" s="334"/>
      <c r="G12" s="331">
        <v>3</v>
      </c>
    </row>
    <row r="13" spans="1:10" ht="15.75" thickBot="1">
      <c r="A13" s="152"/>
      <c r="B13" s="153"/>
      <c r="C13" s="153"/>
      <c r="D13" s="154"/>
      <c r="E13" s="335"/>
      <c r="F13" s="336"/>
      <c r="G13" s="332"/>
    </row>
    <row r="14" spans="1:10" ht="14.45" customHeight="1">
      <c r="A14" s="155">
        <v>43893</v>
      </c>
      <c r="B14" s="156">
        <v>0.5</v>
      </c>
      <c r="C14" s="156">
        <v>0.55555555555555558</v>
      </c>
      <c r="D14" s="157">
        <f>(C14-B14)</f>
        <v>5.555555555555558E-2</v>
      </c>
      <c r="E14" s="316" t="s">
        <v>56</v>
      </c>
      <c r="F14" s="317"/>
      <c r="G14" s="331"/>
    </row>
    <row r="15" spans="1:10" ht="15.75" thickBot="1">
      <c r="A15" s="158"/>
      <c r="B15" s="159"/>
      <c r="C15" s="159"/>
      <c r="D15" s="160"/>
      <c r="E15" s="318"/>
      <c r="F15" s="319"/>
      <c r="G15" s="332"/>
    </row>
    <row r="16" spans="1:10" ht="14.45" customHeight="1">
      <c r="A16" s="155">
        <v>43894</v>
      </c>
      <c r="B16" s="156">
        <v>0.51388888888888895</v>
      </c>
      <c r="C16" s="156">
        <v>0.53472222222222221</v>
      </c>
      <c r="D16" s="157">
        <f>(C16-B16)</f>
        <v>2.0833333333333259E-2</v>
      </c>
      <c r="E16" s="316" t="s">
        <v>57</v>
      </c>
      <c r="F16" s="317"/>
      <c r="G16" s="331"/>
    </row>
    <row r="17" spans="1:11" ht="15.75" thickBot="1">
      <c r="A17" s="158"/>
      <c r="B17" s="159"/>
      <c r="C17" s="159"/>
      <c r="D17" s="160"/>
      <c r="E17" s="318"/>
      <c r="F17" s="319"/>
      <c r="G17" s="332"/>
    </row>
    <row r="18" spans="1:11" ht="14.45" customHeight="1">
      <c r="A18" s="106">
        <v>43895</v>
      </c>
      <c r="B18" s="87">
        <v>0.5</v>
      </c>
      <c r="C18" s="87">
        <v>0.60416666666666663</v>
      </c>
      <c r="D18" s="88">
        <f>(C18-B18)</f>
        <v>0.10416666666666663</v>
      </c>
      <c r="E18" s="244" t="s">
        <v>58</v>
      </c>
      <c r="F18" s="245"/>
      <c r="G18" s="331" t="s">
        <v>59</v>
      </c>
    </row>
    <row r="19" spans="1:11" ht="15.75" thickBot="1">
      <c r="A19" s="107"/>
      <c r="B19" s="89"/>
      <c r="C19" s="89"/>
      <c r="D19" s="90"/>
      <c r="E19" s="246"/>
      <c r="F19" s="247"/>
      <c r="G19" s="332"/>
      <c r="I19" s="8"/>
      <c r="K19" s="8"/>
    </row>
    <row r="20" spans="1:11" ht="14.45" customHeight="1">
      <c r="A20" s="108">
        <v>43898</v>
      </c>
      <c r="B20" s="51">
        <v>0.54166666666666663</v>
      </c>
      <c r="C20" s="51">
        <v>0.625</v>
      </c>
      <c r="D20" s="52">
        <f>C20-B20</f>
        <v>8.333333333333337E-2</v>
      </c>
      <c r="E20" s="249" t="s">
        <v>60</v>
      </c>
      <c r="F20" s="250"/>
      <c r="G20" s="221"/>
      <c r="H20" s="8"/>
      <c r="I20" s="8"/>
      <c r="K20" s="8"/>
    </row>
    <row r="21" spans="1:11" ht="15.75" thickBot="1">
      <c r="A21" s="109"/>
      <c r="B21" s="70"/>
      <c r="C21" s="70"/>
      <c r="D21" s="69"/>
      <c r="E21" s="239"/>
      <c r="F21" s="237"/>
      <c r="G21" s="220"/>
      <c r="H21" s="8"/>
      <c r="I21" s="8"/>
      <c r="K21" s="8"/>
    </row>
    <row r="22" spans="1:11" ht="14.45" customHeight="1">
      <c r="A22" s="126">
        <v>43898</v>
      </c>
      <c r="B22" s="127">
        <v>0.625</v>
      </c>
      <c r="C22" s="127">
        <v>0.75</v>
      </c>
      <c r="D22" s="128">
        <f t="shared" ref="D22" si="1">(C22-B22)</f>
        <v>0.125</v>
      </c>
      <c r="E22" s="244" t="s">
        <v>61</v>
      </c>
      <c r="F22" s="245"/>
      <c r="G22" s="331" t="s">
        <v>59</v>
      </c>
      <c r="H22" s="9"/>
      <c r="I22" s="9"/>
      <c r="K22" s="8"/>
    </row>
    <row r="23" spans="1:11" ht="15.75" customHeight="1" thickBot="1">
      <c r="A23" s="136"/>
      <c r="B23" s="137"/>
      <c r="C23" s="137"/>
      <c r="D23" s="138"/>
      <c r="E23" s="246"/>
      <c r="F23" s="247"/>
      <c r="G23" s="332"/>
      <c r="H23" s="10"/>
      <c r="I23" s="10"/>
      <c r="K23" s="8"/>
    </row>
    <row r="24" spans="1:11" ht="7.15" customHeight="1">
      <c r="A24" s="29"/>
      <c r="D24" s="8"/>
    </row>
    <row r="25" spans="1:11" ht="21" customHeight="1"/>
    <row r="26" spans="1:11" ht="12.75" customHeight="1" thickBot="1">
      <c r="A26" s="28" t="s">
        <v>31</v>
      </c>
      <c r="B26" s="28"/>
      <c r="C26" s="27"/>
      <c r="D26" s="27"/>
      <c r="E26" s="27"/>
    </row>
    <row r="27" spans="1:11" ht="12.75" customHeight="1" thickBot="1">
      <c r="A27" s="5"/>
      <c r="B27" s="15"/>
      <c r="C27" s="16"/>
      <c r="D27" s="17"/>
      <c r="E27" s="18"/>
    </row>
    <row r="28" spans="1:11" ht="12.75" customHeight="1">
      <c r="A28" s="271" t="s">
        <v>62</v>
      </c>
      <c r="B28" s="271"/>
      <c r="C28" s="271"/>
      <c r="D28" s="271"/>
      <c r="E28" s="271"/>
    </row>
    <row r="29" spans="1:11" ht="12.75" customHeight="1">
      <c r="A29" s="274"/>
      <c r="B29" s="274"/>
      <c r="C29" s="274"/>
      <c r="D29" s="274"/>
      <c r="E29" s="274"/>
    </row>
    <row r="30" spans="1:11" ht="12.75" customHeight="1">
      <c r="A30" s="274"/>
      <c r="B30" s="274"/>
      <c r="C30" s="274"/>
      <c r="D30" s="274"/>
      <c r="E30" s="274"/>
    </row>
    <row r="31" spans="1:11" ht="12.75" customHeight="1">
      <c r="A31" s="274"/>
      <c r="B31" s="274"/>
      <c r="C31" s="274"/>
      <c r="D31" s="274"/>
      <c r="E31" s="274"/>
    </row>
    <row r="32" spans="1:11" ht="12.75" customHeight="1">
      <c r="A32" s="274"/>
      <c r="B32" s="274"/>
      <c r="C32" s="274"/>
      <c r="D32" s="274"/>
      <c r="E32" s="274"/>
    </row>
    <row r="33" spans="1:8" ht="12.75" customHeight="1">
      <c r="A33" s="274"/>
      <c r="B33" s="274"/>
      <c r="C33" s="274"/>
      <c r="D33" s="274"/>
      <c r="E33" s="274"/>
    </row>
    <row r="34" spans="1:8" ht="12.75" customHeight="1">
      <c r="A34" s="274"/>
      <c r="B34" s="274"/>
      <c r="C34" s="274"/>
      <c r="D34" s="274"/>
      <c r="E34" s="274"/>
      <c r="G34" s="30"/>
      <c r="H34" s="29"/>
    </row>
    <row r="35" spans="1:8" ht="13.5" customHeight="1">
      <c r="A35" s="274"/>
      <c r="B35" s="274"/>
      <c r="C35" s="274"/>
      <c r="D35" s="274"/>
      <c r="E35" s="274"/>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4.45" customHeight="1">
      <c r="A40" s="274"/>
      <c r="B40" s="274"/>
      <c r="C40" s="274"/>
      <c r="D40" s="274"/>
      <c r="E40" s="274"/>
    </row>
    <row r="41" spans="1:8" ht="14.45" customHeight="1">
      <c r="A41" s="274"/>
      <c r="B41" s="274"/>
      <c r="C41" s="274"/>
      <c r="D41" s="274"/>
      <c r="E41" s="274"/>
    </row>
    <row r="42" spans="1:8" ht="12.6" customHeight="1">
      <c r="A42" s="274"/>
      <c r="B42" s="274"/>
      <c r="C42" s="274"/>
      <c r="D42" s="274"/>
      <c r="E42" s="274"/>
    </row>
    <row r="43" spans="1:8" ht="12.6" customHeight="1">
      <c r="A43" s="274"/>
      <c r="B43" s="274"/>
      <c r="C43" s="274"/>
      <c r="D43" s="274"/>
      <c r="E43" s="274"/>
    </row>
    <row r="44" spans="1:8" ht="12.6" customHeight="1">
      <c r="A44" s="274"/>
      <c r="B44" s="274"/>
      <c r="C44" s="274"/>
      <c r="D44" s="274"/>
      <c r="E44" s="274"/>
    </row>
    <row r="45" spans="1:8" ht="13.9" customHeight="1">
      <c r="A45" s="274"/>
      <c r="B45" s="274"/>
      <c r="C45" s="274"/>
      <c r="D45" s="274"/>
      <c r="E45" s="274"/>
    </row>
    <row r="46" spans="1:8" ht="12.6" customHeight="1">
      <c r="A46" s="236"/>
      <c r="B46" s="236"/>
      <c r="C46" s="236"/>
      <c r="D46" s="236"/>
      <c r="E46" s="236"/>
    </row>
    <row r="47" spans="1:8" ht="12.6" customHeight="1">
      <c r="A47" s="236"/>
      <c r="B47" s="236"/>
      <c r="C47" s="236"/>
      <c r="D47" s="236"/>
      <c r="E47" s="236"/>
    </row>
    <row r="48" spans="1:8" ht="12.6" customHeight="1">
      <c r="A48" s="236"/>
      <c r="B48" s="236"/>
      <c r="C48" s="236"/>
      <c r="D48" s="236"/>
      <c r="E48" s="236"/>
    </row>
    <row r="49" spans="1:5" ht="12.6" customHeight="1">
      <c r="A49" s="236"/>
      <c r="B49" s="236"/>
      <c r="C49" s="236"/>
      <c r="D49" s="236"/>
      <c r="E49" s="236"/>
    </row>
    <row r="50" spans="1:5" ht="12.6" customHeight="1">
      <c r="A50" s="236"/>
      <c r="B50" s="236"/>
      <c r="C50" s="236"/>
      <c r="D50" s="236"/>
      <c r="E50" s="236"/>
    </row>
    <row r="51" spans="1:5" ht="12.6" customHeight="1">
      <c r="A51" s="236"/>
      <c r="B51" s="236"/>
      <c r="C51" s="236"/>
      <c r="D51" s="236"/>
      <c r="E51" s="236"/>
    </row>
    <row r="52" spans="1:5" ht="12.6" customHeight="1">
      <c r="A52" s="236"/>
      <c r="B52" s="236"/>
      <c r="C52" s="236"/>
      <c r="D52" s="236"/>
      <c r="E52" s="236"/>
    </row>
    <row r="53" spans="1:5" ht="12.6" customHeight="1">
      <c r="A53" s="236"/>
      <c r="B53" s="236"/>
      <c r="C53" s="236"/>
      <c r="D53" s="236"/>
      <c r="E53" s="236"/>
    </row>
    <row r="54" spans="1:5" ht="12.6" customHeight="1">
      <c r="A54" s="236"/>
      <c r="B54" s="236"/>
      <c r="C54" s="236"/>
      <c r="D54" s="236"/>
      <c r="E54" s="236"/>
    </row>
    <row r="55" spans="1:5" ht="13.15" customHeight="1">
      <c r="A55" s="236"/>
      <c r="B55" s="236"/>
      <c r="C55" s="236"/>
      <c r="D55" s="236"/>
      <c r="E55" s="236"/>
    </row>
    <row r="56" spans="1:5" ht="12.6" customHeight="1">
      <c r="A56" s="236"/>
      <c r="B56" s="236"/>
      <c r="C56" s="236"/>
      <c r="D56" s="236"/>
      <c r="E56" s="236"/>
    </row>
    <row r="57" spans="1:5" ht="12.6" customHeight="1"/>
    <row r="58" spans="1:5" ht="12.6" customHeight="1"/>
    <row r="59" spans="1:5" ht="12.6" customHeight="1"/>
    <row r="60" spans="1:5" ht="12.6" customHeight="1"/>
    <row r="61" spans="1:5" ht="12.6" customHeight="1"/>
    <row r="62" spans="1:5" ht="12.6" customHeight="1"/>
    <row r="63" spans="1:5" ht="12.6" customHeight="1"/>
    <row r="64" spans="1:5" ht="12.6" customHeight="1"/>
    <row r="65" ht="12.6" customHeight="1"/>
    <row r="66" ht="12.6" customHeight="1"/>
    <row r="67" ht="12.6" customHeight="1"/>
    <row r="68" ht="12.6" customHeight="1"/>
    <row r="69" ht="12.6" customHeight="1"/>
    <row r="70" ht="12.6" customHeight="1"/>
  </sheetData>
  <mergeCells count="14">
    <mergeCell ref="A1:D1"/>
    <mergeCell ref="A4:B5"/>
    <mergeCell ref="C4:D5"/>
    <mergeCell ref="J4:J5"/>
    <mergeCell ref="E10:F11"/>
    <mergeCell ref="G18:G19"/>
    <mergeCell ref="A28:E45"/>
    <mergeCell ref="G12:G13"/>
    <mergeCell ref="G22:G23"/>
    <mergeCell ref="E14:F15"/>
    <mergeCell ref="G14:G15"/>
    <mergeCell ref="E12:F13"/>
    <mergeCell ref="E16:F17"/>
    <mergeCell ref="G16:G17"/>
  </mergeCells>
  <conditionalFormatting sqref="H20:I21 I19">
    <cfRule type="expression" dxfId="184" priority="11">
      <formula>ISNUMBER(SEARCH(TEXT(#REF!,"ddd"),#REF!))</formula>
    </cfRule>
  </conditionalFormatting>
  <conditionalFormatting sqref="A10:D12 A16:D23">
    <cfRule type="expression" dxfId="183" priority="12">
      <formula>ISNUMBER(SEARCH(TEXT(#REF!,"ddd"),#REF!))</formula>
    </cfRule>
  </conditionalFormatting>
  <conditionalFormatting sqref="K19:K23 D24">
    <cfRule type="expression" dxfId="182" priority="13">
      <formula>ISNUMBER(SEARCH(TEXT(#REF!,"ddd"),#REF!))</formula>
    </cfRule>
  </conditionalFormatting>
  <conditionalFormatting sqref="D14">
    <cfRule type="expression" dxfId="181" priority="10">
      <formula>ISNUMBER(SEARCH(TEXT(#REF!,"ddd"),#REF!))</formula>
    </cfRule>
  </conditionalFormatting>
  <conditionalFormatting sqref="A14:C14">
    <cfRule type="expression" dxfId="180" priority="7">
      <formula>ISNUMBER(SEARCH(TEXT(#REF!,"ddd"),#REF!))</formula>
    </cfRule>
  </conditionalFormatting>
  <conditionalFormatting sqref="A13:D13">
    <cfRule type="expression" dxfId="179" priority="9">
      <formula>ISNUMBER(SEARCH(TEXT(#REF!,"ddd"),#REF!))</formula>
    </cfRule>
  </conditionalFormatting>
  <conditionalFormatting sqref="A15:D15">
    <cfRule type="expression" dxfId="178" priority="8">
      <formula>ISNUMBER(SEARCH(TEXT(#REF!,"ddd"),#REF!))</formula>
    </cfRule>
  </conditionalFormatting>
  <conditionalFormatting sqref="D16">
    <cfRule type="expression" dxfId="177" priority="3">
      <formula>ISNUMBER(SEARCH(TEXT(#REF!,"ddd"),#REF!))</formula>
    </cfRule>
  </conditionalFormatting>
  <conditionalFormatting sqref="A16:C16">
    <cfRule type="expression" dxfId="176" priority="1">
      <formula>ISNUMBER(SEARCH(TEXT(#REF!,"ddd"),#REF!))</formula>
    </cfRule>
  </conditionalFormatting>
  <conditionalFormatting sqref="A17:D17">
    <cfRule type="expression" dxfId="175" priority="2">
      <formula>ISNUMBER(SEARCH(TEXT(#REF!,"ddd"),#REF!))</formula>
    </cfRule>
  </conditionalFormatting>
  <dataValidations count="2">
    <dataValidation type="custom" allowBlank="1" showInputMessage="1" showErrorMessage="1" sqref="C10 C19 C23" xr:uid="{18C1D1BE-1DAC-4E95-8570-61980DE57A56}">
      <formula1>AND($C10&lt;=1,ISNUMBER($C10),($C10&gt;=$B10))</formula1>
    </dataValidation>
    <dataValidation type="custom" allowBlank="1" showInputMessage="1" showErrorMessage="1" sqref="B10:B20 C11:C18 C20 C22 B22:B23" xr:uid="{C5FB8C60-C54B-40C5-A768-33AE6051CE0E}">
      <formula1>AND($B10&lt;=1,ISNUMBER($B10))</formula1>
    </dataValidation>
  </dataValidations>
  <pageMargins left="0.25" right="0.25" top="0.75" bottom="0.75" header="0.3" footer="0.3"/>
  <pageSetup paperSize="9" scale="65" orientation="portrait" horizontalDpi="4294967293" verticalDpi="4294967293"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B88E8-265D-49B6-8E98-41AA45774685}">
  <sheetPr codeName="Sheet13"/>
  <dimension ref="A1:K70"/>
  <sheetViews>
    <sheetView showGridLines="0" topLeftCell="A25" zoomScale="96" zoomScaleNormal="100" workbookViewId="0">
      <selection activeCell="G36" sqref="G36:G37"/>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11</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43899</v>
      </c>
      <c r="B3" s="234"/>
      <c r="C3" s="101">
        <f>A22</f>
        <v>43903</v>
      </c>
      <c r="D3" s="234"/>
      <c r="E3" s="72" t="s">
        <v>7</v>
      </c>
      <c r="F3" s="32">
        <f>Sumcolor(E3,D10:D23)</f>
        <v>1.388888888888884E-2</v>
      </c>
      <c r="G3" s="33">
        <f>SUM(Først:Sist!F3, 'Uke5'!I2)</f>
        <v>0.60416666666666663</v>
      </c>
      <c r="H3" s="22"/>
      <c r="I3" s="7"/>
      <c r="J3" s="7"/>
    </row>
    <row r="4" spans="1:10" ht="15" customHeight="1">
      <c r="A4" s="271" t="s">
        <v>17</v>
      </c>
      <c r="B4" s="271"/>
      <c r="C4" s="280" t="s">
        <v>18</v>
      </c>
      <c r="D4" s="280"/>
      <c r="E4" s="73" t="s">
        <v>10</v>
      </c>
      <c r="F4" s="32">
        <f>Sumcolor(E4,D10:D342)</f>
        <v>0.42708333333333326</v>
      </c>
      <c r="G4" s="33">
        <f>SUM(Først:Sist!F4)</f>
        <v>1.8784722222222223</v>
      </c>
      <c r="H4" s="22"/>
      <c r="I4" s="7"/>
      <c r="J4" s="269"/>
    </row>
    <row r="5" spans="1:10" ht="15.75">
      <c r="A5" s="280"/>
      <c r="B5" s="280"/>
      <c r="C5" s="280"/>
      <c r="D5" s="280"/>
      <c r="E5" s="74" t="s">
        <v>11</v>
      </c>
      <c r="F5" s="32">
        <f>Sumcolor(E5,D10:D42)</f>
        <v>0.15625</v>
      </c>
      <c r="G5" s="33">
        <f>SUM(Først:Sist!F5, 'Uke5'!I4)</f>
        <v>1.020833333333333</v>
      </c>
      <c r="H5" s="22"/>
      <c r="I5" s="7"/>
      <c r="J5" s="269"/>
    </row>
    <row r="6" spans="1:10" ht="18.75" customHeight="1" thickBot="1">
      <c r="A6" s="36">
        <f>SUM(D10:D42)</f>
        <v>0.6909722222222221</v>
      </c>
      <c r="B6" s="37"/>
      <c r="C6" s="82">
        <f>SUM(Først:Sist!A6, 'Uke5'!C5)</f>
        <v>4.4131944444444446</v>
      </c>
      <c r="D6" s="38"/>
      <c r="E6" s="75" t="s">
        <v>19</v>
      </c>
      <c r="F6" s="34">
        <f>Sumcolor(E6,D10:D42)</f>
        <v>9.375E-2</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43899</v>
      </c>
      <c r="B10" s="83">
        <v>0.58333333333333337</v>
      </c>
      <c r="C10" s="83">
        <v>0.59722222222222221</v>
      </c>
      <c r="D10" s="84">
        <f t="shared" ref="D10" si="0">(C10-B10)</f>
        <v>1.388888888888884E-2</v>
      </c>
      <c r="E10" s="352" t="s">
        <v>63</v>
      </c>
      <c r="F10" s="353"/>
      <c r="G10" s="219"/>
      <c r="H10" s="25"/>
    </row>
    <row r="11" spans="1:10" ht="15.75" thickBot="1">
      <c r="A11" s="103"/>
      <c r="B11" s="85"/>
      <c r="C11" s="85"/>
      <c r="D11" s="86"/>
      <c r="E11" s="326"/>
      <c r="F11" s="327"/>
      <c r="G11" s="220"/>
      <c r="H11" s="25"/>
    </row>
    <row r="12" spans="1:10" ht="14.45" customHeight="1">
      <c r="A12" s="149">
        <v>43899</v>
      </c>
      <c r="B12" s="150">
        <v>0.59722222222222221</v>
      </c>
      <c r="C12" s="150">
        <v>0.64236111111111105</v>
      </c>
      <c r="D12" s="151">
        <f>(C12-B12)</f>
        <v>4.513888888888884E-2</v>
      </c>
      <c r="E12" s="333" t="s">
        <v>64</v>
      </c>
      <c r="F12" s="334"/>
      <c r="G12" s="331" t="s">
        <v>59</v>
      </c>
    </row>
    <row r="13" spans="1:10" ht="15.75" thickBot="1">
      <c r="A13" s="152"/>
      <c r="B13" s="153"/>
      <c r="C13" s="153"/>
      <c r="D13" s="154"/>
      <c r="E13" s="335"/>
      <c r="F13" s="336"/>
      <c r="G13" s="332"/>
    </row>
    <row r="14" spans="1:10" ht="14.45" customHeight="1">
      <c r="A14" s="126">
        <v>43900</v>
      </c>
      <c r="B14" s="127">
        <v>0.53125</v>
      </c>
      <c r="C14" s="127">
        <v>0.58333333333333337</v>
      </c>
      <c r="D14" s="128">
        <f>(C14-B14)</f>
        <v>5.208333333333337E-2</v>
      </c>
      <c r="E14" s="320" t="s">
        <v>64</v>
      </c>
      <c r="F14" s="321"/>
      <c r="G14" s="331" t="s">
        <v>59</v>
      </c>
    </row>
    <row r="15" spans="1:10" ht="15.75" thickBot="1">
      <c r="A15" s="136"/>
      <c r="B15" s="137"/>
      <c r="C15" s="137"/>
      <c r="D15" s="138"/>
      <c r="E15" s="322"/>
      <c r="F15" s="323"/>
      <c r="G15" s="332"/>
    </row>
    <row r="16" spans="1:10" ht="14.45" customHeight="1">
      <c r="A16" s="116">
        <v>43900</v>
      </c>
      <c r="B16" s="48">
        <v>0.58333333333333337</v>
      </c>
      <c r="C16" s="48">
        <v>0.59722222222222221</v>
      </c>
      <c r="D16" s="117">
        <f>(C16-B16)</f>
        <v>1.388888888888884E-2</v>
      </c>
      <c r="E16" s="306" t="s">
        <v>65</v>
      </c>
      <c r="F16" s="328"/>
      <c r="G16" s="331"/>
    </row>
    <row r="17" spans="1:11" ht="15.75" thickBot="1">
      <c r="A17" s="113"/>
      <c r="B17" s="114"/>
      <c r="C17" s="114"/>
      <c r="D17" s="115"/>
      <c r="E17" s="329"/>
      <c r="F17" s="330"/>
      <c r="G17" s="332"/>
    </row>
    <row r="18" spans="1:11" ht="14.45" customHeight="1">
      <c r="A18" s="106">
        <v>43900</v>
      </c>
      <c r="B18" s="87">
        <v>0.59722222222222221</v>
      </c>
      <c r="C18" s="87">
        <v>0.66319444444444442</v>
      </c>
      <c r="D18" s="88">
        <f>(C18-B18)</f>
        <v>6.597222222222221E-2</v>
      </c>
      <c r="E18" s="348" t="s">
        <v>66</v>
      </c>
      <c r="F18" s="349"/>
      <c r="G18" s="331"/>
    </row>
    <row r="19" spans="1:11" ht="15.75" thickBot="1">
      <c r="A19" s="161"/>
      <c r="B19" s="162"/>
      <c r="C19" s="162"/>
      <c r="D19" s="163"/>
      <c r="E19" s="350"/>
      <c r="F19" s="351"/>
      <c r="G19" s="332"/>
      <c r="I19" s="8"/>
      <c r="K19" s="8"/>
    </row>
    <row r="20" spans="1:11" ht="14.45" customHeight="1">
      <c r="A20" s="112">
        <v>43901</v>
      </c>
      <c r="B20" s="95">
        <v>0.53472222222222221</v>
      </c>
      <c r="C20" s="95">
        <v>0.5625</v>
      </c>
      <c r="D20" s="96">
        <f>C20-B20</f>
        <v>2.777777777777779E-2</v>
      </c>
      <c r="E20" s="235" t="s">
        <v>67</v>
      </c>
      <c r="F20" s="164"/>
      <c r="G20" s="221"/>
      <c r="H20" s="8"/>
      <c r="I20" s="8"/>
      <c r="K20" s="8"/>
    </row>
    <row r="21" spans="1:11" ht="15.75" thickBot="1">
      <c r="A21" s="111"/>
      <c r="B21" s="97"/>
      <c r="C21" s="97"/>
      <c r="D21" s="94"/>
      <c r="E21" s="238"/>
      <c r="F21" s="165"/>
      <c r="G21" s="220"/>
      <c r="H21" s="8"/>
      <c r="I21" s="8"/>
      <c r="K21" s="8"/>
    </row>
    <row r="22" spans="1:11" ht="14.45" customHeight="1">
      <c r="A22" s="155">
        <v>43903</v>
      </c>
      <c r="B22" s="156">
        <v>0.51736111111111105</v>
      </c>
      <c r="C22" s="156">
        <v>0.53472222222222221</v>
      </c>
      <c r="D22" s="157">
        <f t="shared" ref="D22" si="1">(C22-B22)</f>
        <v>1.736111111111116E-2</v>
      </c>
      <c r="E22" s="248" t="s">
        <v>67</v>
      </c>
      <c r="F22" s="241"/>
      <c r="G22" s="331"/>
      <c r="H22" s="9"/>
      <c r="I22" s="9"/>
      <c r="K22" s="8"/>
    </row>
    <row r="23" spans="1:11" ht="13.15" customHeight="1" thickBot="1">
      <c r="A23" s="146"/>
      <c r="B23" s="166"/>
      <c r="C23" s="166"/>
      <c r="D23" s="148"/>
      <c r="E23" s="242"/>
      <c r="F23" s="243"/>
      <c r="G23" s="332"/>
      <c r="H23" s="10"/>
      <c r="I23" s="10"/>
      <c r="K23" s="8"/>
    </row>
    <row r="24" spans="1:11" ht="15.6" customHeight="1">
      <c r="A24" s="167">
        <v>43903</v>
      </c>
      <c r="B24" s="168">
        <v>0.53472222222222221</v>
      </c>
      <c r="C24" s="168">
        <v>0.54513888888888895</v>
      </c>
      <c r="D24" s="169">
        <f t="shared" ref="D24" si="2">(C24-B24)</f>
        <v>1.0416666666666741E-2</v>
      </c>
      <c r="E24" s="337" t="s">
        <v>68</v>
      </c>
      <c r="F24" s="338"/>
      <c r="G24" s="331"/>
    </row>
    <row r="25" spans="1:11" ht="16.899999999999999" customHeight="1" thickBot="1">
      <c r="A25" s="170"/>
      <c r="B25" s="171"/>
      <c r="C25" s="171"/>
      <c r="D25" s="172"/>
      <c r="E25" s="339"/>
      <c r="F25" s="340"/>
      <c r="G25" s="332"/>
    </row>
    <row r="26" spans="1:11" ht="30.6" customHeight="1" thickBot="1">
      <c r="A26" s="173">
        <v>43903</v>
      </c>
      <c r="B26" s="169">
        <v>0.54513888888888895</v>
      </c>
      <c r="C26" s="169">
        <v>0.56597222222222221</v>
      </c>
      <c r="D26" s="169">
        <f t="shared" ref="D26" si="3">(C26-B26)</f>
        <v>2.0833333333333259E-2</v>
      </c>
      <c r="E26" s="337" t="s">
        <v>69</v>
      </c>
      <c r="F26" s="338"/>
      <c r="G26" s="331"/>
    </row>
    <row r="27" spans="1:11" ht="0.6" customHeight="1" thickBot="1">
      <c r="A27" s="136"/>
      <c r="B27" s="137"/>
      <c r="C27" s="137"/>
      <c r="D27" s="138"/>
      <c r="E27" s="246"/>
      <c r="F27" s="247"/>
      <c r="G27" s="332"/>
    </row>
    <row r="28" spans="1:11" ht="12.75" customHeight="1">
      <c r="A28" s="175">
        <v>43903</v>
      </c>
      <c r="B28" s="157">
        <v>0.66666666666666663</v>
      </c>
      <c r="C28" s="157">
        <v>0.75</v>
      </c>
      <c r="D28" s="157">
        <f t="shared" ref="D28" si="4">(C28-B28)</f>
        <v>8.333333333333337E-2</v>
      </c>
      <c r="E28" s="341" t="s">
        <v>70</v>
      </c>
      <c r="F28" s="342"/>
      <c r="G28" s="331"/>
    </row>
    <row r="29" spans="1:11" ht="19.5" customHeight="1" thickBot="1">
      <c r="A29" s="146"/>
      <c r="B29" s="166"/>
      <c r="C29" s="166"/>
      <c r="D29" s="148"/>
      <c r="E29" s="343"/>
      <c r="F29" s="344"/>
      <c r="G29" s="332"/>
    </row>
    <row r="30" spans="1:11" ht="16.5" customHeight="1">
      <c r="A30" s="174">
        <v>43904</v>
      </c>
      <c r="B30" s="128">
        <v>0.58333333333333337</v>
      </c>
      <c r="C30" s="128">
        <v>0.66666666666666663</v>
      </c>
      <c r="D30" s="128">
        <f t="shared" ref="D30" si="5">(C30-B30)</f>
        <v>8.3333333333333259E-2</v>
      </c>
      <c r="E30" s="244" t="s">
        <v>71</v>
      </c>
      <c r="F30" s="245"/>
      <c r="G30" s="331" t="s">
        <v>59</v>
      </c>
    </row>
    <row r="31" spans="1:11" ht="12.75" customHeight="1" thickBot="1">
      <c r="A31" s="136"/>
      <c r="B31" s="137"/>
      <c r="C31" s="137"/>
      <c r="D31" s="138"/>
      <c r="E31" s="246"/>
      <c r="F31" s="247"/>
      <c r="G31" s="332"/>
    </row>
    <row r="32" spans="1:11" ht="14.25" customHeight="1">
      <c r="A32" s="155">
        <v>43905</v>
      </c>
      <c r="B32" s="156">
        <v>0.58333333333333337</v>
      </c>
      <c r="C32" s="156">
        <v>0.59722222222222221</v>
      </c>
      <c r="D32" s="157">
        <f>(C32-B32)</f>
        <v>1.388888888888884E-2</v>
      </c>
      <c r="E32" s="240" t="s">
        <v>63</v>
      </c>
      <c r="F32" s="176"/>
      <c r="G32" s="331"/>
    </row>
    <row r="33" spans="1:8" ht="15" customHeight="1" thickBot="1">
      <c r="A33" s="158"/>
      <c r="B33" s="159"/>
      <c r="C33" s="159"/>
      <c r="D33" s="160"/>
      <c r="E33" s="177"/>
      <c r="F33" s="178"/>
      <c r="G33" s="332"/>
    </row>
    <row r="34" spans="1:8" ht="15.75" customHeight="1">
      <c r="A34" s="126">
        <v>43905</v>
      </c>
      <c r="B34" s="127">
        <v>0.59722222222222221</v>
      </c>
      <c r="C34" s="127">
        <v>0.61458333333333337</v>
      </c>
      <c r="D34" s="128">
        <f>(C34-B34)</f>
        <v>1.736111111111116E-2</v>
      </c>
      <c r="E34" s="320" t="s">
        <v>72</v>
      </c>
      <c r="F34" s="345"/>
      <c r="G34" s="331"/>
      <c r="H34" s="29"/>
    </row>
    <row r="35" spans="1:8" ht="13.5" customHeight="1" thickBot="1">
      <c r="A35" s="136"/>
      <c r="B35" s="137"/>
      <c r="C35" s="137"/>
      <c r="D35" s="138"/>
      <c r="E35" s="346"/>
      <c r="F35" s="347"/>
      <c r="G35" s="332"/>
    </row>
    <row r="36" spans="1:8" ht="14.45" customHeight="1">
      <c r="A36" s="126">
        <v>43905</v>
      </c>
      <c r="B36" s="127">
        <v>0.64583333333333337</v>
      </c>
      <c r="C36" s="127">
        <v>0.73958333333333337</v>
      </c>
      <c r="D36" s="128">
        <f>(C36-B36)</f>
        <v>9.375E-2</v>
      </c>
      <c r="E36" s="320" t="s">
        <v>73</v>
      </c>
      <c r="F36" s="345"/>
      <c r="G36" s="331" t="s">
        <v>59</v>
      </c>
    </row>
    <row r="37" spans="1:8" ht="14.45" customHeight="1" thickBot="1">
      <c r="A37" s="136"/>
      <c r="B37" s="137"/>
      <c r="C37" s="137"/>
      <c r="D37" s="138"/>
      <c r="E37" s="346"/>
      <c r="F37" s="347"/>
      <c r="G37" s="332"/>
    </row>
    <row r="38" spans="1:8" ht="14.45" customHeight="1">
      <c r="A38" s="126">
        <v>43905</v>
      </c>
      <c r="B38" s="127">
        <v>0.78472222222222221</v>
      </c>
      <c r="C38" s="127">
        <v>0.8125</v>
      </c>
      <c r="D38" s="128">
        <f>(C38-B38)</f>
        <v>2.777777777777779E-2</v>
      </c>
      <c r="E38" s="320" t="s">
        <v>73</v>
      </c>
      <c r="F38" s="345"/>
      <c r="G38" s="331" t="s">
        <v>59</v>
      </c>
    </row>
    <row r="39" spans="1:8" ht="14.45" customHeight="1" thickBot="1">
      <c r="A39" s="136"/>
      <c r="B39" s="137"/>
      <c r="C39" s="137"/>
      <c r="D39" s="138"/>
      <c r="E39" s="346"/>
      <c r="F39" s="347"/>
      <c r="G39" s="332"/>
    </row>
    <row r="40" spans="1:8" ht="16.5" customHeight="1">
      <c r="A40" s="179">
        <v>43905</v>
      </c>
      <c r="B40" s="66">
        <v>0.8125</v>
      </c>
      <c r="C40" s="66">
        <v>0.875</v>
      </c>
      <c r="D40" s="66">
        <f>(C40-B40)</f>
        <v>6.25E-2</v>
      </c>
      <c r="E40" s="354" t="s">
        <v>74</v>
      </c>
      <c r="F40" s="355"/>
      <c r="G40" s="331"/>
    </row>
    <row r="41" spans="1:8" ht="9.75" customHeight="1" thickBot="1">
      <c r="A41" s="109"/>
      <c r="B41" s="68"/>
      <c r="C41" s="68"/>
      <c r="D41" s="69"/>
      <c r="E41" s="301"/>
      <c r="F41" s="286"/>
      <c r="G41" s="332"/>
    </row>
    <row r="42" spans="1:8" ht="15" customHeight="1">
      <c r="A42" s="126">
        <v>43905</v>
      </c>
      <c r="B42" s="127">
        <v>0.875</v>
      </c>
      <c r="C42" s="127">
        <v>0.91666666666666663</v>
      </c>
      <c r="D42" s="128">
        <f>(C42-B42)</f>
        <v>4.166666666666663E-2</v>
      </c>
      <c r="E42" s="348" t="s">
        <v>75</v>
      </c>
      <c r="F42" s="321"/>
      <c r="G42" s="331" t="s">
        <v>59</v>
      </c>
    </row>
    <row r="43" spans="1:8" ht="12.6" customHeight="1" thickBot="1">
      <c r="A43" s="136"/>
      <c r="B43" s="137"/>
      <c r="C43" s="137"/>
      <c r="D43" s="138"/>
      <c r="E43" s="322"/>
      <c r="F43" s="323"/>
      <c r="G43" s="332"/>
    </row>
    <row r="44" spans="1:8" ht="12.6" customHeight="1"/>
    <row r="45" spans="1:8" ht="0.6" customHeight="1"/>
    <row r="46" spans="1:8" ht="21" customHeight="1">
      <c r="A46" s="236"/>
      <c r="B46" s="236"/>
      <c r="C46" s="236"/>
      <c r="D46" s="236"/>
      <c r="E46" s="236"/>
    </row>
    <row r="47" spans="1:8" ht="18" customHeight="1" thickBot="1">
      <c r="A47" s="28" t="s">
        <v>31</v>
      </c>
      <c r="B47" s="28"/>
      <c r="C47" s="27"/>
      <c r="D47" s="27"/>
      <c r="E47" s="27"/>
    </row>
    <row r="48" spans="1:8" ht="12.6" customHeight="1" thickBot="1">
      <c r="A48" s="5"/>
      <c r="B48" s="15"/>
      <c r="C48" s="16"/>
      <c r="D48" s="17"/>
      <c r="E48" s="18"/>
    </row>
    <row r="49" spans="1:5" ht="12.6" customHeight="1">
      <c r="A49" s="271" t="s">
        <v>76</v>
      </c>
      <c r="B49" s="271"/>
      <c r="C49" s="271"/>
      <c r="D49" s="271"/>
      <c r="E49" s="271"/>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c r="A53" s="274"/>
      <c r="B53" s="274"/>
      <c r="C53" s="274"/>
      <c r="D53" s="274"/>
      <c r="E53" s="274"/>
    </row>
    <row r="54" spans="1:5" ht="12.6" customHeight="1">
      <c r="A54" s="274"/>
      <c r="B54" s="274"/>
      <c r="C54" s="274"/>
      <c r="D54" s="274"/>
      <c r="E54" s="274"/>
    </row>
    <row r="55" spans="1:5" ht="13.15" customHeight="1">
      <c r="A55" s="274"/>
      <c r="B55" s="274"/>
      <c r="C55" s="274"/>
      <c r="D55" s="274"/>
      <c r="E55" s="274"/>
    </row>
    <row r="56" spans="1:5" ht="12.6" customHeight="1">
      <c r="A56" s="274"/>
      <c r="B56" s="274"/>
      <c r="C56" s="274"/>
      <c r="D56" s="274"/>
      <c r="E56" s="274"/>
    </row>
    <row r="57" spans="1:5" ht="12.6" customHeight="1">
      <c r="A57" s="274"/>
      <c r="B57" s="274"/>
      <c r="C57" s="274"/>
      <c r="D57" s="274"/>
      <c r="E57" s="274"/>
    </row>
    <row r="58" spans="1:5" ht="12.6" customHeight="1">
      <c r="A58" s="274"/>
      <c r="B58" s="274"/>
      <c r="C58" s="274"/>
      <c r="D58" s="274"/>
      <c r="E58" s="274"/>
    </row>
    <row r="59" spans="1:5" ht="12.6" customHeight="1">
      <c r="A59" s="274"/>
      <c r="B59" s="274"/>
      <c r="C59" s="274"/>
      <c r="D59" s="274"/>
      <c r="E59" s="274"/>
    </row>
    <row r="60" spans="1:5" ht="12.6" customHeight="1">
      <c r="A60" s="274"/>
      <c r="B60" s="274"/>
      <c r="C60" s="274"/>
      <c r="D60" s="274"/>
      <c r="E60" s="274"/>
    </row>
    <row r="61" spans="1:5" ht="12.6" customHeight="1">
      <c r="A61" s="274"/>
      <c r="B61" s="274"/>
      <c r="C61" s="274"/>
      <c r="D61" s="274"/>
      <c r="E61" s="274"/>
    </row>
    <row r="62" spans="1:5" ht="12.6" customHeight="1">
      <c r="A62" s="274"/>
      <c r="B62" s="274"/>
      <c r="C62" s="274"/>
      <c r="D62" s="274"/>
      <c r="E62" s="274"/>
    </row>
    <row r="63" spans="1:5" ht="12.6" customHeight="1">
      <c r="A63" s="274"/>
      <c r="B63" s="274"/>
      <c r="C63" s="274"/>
      <c r="D63" s="274"/>
      <c r="E63" s="274"/>
    </row>
    <row r="64" spans="1:5" ht="12.6" customHeight="1">
      <c r="A64" s="274"/>
      <c r="B64" s="274"/>
      <c r="C64" s="274"/>
      <c r="D64" s="274"/>
      <c r="E64" s="274"/>
    </row>
    <row r="65" spans="1:5" ht="19.5" customHeight="1">
      <c r="A65" s="274"/>
      <c r="B65" s="274"/>
      <c r="C65" s="274"/>
      <c r="D65" s="274"/>
      <c r="E65" s="274"/>
    </row>
    <row r="66" spans="1:5" ht="163.5" customHeight="1">
      <c r="A66" s="274"/>
      <c r="B66" s="274"/>
      <c r="C66" s="274"/>
      <c r="D66" s="274"/>
      <c r="E66" s="274"/>
    </row>
    <row r="67" spans="1:5" ht="12.6" customHeight="1"/>
    <row r="68" spans="1:5" ht="12.6" customHeight="1"/>
    <row r="69" spans="1:5" ht="12.6" customHeight="1"/>
    <row r="70" spans="1:5" ht="12.6" customHeight="1"/>
  </sheetData>
  <mergeCells count="33">
    <mergeCell ref="G38:G39"/>
    <mergeCell ref="E40:F41"/>
    <mergeCell ref="G40:G41"/>
    <mergeCell ref="E42:F43"/>
    <mergeCell ref="G42:G43"/>
    <mergeCell ref="G34:G35"/>
    <mergeCell ref="E34:F35"/>
    <mergeCell ref="E36:F37"/>
    <mergeCell ref="G36:G37"/>
    <mergeCell ref="J4:J5"/>
    <mergeCell ref="E10:F11"/>
    <mergeCell ref="E12:F13"/>
    <mergeCell ref="G12:G13"/>
    <mergeCell ref="G24:G25"/>
    <mergeCell ref="G26:G27"/>
    <mergeCell ref="G28:G29"/>
    <mergeCell ref="G30:G31"/>
    <mergeCell ref="G32:G33"/>
    <mergeCell ref="G14:G15"/>
    <mergeCell ref="E16:F17"/>
    <mergeCell ref="G16:G17"/>
    <mergeCell ref="G18:G19"/>
    <mergeCell ref="G22:G23"/>
    <mergeCell ref="E18:F19"/>
    <mergeCell ref="A1:D1"/>
    <mergeCell ref="A4:B5"/>
    <mergeCell ref="C4:D5"/>
    <mergeCell ref="A49:E66"/>
    <mergeCell ref="E14:F15"/>
    <mergeCell ref="E24:F25"/>
    <mergeCell ref="E26:F26"/>
    <mergeCell ref="E28:F29"/>
    <mergeCell ref="E38:F39"/>
  </mergeCells>
  <conditionalFormatting sqref="H20:I21 I19">
    <cfRule type="expression" dxfId="174" priority="18">
      <formula>ISNUMBER(SEARCH(TEXT(#REF!,"ddd"),#REF!))</formula>
    </cfRule>
  </conditionalFormatting>
  <conditionalFormatting sqref="A16:D23 A10:D12">
    <cfRule type="expression" dxfId="173" priority="19">
      <formula>ISNUMBER(SEARCH(TEXT(#REF!,"ddd"),#REF!))</formula>
    </cfRule>
  </conditionalFormatting>
  <conditionalFormatting sqref="K19:K23">
    <cfRule type="expression" dxfId="172" priority="20">
      <formula>ISNUMBER(SEARCH(TEXT(#REF!,"ddd"),#REF!))</formula>
    </cfRule>
  </conditionalFormatting>
  <conditionalFormatting sqref="D14">
    <cfRule type="expression" dxfId="171" priority="17">
      <formula>ISNUMBER(SEARCH(TEXT(#REF!,"ddd"),#REF!))</formula>
    </cfRule>
  </conditionalFormatting>
  <conditionalFormatting sqref="A14:C14">
    <cfRule type="expression" dxfId="170" priority="14">
      <formula>ISNUMBER(SEARCH(TEXT(#REF!,"ddd"),#REF!))</formula>
    </cfRule>
  </conditionalFormatting>
  <conditionalFormatting sqref="A13:D13">
    <cfRule type="expression" dxfId="169" priority="16">
      <formula>ISNUMBER(SEARCH(TEXT(#REF!,"ddd"),#REF!))</formula>
    </cfRule>
  </conditionalFormatting>
  <conditionalFormatting sqref="A15:D15">
    <cfRule type="expression" dxfId="168" priority="15">
      <formula>ISNUMBER(SEARCH(TEXT(#REF!,"ddd"),#REF!))</formula>
    </cfRule>
  </conditionalFormatting>
  <conditionalFormatting sqref="D16">
    <cfRule type="expression" dxfId="167" priority="13">
      <formula>ISNUMBER(SEARCH(TEXT(#REF!,"ddd"),#REF!))</formula>
    </cfRule>
  </conditionalFormatting>
  <conditionalFormatting sqref="A16:C16">
    <cfRule type="expression" dxfId="166" priority="11">
      <formula>ISNUMBER(SEARCH(TEXT(#REF!,"ddd"),#REF!))</formula>
    </cfRule>
  </conditionalFormatting>
  <conditionalFormatting sqref="A17:D17">
    <cfRule type="expression" dxfId="165" priority="12">
      <formula>ISNUMBER(SEARCH(TEXT(#REF!,"ddd"),#REF!))</formula>
    </cfRule>
  </conditionalFormatting>
  <conditionalFormatting sqref="A24:D25">
    <cfRule type="expression" dxfId="164" priority="10">
      <formula>ISNUMBER(SEARCH(TEXT(#REF!,"ddd"),#REF!))</formula>
    </cfRule>
  </conditionalFormatting>
  <conditionalFormatting sqref="A26:D27">
    <cfRule type="expression" dxfId="163" priority="9">
      <formula>ISNUMBER(SEARCH(TEXT(#REF!,"ddd"),#REF!))</formula>
    </cfRule>
  </conditionalFormatting>
  <conditionalFormatting sqref="A28:D29">
    <cfRule type="expression" dxfId="162" priority="8">
      <formula>ISNUMBER(SEARCH(TEXT(#REF!,"ddd"),#REF!))</formula>
    </cfRule>
  </conditionalFormatting>
  <conditionalFormatting sqref="A30:D31">
    <cfRule type="expression" dxfId="161" priority="7">
      <formula>ISNUMBER(SEARCH(TEXT(#REF!,"ddd"),#REF!))</formula>
    </cfRule>
  </conditionalFormatting>
  <conditionalFormatting sqref="A32:D33">
    <cfRule type="expression" dxfId="160" priority="6">
      <formula>ISNUMBER(SEARCH(TEXT(#REF!,"ddd"),#REF!))</formula>
    </cfRule>
  </conditionalFormatting>
  <conditionalFormatting sqref="A34:D35">
    <cfRule type="expression" dxfId="159" priority="5">
      <formula>ISNUMBER(SEARCH(TEXT(#REF!,"ddd"),#REF!))</formula>
    </cfRule>
  </conditionalFormatting>
  <conditionalFormatting sqref="A36:D37">
    <cfRule type="expression" dxfId="158" priority="4">
      <formula>ISNUMBER(SEARCH(TEXT(#REF!,"ddd"),#REF!))</formula>
    </cfRule>
  </conditionalFormatting>
  <conditionalFormatting sqref="A38:D39">
    <cfRule type="expression" dxfId="157" priority="3">
      <formula>ISNUMBER(SEARCH(TEXT(#REF!,"ddd"),#REF!))</formula>
    </cfRule>
  </conditionalFormatting>
  <conditionalFormatting sqref="A40:D41">
    <cfRule type="expression" dxfId="156" priority="2">
      <formula>ISNUMBER(SEARCH(TEXT(#REF!,"ddd"),#REF!))</formula>
    </cfRule>
  </conditionalFormatting>
  <conditionalFormatting sqref="A42:D43">
    <cfRule type="expression" dxfId="155" priority="1">
      <formula>ISNUMBER(SEARCH(TEXT(#REF!,"ddd"),#REF!))</formula>
    </cfRule>
  </conditionalFormatting>
  <dataValidations count="2">
    <dataValidation type="custom" allowBlank="1" showInputMessage="1" showErrorMessage="1" sqref="B10:B20 C11:C18 C20 C22 B22:B43 C24 C26 C28 C30 C32 C34 C36 C38 C40 C42" xr:uid="{AA63A38F-270E-4909-A823-CD1ADBBFBA0C}">
      <formula1>AND($B10&lt;=1,ISNUMBER($B10))</formula1>
    </dataValidation>
    <dataValidation type="custom" allowBlank="1" showInputMessage="1" showErrorMessage="1" sqref="C10 C19 C23 C25 C27 C29 C31 C33 C35 C37 C39 C41 C43" xr:uid="{2795AAA8-5961-4C0B-AC6E-38C230CBFE57}">
      <formula1>AND($C10&lt;=1,ISNUMBER($C10),($C10&gt;=$B10))</formula1>
    </dataValidation>
  </dataValidations>
  <pageMargins left="0.25" right="0.25" top="0.75" bottom="0.75" header="0.3" footer="0.3"/>
  <pageSetup paperSize="9" scale="65" orientation="portrait" horizontalDpi="4294967293" verticalDpi="4294967293"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0F29D-9F7B-46F4-847C-B442E0C6EAA7}">
  <sheetPr codeName="Sheet14"/>
  <dimension ref="A1:K70"/>
  <sheetViews>
    <sheetView showGridLines="0" zoomScale="96" zoomScaleNormal="100" workbookViewId="0">
      <selection activeCell="G24" sqref="G24"/>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12</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43908</v>
      </c>
      <c r="B3" s="234"/>
      <c r="C3" s="101">
        <f>MAXA(A10:A80)</f>
        <v>43912</v>
      </c>
      <c r="D3" s="234"/>
      <c r="E3" s="72" t="s">
        <v>7</v>
      </c>
      <c r="F3" s="32">
        <f>Sumcolor(E3,D10:D23)</f>
        <v>0</v>
      </c>
      <c r="G3" s="33">
        <f>SUM(Først:Sist!F3, 'Uke5'!I2)</f>
        <v>0.60416666666666663</v>
      </c>
      <c r="H3" s="22"/>
      <c r="I3" s="7"/>
      <c r="J3" s="7"/>
    </row>
    <row r="4" spans="1:10" ht="15" customHeight="1">
      <c r="A4" s="271" t="s">
        <v>17</v>
      </c>
      <c r="B4" s="271"/>
      <c r="C4" s="280" t="s">
        <v>18</v>
      </c>
      <c r="D4" s="280"/>
      <c r="E4" s="73" t="s">
        <v>10</v>
      </c>
      <c r="F4" s="32">
        <f>Sumcolor(E4,D10:D322)</f>
        <v>0.32638888888888895</v>
      </c>
      <c r="G4" s="33">
        <f>SUM(Først:Sist!F4)</f>
        <v>1.8784722222222223</v>
      </c>
      <c r="H4" s="22"/>
      <c r="I4" s="7"/>
      <c r="J4" s="269"/>
    </row>
    <row r="5" spans="1:10" ht="15.75">
      <c r="A5" s="280"/>
      <c r="B5" s="280"/>
      <c r="C5" s="280"/>
      <c r="D5" s="280"/>
      <c r="E5" s="191" t="s">
        <v>11</v>
      </c>
      <c r="F5" s="32">
        <f>Sumcolor(E5,D10:D23)</f>
        <v>3.472222222222221E-2</v>
      </c>
      <c r="G5" s="33">
        <f>SUM(Først:Sist!F5, 'Uke5'!I4)</f>
        <v>1.020833333333333</v>
      </c>
      <c r="H5" s="22"/>
      <c r="I5" s="7"/>
      <c r="J5" s="269"/>
    </row>
    <row r="6" spans="1:10" ht="18.75" customHeight="1" thickBot="1">
      <c r="A6" s="36">
        <f>SUM(D10:D23)</f>
        <v>0.36111111111111116</v>
      </c>
      <c r="B6" s="37"/>
      <c r="C6" s="82">
        <f>SUM(Først:Sist!A6, 'Uke5'!C5)</f>
        <v>4.4131944444444446</v>
      </c>
      <c r="D6" s="38"/>
      <c r="E6" s="75" t="s">
        <v>19</v>
      </c>
      <c r="F6" s="34">
        <f>Sumcolor(E6,D10:D23)</f>
        <v>0</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43908</v>
      </c>
      <c r="B10" s="83">
        <v>0.49305555555555558</v>
      </c>
      <c r="C10" s="83">
        <v>0.50694444444444442</v>
      </c>
      <c r="D10" s="181">
        <f t="shared" ref="D10" si="0">(C10-B10)</f>
        <v>1.388888888888884E-2</v>
      </c>
      <c r="E10" s="352" t="s">
        <v>47</v>
      </c>
      <c r="F10" s="353"/>
      <c r="G10" s="219"/>
      <c r="H10" s="25"/>
    </row>
    <row r="11" spans="1:10" ht="15.75" thickBot="1">
      <c r="A11" s="103"/>
      <c r="B11" s="85"/>
      <c r="C11" s="85"/>
      <c r="D11" s="180"/>
      <c r="E11" s="326"/>
      <c r="F11" s="327"/>
      <c r="G11" s="220"/>
      <c r="H11" s="25"/>
    </row>
    <row r="12" spans="1:10" ht="14.45" customHeight="1">
      <c r="A12" s="102">
        <v>43911</v>
      </c>
      <c r="B12" s="83">
        <v>0.54166666666666663</v>
      </c>
      <c r="C12" s="83">
        <v>0.5625</v>
      </c>
      <c r="D12" s="181">
        <f t="shared" ref="D12" si="1">(C12-B12)</f>
        <v>2.083333333333337E-2</v>
      </c>
      <c r="E12" s="352" t="s">
        <v>47</v>
      </c>
      <c r="F12" s="353"/>
      <c r="G12" s="331"/>
    </row>
    <row r="13" spans="1:10" ht="15.75" thickBot="1">
      <c r="A13" s="103"/>
      <c r="B13" s="85"/>
      <c r="C13" s="85"/>
      <c r="D13" s="86"/>
      <c r="E13" s="326"/>
      <c r="F13" s="327"/>
      <c r="G13" s="332"/>
    </row>
    <row r="14" spans="1:10" ht="14.45" customHeight="1">
      <c r="A14" s="126">
        <v>43911</v>
      </c>
      <c r="B14" s="127">
        <v>0.5625</v>
      </c>
      <c r="C14" s="127">
        <v>0.61458333333333337</v>
      </c>
      <c r="D14" s="128">
        <f>(C14-B14)</f>
        <v>5.208333333333337E-2</v>
      </c>
      <c r="E14" s="320" t="s">
        <v>77</v>
      </c>
      <c r="F14" s="321"/>
      <c r="G14" s="331"/>
    </row>
    <row r="15" spans="1:10" ht="15.75" thickBot="1">
      <c r="A15" s="136"/>
      <c r="B15" s="137"/>
      <c r="C15" s="137"/>
      <c r="D15" s="138"/>
      <c r="E15" s="322"/>
      <c r="F15" s="323"/>
      <c r="G15" s="332"/>
    </row>
    <row r="16" spans="1:10" ht="14.45" customHeight="1">
      <c r="A16" s="126">
        <v>43911</v>
      </c>
      <c r="B16" s="127">
        <v>0.77777777777777779</v>
      </c>
      <c r="C16" s="127">
        <v>0.79513888888888884</v>
      </c>
      <c r="D16" s="128">
        <f>(C16-B16)</f>
        <v>1.7361111111111049E-2</v>
      </c>
      <c r="E16" s="320" t="s">
        <v>78</v>
      </c>
      <c r="F16" s="321"/>
      <c r="G16" s="331" t="s">
        <v>79</v>
      </c>
    </row>
    <row r="17" spans="1:11" ht="15.75" thickBot="1">
      <c r="A17" s="136"/>
      <c r="B17" s="137"/>
      <c r="C17" s="137"/>
      <c r="D17" s="138"/>
      <c r="E17" s="322"/>
      <c r="F17" s="323"/>
      <c r="G17" s="332"/>
    </row>
    <row r="18" spans="1:11" ht="14.45" customHeight="1">
      <c r="A18" s="106">
        <v>43912</v>
      </c>
      <c r="B18" s="87">
        <v>0.66666666666666663</v>
      </c>
      <c r="C18" s="87">
        <v>0.71527777777777779</v>
      </c>
      <c r="D18" s="88">
        <f>(C18-B18)</f>
        <v>4.861111111111116E-2</v>
      </c>
      <c r="E18" s="348" t="s">
        <v>80</v>
      </c>
      <c r="F18" s="349"/>
      <c r="G18" s="331" t="s">
        <v>79</v>
      </c>
    </row>
    <row r="19" spans="1:11" ht="15.75" thickBot="1">
      <c r="A19" s="161"/>
      <c r="B19" s="162"/>
      <c r="C19" s="162"/>
      <c r="D19" s="163"/>
      <c r="E19" s="350"/>
      <c r="F19" s="351"/>
      <c r="G19" s="332"/>
      <c r="I19" s="8"/>
      <c r="K19" s="8"/>
    </row>
    <row r="20" spans="1:11" ht="14.25" customHeight="1">
      <c r="A20" s="106">
        <v>43912</v>
      </c>
      <c r="B20" s="87">
        <v>0.71527777777777779</v>
      </c>
      <c r="C20" s="87">
        <v>0.81597222222222221</v>
      </c>
      <c r="D20" s="88">
        <f>(C20-B20)</f>
        <v>0.10069444444444442</v>
      </c>
      <c r="E20" s="348" t="s">
        <v>81</v>
      </c>
      <c r="F20" s="349"/>
      <c r="G20" s="331" t="s">
        <v>79</v>
      </c>
      <c r="H20" s="8"/>
      <c r="I20" s="8"/>
      <c r="K20" s="8"/>
    </row>
    <row r="21" spans="1:11" ht="33" customHeight="1" thickBot="1">
      <c r="A21" s="161"/>
      <c r="B21" s="162"/>
      <c r="C21" s="162"/>
      <c r="D21" s="163"/>
      <c r="E21" s="350"/>
      <c r="F21" s="351"/>
      <c r="G21" s="332"/>
      <c r="H21" s="8"/>
      <c r="I21" s="8"/>
      <c r="K21" s="8"/>
    </row>
    <row r="22" spans="1:11" ht="14.45" customHeight="1">
      <c r="A22" s="126">
        <v>43912</v>
      </c>
      <c r="B22" s="127">
        <v>0.84722222222222221</v>
      </c>
      <c r="C22" s="127">
        <v>0.95486111111111116</v>
      </c>
      <c r="D22" s="128">
        <f t="shared" ref="D22" si="2">(C22-B22)</f>
        <v>0.10763888888888895</v>
      </c>
      <c r="E22" s="320" t="s">
        <v>82</v>
      </c>
      <c r="F22" s="321"/>
      <c r="G22" s="331" t="s">
        <v>59</v>
      </c>
      <c r="H22" s="9"/>
      <c r="I22" s="9"/>
      <c r="K22" s="8"/>
    </row>
    <row r="23" spans="1:11" ht="18" customHeight="1" thickBot="1">
      <c r="A23" s="136"/>
      <c r="B23" s="137"/>
      <c r="C23" s="137"/>
      <c r="D23" s="138"/>
      <c r="E23" s="322"/>
      <c r="F23" s="323"/>
      <c r="G23" s="332"/>
      <c r="H23" s="10"/>
      <c r="I23" s="10"/>
      <c r="K23" s="8"/>
    </row>
    <row r="24" spans="1:11" ht="15.6" customHeight="1"/>
    <row r="25" spans="1:11" ht="16.899999999999999" customHeight="1"/>
    <row r="26" spans="1:11" ht="30" hidden="1" customHeight="1">
      <c r="A26" s="236"/>
      <c r="B26" s="236"/>
      <c r="C26" s="236"/>
      <c r="D26" s="236"/>
      <c r="E26" s="236"/>
    </row>
    <row r="27" spans="1:11" ht="24" customHeight="1" thickBot="1">
      <c r="A27" s="28" t="s">
        <v>31</v>
      </c>
      <c r="B27" s="28"/>
      <c r="C27" s="27"/>
      <c r="D27" s="27"/>
      <c r="E27" s="27"/>
    </row>
    <row r="28" spans="1:11" ht="28.5" customHeight="1" thickBot="1">
      <c r="A28" s="5"/>
      <c r="B28" s="15"/>
      <c r="C28" s="16"/>
      <c r="D28" s="17"/>
      <c r="E28" s="18"/>
    </row>
    <row r="29" spans="1:11" ht="19.5" customHeight="1">
      <c r="A29" s="271" t="s">
        <v>83</v>
      </c>
      <c r="B29" s="271"/>
      <c r="C29" s="271"/>
      <c r="D29" s="271"/>
      <c r="E29" s="271"/>
    </row>
    <row r="30" spans="1:11" ht="16.5" customHeight="1">
      <c r="A30" s="274"/>
      <c r="B30" s="274"/>
      <c r="C30" s="274"/>
      <c r="D30" s="274"/>
      <c r="E30" s="274"/>
    </row>
    <row r="31" spans="1:11" ht="12.75" customHeight="1">
      <c r="A31" s="274"/>
      <c r="B31" s="274"/>
      <c r="C31" s="274"/>
      <c r="D31" s="274"/>
      <c r="E31" s="274"/>
    </row>
    <row r="32" spans="1:11" ht="14.25" customHeight="1">
      <c r="A32" s="274"/>
      <c r="B32" s="274"/>
      <c r="C32" s="274"/>
      <c r="D32" s="274"/>
      <c r="E32" s="274"/>
    </row>
    <row r="33" spans="1:8" ht="15" customHeight="1">
      <c r="A33" s="274"/>
      <c r="B33" s="274"/>
      <c r="C33" s="274"/>
      <c r="D33" s="274"/>
      <c r="E33" s="274"/>
    </row>
    <row r="34" spans="1:8" ht="15.75" customHeight="1">
      <c r="A34" s="274"/>
      <c r="B34" s="274"/>
      <c r="C34" s="274"/>
      <c r="D34" s="274"/>
      <c r="E34" s="274"/>
      <c r="H34" s="29"/>
    </row>
    <row r="35" spans="1:8" ht="13.5" customHeight="1">
      <c r="A35" s="274"/>
      <c r="B35" s="274"/>
      <c r="C35" s="274"/>
      <c r="D35" s="274"/>
      <c r="E35" s="274"/>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12.6"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row r="48" spans="1:8"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9.5" customHeight="1"/>
    <row r="66" ht="163.5" customHeight="1"/>
    <row r="67" ht="12.6" customHeight="1"/>
    <row r="68" ht="12.6" customHeight="1"/>
    <row r="69" ht="12.6" customHeight="1"/>
    <row r="70" ht="12.6" customHeight="1"/>
  </sheetData>
  <mergeCells count="18">
    <mergeCell ref="A1:D1"/>
    <mergeCell ref="A4:B5"/>
    <mergeCell ref="C4:D5"/>
    <mergeCell ref="J4:J5"/>
    <mergeCell ref="E10:F11"/>
    <mergeCell ref="E14:F15"/>
    <mergeCell ref="G14:G15"/>
    <mergeCell ref="E16:F17"/>
    <mergeCell ref="G16:G17"/>
    <mergeCell ref="E12:F13"/>
    <mergeCell ref="G12:G13"/>
    <mergeCell ref="E18:F19"/>
    <mergeCell ref="G18:G19"/>
    <mergeCell ref="A29:E46"/>
    <mergeCell ref="E20:F21"/>
    <mergeCell ref="G20:G21"/>
    <mergeCell ref="E22:F23"/>
    <mergeCell ref="G22:G23"/>
  </mergeCells>
  <conditionalFormatting sqref="H20:I21 I19">
    <cfRule type="expression" dxfId="154" priority="23">
      <formula>ISNUMBER(SEARCH(TEXT(#REF!,"ddd"),#REF!))</formula>
    </cfRule>
  </conditionalFormatting>
  <conditionalFormatting sqref="A18:D19 A10:D11 A22:D23">
    <cfRule type="expression" dxfId="153" priority="24">
      <formula>ISNUMBER(SEARCH(TEXT(#REF!,"ddd"),#REF!))</formula>
    </cfRule>
  </conditionalFormatting>
  <conditionalFormatting sqref="K19:K23">
    <cfRule type="expression" dxfId="152" priority="25">
      <formula>ISNUMBER(SEARCH(TEXT(#REF!,"ddd"),#REF!))</formula>
    </cfRule>
  </conditionalFormatting>
  <conditionalFormatting sqref="D14">
    <cfRule type="expression" dxfId="151" priority="22">
      <formula>ISNUMBER(SEARCH(TEXT(#REF!,"ddd"),#REF!))</formula>
    </cfRule>
  </conditionalFormatting>
  <conditionalFormatting sqref="A14:C14">
    <cfRule type="expression" dxfId="150" priority="19">
      <formula>ISNUMBER(SEARCH(TEXT(#REF!,"ddd"),#REF!))</formula>
    </cfRule>
  </conditionalFormatting>
  <conditionalFormatting sqref="A15:D15">
    <cfRule type="expression" dxfId="149" priority="20">
      <formula>ISNUMBER(SEARCH(TEXT(#REF!,"ddd"),#REF!))</formula>
    </cfRule>
  </conditionalFormatting>
  <conditionalFormatting sqref="A12:D13">
    <cfRule type="expression" dxfId="148" priority="5">
      <formula>ISNUMBER(SEARCH(TEXT(#REF!,"ddd"),#REF!))</formula>
    </cfRule>
  </conditionalFormatting>
  <conditionalFormatting sqref="D16">
    <cfRule type="expression" dxfId="147" priority="4">
      <formula>ISNUMBER(SEARCH(TEXT(#REF!,"ddd"),#REF!))</formula>
    </cfRule>
  </conditionalFormatting>
  <conditionalFormatting sqref="A16:C16">
    <cfRule type="expression" dxfId="146" priority="2">
      <formula>ISNUMBER(SEARCH(TEXT(#REF!,"ddd"),#REF!))</formula>
    </cfRule>
  </conditionalFormatting>
  <conditionalFormatting sqref="A17:D17">
    <cfRule type="expression" dxfId="145" priority="3">
      <formula>ISNUMBER(SEARCH(TEXT(#REF!,"ddd"),#REF!))</formula>
    </cfRule>
  </conditionalFormatting>
  <conditionalFormatting sqref="A20:D21">
    <cfRule type="expression" dxfId="144" priority="1">
      <formula>ISNUMBER(SEARCH(TEXT(#REF!,"ddd"),#REF!))</formula>
    </cfRule>
  </conditionalFormatting>
  <dataValidations count="2">
    <dataValidation type="custom" allowBlank="1" showInputMessage="1" showErrorMessage="1" sqref="C10 C19 C23 C12 C21" xr:uid="{8E093242-D319-43A2-9277-422C43924A96}">
      <formula1>AND($C10&lt;=1,ISNUMBER($C10),($C10&gt;=$B10))</formula1>
    </dataValidation>
    <dataValidation type="custom" allowBlank="1" showInputMessage="1" showErrorMessage="1" sqref="C22 C11 C13:C18 C20 B10:B23" xr:uid="{624F3D28-F592-4903-9F86-F5B9C7D22243}">
      <formula1>AND($B10&lt;=1,ISNUMBER($B10))</formula1>
    </dataValidation>
  </dataValidations>
  <pageMargins left="0.25" right="0.25" top="0.75" bottom="0.75" header="0.3" footer="0.3"/>
  <pageSetup paperSize="9" scale="65"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9B66A-552E-42CC-8F73-A72276A997AD}">
  <sheetPr codeName="Sheet15"/>
  <dimension ref="A1:K70"/>
  <sheetViews>
    <sheetView showGridLines="0" zoomScale="96" zoomScaleNormal="100" workbookViewId="0">
      <selection activeCell="G5" sqref="G5"/>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13</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43913</v>
      </c>
      <c r="B3" s="234"/>
      <c r="C3" s="101">
        <f>MAXA(A10:A80)</f>
        <v>43919</v>
      </c>
      <c r="D3" s="234"/>
      <c r="E3" s="72" t="s">
        <v>7</v>
      </c>
      <c r="F3" s="32">
        <f>Sumcolor(E3,D10:D23)</f>
        <v>0</v>
      </c>
      <c r="G3" s="33">
        <f>SUM(Først:Sist!F3, 'Uke5'!I2)</f>
        <v>0.60416666666666663</v>
      </c>
      <c r="H3" s="22"/>
      <c r="I3" s="7"/>
      <c r="J3" s="7"/>
    </row>
    <row r="4" spans="1:10" ht="15" customHeight="1">
      <c r="A4" s="271" t="s">
        <v>17</v>
      </c>
      <c r="B4" s="271"/>
      <c r="C4" s="280" t="s">
        <v>18</v>
      </c>
      <c r="D4" s="280"/>
      <c r="E4" s="73" t="s">
        <v>10</v>
      </c>
      <c r="F4" s="32">
        <f>Sumcolor(E4,D10:D322)</f>
        <v>0.31250000000000011</v>
      </c>
      <c r="G4" s="33">
        <f>SUM(Først:Sist!F4)</f>
        <v>1.8784722222222223</v>
      </c>
      <c r="H4" s="22"/>
      <c r="I4" s="7"/>
      <c r="J4" s="269"/>
    </row>
    <row r="5" spans="1:10" ht="15.75">
      <c r="A5" s="280"/>
      <c r="B5" s="280"/>
      <c r="C5" s="280"/>
      <c r="D5" s="280"/>
      <c r="E5" s="191" t="s">
        <v>11</v>
      </c>
      <c r="F5" s="32">
        <f>Sumcolor(E5,D10:D23)</f>
        <v>1.388888888888884E-2</v>
      </c>
      <c r="G5" s="33">
        <f>SUM(Først:Sist!F5, 'Uke5'!I4)</f>
        <v>1.020833333333333</v>
      </c>
      <c r="H5" s="22"/>
      <c r="I5" s="7"/>
      <c r="J5" s="269"/>
    </row>
    <row r="6" spans="1:10" ht="18.75" customHeight="1" thickBot="1">
      <c r="A6" s="36">
        <f>SUM(D10:D23)</f>
        <v>0.45138888888888884</v>
      </c>
      <c r="B6" s="37"/>
      <c r="C6" s="82">
        <f>SUM(Først:Sist!A6, 'Uke5'!C5)</f>
        <v>4.4131944444444446</v>
      </c>
      <c r="D6" s="38"/>
      <c r="E6" s="75" t="s">
        <v>19</v>
      </c>
      <c r="F6" s="34">
        <f>Sumcolor(E6,D10:D23)</f>
        <v>0.12499999999999989</v>
      </c>
      <c r="G6" s="3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87">
        <v>43913</v>
      </c>
      <c r="B10" s="188">
        <v>0.59027777777777779</v>
      </c>
      <c r="C10" s="188">
        <v>0.60416666666666663</v>
      </c>
      <c r="D10" s="181">
        <f t="shared" ref="D10" si="0">(C10-B10)</f>
        <v>1.388888888888884E-2</v>
      </c>
      <c r="E10" s="360" t="s">
        <v>57</v>
      </c>
      <c r="F10" s="361"/>
      <c r="G10" s="219"/>
      <c r="H10" s="25"/>
    </row>
    <row r="11" spans="1:10" ht="15.75" thickBot="1">
      <c r="A11" s="189"/>
      <c r="B11" s="190"/>
      <c r="C11" s="190"/>
      <c r="D11" s="180"/>
      <c r="E11" s="362"/>
      <c r="F11" s="363"/>
      <c r="G11" s="220"/>
      <c r="H11" s="25"/>
    </row>
    <row r="12" spans="1:10" ht="14.45" customHeight="1">
      <c r="A12" s="182">
        <v>43918</v>
      </c>
      <c r="B12" s="65">
        <v>0.59722222222222221</v>
      </c>
      <c r="C12" s="65">
        <v>0.625</v>
      </c>
      <c r="D12" s="66">
        <f t="shared" ref="D12" si="1">(C12-B12)</f>
        <v>2.777777777777779E-2</v>
      </c>
      <c r="E12" s="300" t="s">
        <v>84</v>
      </c>
      <c r="F12" s="359"/>
      <c r="G12" s="331"/>
    </row>
    <row r="13" spans="1:10" ht="15" customHeight="1" thickBot="1">
      <c r="A13" s="183"/>
      <c r="B13" s="184"/>
      <c r="C13" s="184"/>
      <c r="D13" s="185"/>
      <c r="E13" s="301"/>
      <c r="F13" s="286"/>
      <c r="G13" s="332"/>
    </row>
    <row r="14" spans="1:10" ht="34.5" customHeight="1">
      <c r="A14" s="174">
        <v>43918</v>
      </c>
      <c r="B14" s="128">
        <v>0.625</v>
      </c>
      <c r="C14" s="128">
        <v>0.75</v>
      </c>
      <c r="D14" s="128">
        <f>(C14-B14)</f>
        <v>0.125</v>
      </c>
      <c r="E14" s="320" t="s">
        <v>85</v>
      </c>
      <c r="F14" s="321"/>
      <c r="G14" s="357" t="s">
        <v>59</v>
      </c>
    </row>
    <row r="15" spans="1:10" ht="15.75" thickBot="1">
      <c r="A15" s="136"/>
      <c r="B15" s="137"/>
      <c r="C15" s="137"/>
      <c r="D15" s="138"/>
      <c r="E15" s="322"/>
      <c r="F15" s="323"/>
      <c r="G15" s="358"/>
    </row>
    <row r="16" spans="1:10" ht="14.45" customHeight="1">
      <c r="A16" s="126">
        <v>43918</v>
      </c>
      <c r="B16" s="127">
        <v>0.79166666666666663</v>
      </c>
      <c r="C16" s="127">
        <v>0.83333333333333337</v>
      </c>
      <c r="D16" s="128">
        <f>(C16-B16)</f>
        <v>4.1666666666666741E-2</v>
      </c>
      <c r="E16" s="320" t="s">
        <v>86</v>
      </c>
      <c r="F16" s="321"/>
      <c r="G16" s="331" t="s">
        <v>87</v>
      </c>
    </row>
    <row r="17" spans="1:11" ht="15.75" thickBot="1">
      <c r="A17" s="136"/>
      <c r="B17" s="137"/>
      <c r="C17" s="137"/>
      <c r="D17" s="138"/>
      <c r="E17" s="322"/>
      <c r="F17" s="323"/>
      <c r="G17" s="332"/>
    </row>
    <row r="18" spans="1:11" ht="14.45" customHeight="1">
      <c r="A18" s="106">
        <v>43919</v>
      </c>
      <c r="B18" s="87">
        <v>0.66666666666666663</v>
      </c>
      <c r="C18" s="87">
        <v>0.79166666666666663</v>
      </c>
      <c r="D18" s="88">
        <f>(C18-B18)</f>
        <v>0.125</v>
      </c>
      <c r="E18" s="348" t="s">
        <v>88</v>
      </c>
      <c r="F18" s="349"/>
      <c r="G18" s="331" t="s">
        <v>59</v>
      </c>
    </row>
    <row r="19" spans="1:11" ht="15.75" thickBot="1">
      <c r="A19" s="161"/>
      <c r="B19" s="162"/>
      <c r="C19" s="162"/>
      <c r="D19" s="163"/>
      <c r="E19" s="350"/>
      <c r="F19" s="351"/>
      <c r="G19" s="332"/>
      <c r="I19" s="8"/>
      <c r="K19" s="8"/>
    </row>
    <row r="20" spans="1:11" ht="19.5" customHeight="1">
      <c r="A20" s="186">
        <v>43919</v>
      </c>
      <c r="B20" s="88">
        <v>0.875</v>
      </c>
      <c r="C20" s="88">
        <v>0.89583333333333337</v>
      </c>
      <c r="D20" s="88">
        <f>(C20-B20)</f>
        <v>2.083333333333337E-2</v>
      </c>
      <c r="E20" s="348" t="s">
        <v>89</v>
      </c>
      <c r="F20" s="349"/>
      <c r="G20" s="331" t="s">
        <v>90</v>
      </c>
      <c r="H20" s="8"/>
      <c r="I20" s="8"/>
      <c r="K20" s="8"/>
    </row>
    <row r="21" spans="1:11" ht="12.75" customHeight="1" thickBot="1">
      <c r="A21" s="161"/>
      <c r="B21" s="162"/>
      <c r="C21" s="162"/>
      <c r="D21" s="163"/>
      <c r="E21" s="350"/>
      <c r="F21" s="351"/>
      <c r="G21" s="332"/>
      <c r="H21" s="8"/>
      <c r="I21" s="8"/>
      <c r="K21" s="8"/>
    </row>
    <row r="22" spans="1:11" ht="14.45" customHeight="1">
      <c r="A22" s="182">
        <v>43919</v>
      </c>
      <c r="B22" s="65">
        <v>0.89583333333333337</v>
      </c>
      <c r="C22" s="65">
        <v>0.99305555555555547</v>
      </c>
      <c r="D22" s="66">
        <f t="shared" ref="D22" si="2">(C22-B22)</f>
        <v>9.7222222222222099E-2</v>
      </c>
      <c r="E22" s="356" t="s">
        <v>91</v>
      </c>
      <c r="F22" s="355"/>
      <c r="G22" s="331"/>
      <c r="H22" s="9"/>
      <c r="I22" s="9"/>
      <c r="K22" s="8"/>
    </row>
    <row r="23" spans="1:11" ht="18" customHeight="1" thickBot="1">
      <c r="A23" s="109"/>
      <c r="B23" s="68"/>
      <c r="C23" s="68"/>
      <c r="D23" s="69"/>
      <c r="E23" s="301"/>
      <c r="F23" s="286"/>
      <c r="G23" s="332"/>
      <c r="H23" s="10"/>
      <c r="I23" s="10"/>
      <c r="K23" s="8"/>
    </row>
    <row r="24" spans="1:11" ht="15.6" customHeight="1"/>
    <row r="25" spans="1:11" ht="16.899999999999999" customHeight="1"/>
    <row r="26" spans="1:11" ht="30" hidden="1" customHeight="1">
      <c r="A26" s="236"/>
      <c r="B26" s="236"/>
      <c r="C26" s="236"/>
      <c r="D26" s="236"/>
      <c r="E26" s="236"/>
    </row>
    <row r="27" spans="1:11" ht="24" customHeight="1" thickBot="1">
      <c r="A27" s="28" t="s">
        <v>31</v>
      </c>
      <c r="B27" s="28"/>
      <c r="C27" s="27"/>
      <c r="D27" s="27"/>
      <c r="E27" s="27"/>
    </row>
    <row r="28" spans="1:11" ht="28.5" customHeight="1" thickBot="1">
      <c r="A28" s="5"/>
      <c r="B28" s="15"/>
      <c r="C28" s="16"/>
      <c r="D28" s="17"/>
      <c r="E28" s="18"/>
    </row>
    <row r="29" spans="1:11" ht="19.5" customHeight="1">
      <c r="A29" s="271" t="s">
        <v>92</v>
      </c>
      <c r="B29" s="271"/>
      <c r="C29" s="271"/>
      <c r="D29" s="271"/>
      <c r="E29" s="271"/>
    </row>
    <row r="30" spans="1:11" ht="16.5" customHeight="1">
      <c r="A30" s="274"/>
      <c r="B30" s="274"/>
      <c r="C30" s="274"/>
      <c r="D30" s="274"/>
      <c r="E30" s="274"/>
    </row>
    <row r="31" spans="1:11" ht="12.75" customHeight="1">
      <c r="A31" s="274"/>
      <c r="B31" s="274"/>
      <c r="C31" s="274"/>
      <c r="D31" s="274"/>
      <c r="E31" s="274"/>
    </row>
    <row r="32" spans="1:11" ht="14.25" customHeight="1">
      <c r="A32" s="274"/>
      <c r="B32" s="274"/>
      <c r="C32" s="274"/>
      <c r="D32" s="274"/>
      <c r="E32" s="274"/>
    </row>
    <row r="33" spans="1:8" ht="15" customHeight="1">
      <c r="A33" s="274"/>
      <c r="B33" s="274"/>
      <c r="C33" s="274"/>
      <c r="D33" s="274"/>
      <c r="E33" s="274"/>
    </row>
    <row r="34" spans="1:8" ht="15.75" customHeight="1">
      <c r="A34" s="274"/>
      <c r="B34" s="274"/>
      <c r="C34" s="274"/>
      <c r="D34" s="274"/>
      <c r="E34" s="274"/>
      <c r="H34" s="29"/>
    </row>
    <row r="35" spans="1:8" ht="13.5" customHeight="1">
      <c r="A35" s="274"/>
      <c r="B35" s="274"/>
      <c r="C35" s="274"/>
      <c r="D35" s="274"/>
      <c r="E35" s="274"/>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209.25"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row r="48" spans="1:8"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9.5" customHeight="1"/>
    <row r="66" ht="163.5" customHeight="1"/>
    <row r="67" ht="12.6" customHeight="1"/>
    <row r="68" ht="12.6" customHeight="1"/>
    <row r="69" ht="12.6" customHeight="1"/>
    <row r="70" ht="12.6" customHeight="1"/>
  </sheetData>
  <mergeCells count="18">
    <mergeCell ref="A1:D1"/>
    <mergeCell ref="A4:B5"/>
    <mergeCell ref="C4:D5"/>
    <mergeCell ref="J4:J5"/>
    <mergeCell ref="E10:F11"/>
    <mergeCell ref="E14:F15"/>
    <mergeCell ref="G14:G15"/>
    <mergeCell ref="E16:F17"/>
    <mergeCell ref="G16:G17"/>
    <mergeCell ref="E12:F13"/>
    <mergeCell ref="G12:G13"/>
    <mergeCell ref="A29:E46"/>
    <mergeCell ref="E18:F19"/>
    <mergeCell ref="G18:G19"/>
    <mergeCell ref="E20:F21"/>
    <mergeCell ref="G20:G21"/>
    <mergeCell ref="E22:F23"/>
    <mergeCell ref="G22:G23"/>
  </mergeCells>
  <conditionalFormatting sqref="H20:I21 I19">
    <cfRule type="expression" dxfId="143" priority="10">
      <formula>ISNUMBER(SEARCH(TEXT(#REF!,"ddd"),#REF!))</formula>
    </cfRule>
  </conditionalFormatting>
  <conditionalFormatting sqref="A18:D19 A10:D11 A22:D23">
    <cfRule type="expression" dxfId="142" priority="11">
      <formula>ISNUMBER(SEARCH(TEXT(#REF!,"ddd"),#REF!))</formula>
    </cfRule>
  </conditionalFormatting>
  <conditionalFormatting sqref="K19:K23">
    <cfRule type="expression" dxfId="141" priority="12">
      <formula>ISNUMBER(SEARCH(TEXT(#REF!,"ddd"),#REF!))</formula>
    </cfRule>
  </conditionalFormatting>
  <conditionalFormatting sqref="D14">
    <cfRule type="expression" dxfId="140" priority="9">
      <formula>ISNUMBER(SEARCH(TEXT(#REF!,"ddd"),#REF!))</formula>
    </cfRule>
  </conditionalFormatting>
  <conditionalFormatting sqref="A14:C14">
    <cfRule type="expression" dxfId="139" priority="7">
      <formula>ISNUMBER(SEARCH(TEXT(#REF!,"ddd"),#REF!))</formula>
    </cfRule>
  </conditionalFormatting>
  <conditionalFormatting sqref="A15:D15">
    <cfRule type="expression" dxfId="138" priority="8">
      <formula>ISNUMBER(SEARCH(TEXT(#REF!,"ddd"),#REF!))</formula>
    </cfRule>
  </conditionalFormatting>
  <conditionalFormatting sqref="A12:D13">
    <cfRule type="expression" dxfId="137" priority="6">
      <formula>ISNUMBER(SEARCH(TEXT(#REF!,"ddd"),#REF!))</formula>
    </cfRule>
  </conditionalFormatting>
  <conditionalFormatting sqref="D16">
    <cfRule type="expression" dxfId="136" priority="5">
      <formula>ISNUMBER(SEARCH(TEXT(#REF!,"ddd"),#REF!))</formula>
    </cfRule>
  </conditionalFormatting>
  <conditionalFormatting sqref="A16:C16">
    <cfRule type="expression" dxfId="135" priority="3">
      <formula>ISNUMBER(SEARCH(TEXT(#REF!,"ddd"),#REF!))</formula>
    </cfRule>
  </conditionalFormatting>
  <conditionalFormatting sqref="A17:D17">
    <cfRule type="expression" dxfId="134" priority="4">
      <formula>ISNUMBER(SEARCH(TEXT(#REF!,"ddd"),#REF!))</formula>
    </cfRule>
  </conditionalFormatting>
  <conditionalFormatting sqref="A20:D21">
    <cfRule type="expression" dxfId="133" priority="1">
      <formula>ISNUMBER(SEARCH(TEXT(#REF!,"ddd"),#REF!))</formula>
    </cfRule>
  </conditionalFormatting>
  <dataValidations count="2">
    <dataValidation type="custom" allowBlank="1" showInputMessage="1" showErrorMessage="1" sqref="C22 C11 C13:C18 B10:B23 C20" xr:uid="{E22763B8-4F91-46F2-908E-398295875161}">
      <formula1>AND($B10&lt;=1,ISNUMBER($B10))</formula1>
    </dataValidation>
    <dataValidation type="custom" allowBlank="1" showInputMessage="1" showErrorMessage="1" sqref="C10 C19 C23 C12 C21" xr:uid="{B60E313E-3844-4E60-8F8E-52E9A822B2FC}">
      <formula1>AND($C10&lt;=1,ISNUMBER($C10),($C10&gt;=$B10))</formula1>
    </dataValidation>
  </dataValidations>
  <pageMargins left="0.25" right="0.25" top="0.75" bottom="0.75" header="0.3" footer="0.3"/>
  <pageSetup paperSize="9" scale="65"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5C2D0-C410-4B25-8907-1EF964BA41F5}">
  <sheetPr codeName="Sheet5"/>
  <dimension ref="A6"/>
  <sheetViews>
    <sheetView workbookViewId="0">
      <selection activeCell="A6" sqref="A6"/>
    </sheetView>
  </sheetViews>
  <sheetFormatPr baseColWidth="10" defaultColWidth="9" defaultRowHeight="12.75"/>
  <sheetData>
    <row r="6" spans="1:1">
      <c r="A6" s="21">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2"/>
  <sheetViews>
    <sheetView showGridLines="0" workbookViewId="0">
      <selection activeCell="B2" sqref="B2"/>
    </sheetView>
  </sheetViews>
  <sheetFormatPr baseColWidth="10" defaultColWidth="9" defaultRowHeight="12.75"/>
  <cols>
    <col min="1" max="1" width="9" style="2"/>
    <col min="2" max="2" width="9.75" style="2" bestFit="1" customWidth="1"/>
    <col min="3" max="3" width="9" style="2"/>
    <col min="4" max="4" width="11.125" style="2" bestFit="1" customWidth="1"/>
    <col min="5" max="5" width="9.875" customWidth="1"/>
    <col min="6" max="6" width="9.75" customWidth="1"/>
  </cols>
  <sheetData>
    <row r="1" spans="1:5">
      <c r="A1" s="4" t="s">
        <v>93</v>
      </c>
      <c r="B1" s="4" t="s">
        <v>94</v>
      </c>
      <c r="C1" s="4" t="s">
        <v>95</v>
      </c>
      <c r="D1" s="4" t="s">
        <v>96</v>
      </c>
      <c r="E1" s="4" t="s">
        <v>97</v>
      </c>
    </row>
    <row r="2" spans="1:5">
      <c r="A2" s="2">
        <v>2015</v>
      </c>
      <c r="B2" s="2" t="s">
        <v>98</v>
      </c>
      <c r="C2" s="2">
        <v>1</v>
      </c>
      <c r="D2" s="3" t="s">
        <v>99</v>
      </c>
      <c r="E2" s="2" t="b">
        <v>1</v>
      </c>
    </row>
    <row r="3" spans="1:5">
      <c r="A3" s="2">
        <v>2016</v>
      </c>
      <c r="B3" s="2" t="s">
        <v>100</v>
      </c>
      <c r="C3" s="2">
        <v>2</v>
      </c>
      <c r="D3" s="3" t="s">
        <v>101</v>
      </c>
    </row>
    <row r="4" spans="1:5">
      <c r="A4" s="2">
        <v>2017</v>
      </c>
      <c r="B4" s="2" t="s">
        <v>102</v>
      </c>
      <c r="C4" s="2">
        <v>3</v>
      </c>
      <c r="D4" s="3" t="s">
        <v>103</v>
      </c>
    </row>
    <row r="5" spans="1:5">
      <c r="A5" s="2">
        <v>2018</v>
      </c>
      <c r="B5" s="2" t="s">
        <v>104</v>
      </c>
      <c r="C5" s="2">
        <v>4</v>
      </c>
      <c r="D5" s="3" t="s">
        <v>105</v>
      </c>
    </row>
    <row r="6" spans="1:5">
      <c r="A6" s="2">
        <v>2019</v>
      </c>
      <c r="B6" s="2" t="s">
        <v>106</v>
      </c>
      <c r="C6" s="2">
        <v>5</v>
      </c>
      <c r="D6" s="3" t="s">
        <v>107</v>
      </c>
    </row>
    <row r="7" spans="1:5">
      <c r="A7" s="2">
        <v>2020</v>
      </c>
      <c r="B7" s="2" t="s">
        <v>108</v>
      </c>
      <c r="C7" s="2">
        <v>6</v>
      </c>
      <c r="D7" s="3" t="s">
        <v>109</v>
      </c>
    </row>
    <row r="8" spans="1:5">
      <c r="A8" s="2">
        <v>2021</v>
      </c>
      <c r="B8" s="2" t="s">
        <v>110</v>
      </c>
      <c r="C8" s="2">
        <v>7</v>
      </c>
      <c r="D8" s="3" t="s">
        <v>111</v>
      </c>
    </row>
    <row r="9" spans="1:5">
      <c r="A9" s="2">
        <v>2022</v>
      </c>
      <c r="B9" s="2" t="s">
        <v>112</v>
      </c>
      <c r="C9" s="2">
        <v>8</v>
      </c>
      <c r="D9" s="3" t="s">
        <v>113</v>
      </c>
    </row>
    <row r="10" spans="1:5">
      <c r="A10" s="2">
        <v>2023</v>
      </c>
      <c r="B10" s="2" t="s">
        <v>114</v>
      </c>
      <c r="C10" s="2">
        <v>9</v>
      </c>
      <c r="D10" s="3" t="s">
        <v>115</v>
      </c>
    </row>
    <row r="11" spans="1:5">
      <c r="A11" s="2">
        <v>2024</v>
      </c>
      <c r="B11" s="2" t="s">
        <v>116</v>
      </c>
      <c r="C11" s="2">
        <v>10</v>
      </c>
      <c r="D11" s="3" t="s">
        <v>117</v>
      </c>
    </row>
    <row r="12" spans="1:5">
      <c r="A12" s="2">
        <v>2025</v>
      </c>
      <c r="B12" s="2" t="s">
        <v>118</v>
      </c>
      <c r="C12" s="2">
        <v>11</v>
      </c>
      <c r="D12" s="3" t="s">
        <v>119</v>
      </c>
    </row>
    <row r="13" spans="1:5">
      <c r="B13" s="2" t="s">
        <v>120</v>
      </c>
      <c r="C13" s="2">
        <v>12</v>
      </c>
      <c r="D13" s="3" t="s">
        <v>121</v>
      </c>
    </row>
    <row r="14" spans="1:5">
      <c r="C14" s="2">
        <v>13</v>
      </c>
      <c r="D14" s="3" t="s">
        <v>122</v>
      </c>
    </row>
    <row r="15" spans="1:5">
      <c r="C15" s="2">
        <v>14</v>
      </c>
      <c r="D15" s="3" t="s">
        <v>123</v>
      </c>
    </row>
    <row r="16" spans="1:5">
      <c r="C16" s="2">
        <v>15</v>
      </c>
      <c r="D16" s="3" t="s">
        <v>124</v>
      </c>
    </row>
    <row r="17" spans="3:4">
      <c r="C17" s="2">
        <v>16</v>
      </c>
      <c r="D17" s="3"/>
    </row>
    <row r="18" spans="3:4">
      <c r="C18" s="2">
        <v>17</v>
      </c>
      <c r="D18" s="3"/>
    </row>
    <row r="19" spans="3:4">
      <c r="C19" s="2">
        <v>18</v>
      </c>
      <c r="D19" s="3"/>
    </row>
    <row r="20" spans="3:4">
      <c r="C20" s="2">
        <v>19</v>
      </c>
    </row>
    <row r="21" spans="3:4">
      <c r="C21" s="2">
        <v>20</v>
      </c>
    </row>
    <row r="22" spans="3:4">
      <c r="C22" s="2">
        <v>21</v>
      </c>
    </row>
    <row r="23" spans="3:4">
      <c r="C23" s="2">
        <v>22</v>
      </c>
    </row>
    <row r="24" spans="3:4">
      <c r="C24" s="2">
        <v>23</v>
      </c>
    </row>
    <row r="25" spans="3:4">
      <c r="C25" s="2">
        <v>24</v>
      </c>
    </row>
    <row r="26" spans="3:4">
      <c r="C26" s="2">
        <v>25</v>
      </c>
    </row>
    <row r="27" spans="3:4">
      <c r="C27" s="2">
        <v>26</v>
      </c>
    </row>
    <row r="28" spans="3:4">
      <c r="C28" s="2">
        <v>27</v>
      </c>
    </row>
    <row r="29" spans="3:4">
      <c r="C29" s="2">
        <v>28</v>
      </c>
    </row>
    <row r="30" spans="3:4">
      <c r="C30" s="2">
        <v>29</v>
      </c>
    </row>
    <row r="31" spans="3:4">
      <c r="C31" s="2">
        <v>30</v>
      </c>
    </row>
    <row r="32" spans="3:4">
      <c r="C32" s="2">
        <v>31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2B1BD-2219-4D04-BE4A-B675FD75126D}">
  <sheetPr codeName="Sheet16"/>
  <dimension ref="A1:K70"/>
  <sheetViews>
    <sheetView showGridLines="0" topLeftCell="A30" zoomScale="96" zoomScaleNormal="100" workbookViewId="0">
      <selection activeCell="I21" sqref="I21"/>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7" thickTop="1">
      <c r="A1" s="279" t="s">
        <v>13</v>
      </c>
      <c r="B1" s="279"/>
      <c r="C1" s="279"/>
      <c r="D1" s="279"/>
      <c r="E1" s="41">
        <f>WEEKNUM(A10)</f>
        <v>14</v>
      </c>
      <c r="F1" s="42"/>
      <c r="G1" s="43"/>
      <c r="H1" s="26"/>
      <c r="J1" s="1"/>
    </row>
    <row r="2" spans="1:10" s="1" customFormat="1" ht="14.25" customHeight="1">
      <c r="A2" s="35" t="s">
        <v>0</v>
      </c>
      <c r="B2" s="35"/>
      <c r="C2" s="35" t="s">
        <v>14</v>
      </c>
      <c r="D2" s="35"/>
      <c r="E2" s="71" t="s">
        <v>2</v>
      </c>
      <c r="F2" s="40" t="s">
        <v>15</v>
      </c>
      <c r="G2" s="40" t="s">
        <v>16</v>
      </c>
      <c r="H2" s="20"/>
      <c r="I2" s="13"/>
      <c r="J2" s="6"/>
    </row>
    <row r="3" spans="1:10" ht="16.5" thickBot="1">
      <c r="A3" s="101">
        <f>A10</f>
        <v>43920</v>
      </c>
      <c r="B3" s="234"/>
      <c r="C3" s="101">
        <f>MAXA(A10:A80)</f>
        <v>43926</v>
      </c>
      <c r="D3" s="234"/>
      <c r="E3" s="72" t="s">
        <v>7</v>
      </c>
      <c r="F3" s="32">
        <f>Sumcolor(E3,D10:D23)</f>
        <v>0</v>
      </c>
      <c r="G3" s="223">
        <f>SUM(Først:Sist!F3, 'Uke5'!I2)</f>
        <v>0.60416666666666663</v>
      </c>
      <c r="H3" s="22"/>
      <c r="I3" s="7"/>
      <c r="J3" s="7"/>
    </row>
    <row r="4" spans="1:10" ht="15" customHeight="1">
      <c r="A4" s="271" t="s">
        <v>17</v>
      </c>
      <c r="B4" s="271"/>
      <c r="C4" s="280" t="s">
        <v>18</v>
      </c>
      <c r="D4" s="280"/>
      <c r="E4" s="73" t="s">
        <v>10</v>
      </c>
      <c r="F4" s="32">
        <f>Sumcolor(E4,D10:D322)</f>
        <v>0.33333333333333331</v>
      </c>
      <c r="G4" s="223">
        <f>SUM(Først:Sist!F4, 'Uke5'!I3)</f>
        <v>1.8784722222222223</v>
      </c>
      <c r="H4" s="22"/>
      <c r="I4" s="7"/>
      <c r="J4" s="269"/>
    </row>
    <row r="5" spans="1:10" ht="15.75">
      <c r="A5" s="280"/>
      <c r="B5" s="280"/>
      <c r="C5" s="280"/>
      <c r="D5" s="280"/>
      <c r="E5" s="191" t="s">
        <v>11</v>
      </c>
      <c r="F5" s="32">
        <f>Sumcolor(E5,D10:D29)</f>
        <v>8.3333333333333037E-2</v>
      </c>
      <c r="G5" s="223">
        <f>SUM(Først:Sist!F5, 'Uke5'!I4)</f>
        <v>1.020833333333333</v>
      </c>
      <c r="H5" s="22"/>
      <c r="I5" s="7"/>
      <c r="J5" s="269"/>
    </row>
    <row r="6" spans="1:10" ht="18.75" customHeight="1" thickBot="1">
      <c r="A6" s="36">
        <f>SUM(D10:D42)</f>
        <v>0.47916666666666635</v>
      </c>
      <c r="B6" s="37"/>
      <c r="C6" s="82">
        <f>SUM(Først:Sist!A6, 'Uke5'!C5)</f>
        <v>4.4131944444444446</v>
      </c>
      <c r="D6" s="38"/>
      <c r="E6" s="75" t="s">
        <v>19</v>
      </c>
      <c r="F6" s="34">
        <f>Sumcolor(E6,D10:D23)</f>
        <v>6.25E-2</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6.5" thickBot="1">
      <c r="A9" s="31" t="s">
        <v>20</v>
      </c>
      <c r="B9" s="31" t="s">
        <v>21</v>
      </c>
      <c r="C9" s="31" t="s">
        <v>22</v>
      </c>
      <c r="D9" s="31" t="s">
        <v>23</v>
      </c>
      <c r="E9" s="122" t="s">
        <v>24</v>
      </c>
      <c r="F9" s="121"/>
      <c r="G9" s="46" t="s">
        <v>25</v>
      </c>
      <c r="H9" s="25"/>
    </row>
    <row r="10" spans="1:10" ht="14.45" customHeight="1">
      <c r="A10" s="102">
        <v>43920</v>
      </c>
      <c r="B10" s="83">
        <v>0.58333333333333337</v>
      </c>
      <c r="C10" s="83">
        <v>0.59722222222222221</v>
      </c>
      <c r="D10" s="181">
        <f t="shared" ref="D10" si="0">(C10-B10)</f>
        <v>1.388888888888884E-2</v>
      </c>
      <c r="E10" s="360" t="s">
        <v>125</v>
      </c>
      <c r="F10" s="361"/>
      <c r="G10" s="219"/>
      <c r="H10" s="25"/>
    </row>
    <row r="11" spans="1:10" ht="15.75" thickBot="1">
      <c r="A11" s="103"/>
      <c r="B11" s="85"/>
      <c r="C11" s="85"/>
      <c r="D11" s="180"/>
      <c r="E11" s="362"/>
      <c r="F11" s="363"/>
      <c r="G11" s="220"/>
      <c r="H11" s="25"/>
    </row>
    <row r="12" spans="1:10" ht="14.25" customHeight="1">
      <c r="A12" s="126">
        <v>43920</v>
      </c>
      <c r="B12" s="127">
        <v>0.59722222222222221</v>
      </c>
      <c r="C12" s="127">
        <v>0.61458333333333337</v>
      </c>
      <c r="D12" s="128">
        <f t="shared" ref="D12" si="1">(C12-B12)</f>
        <v>1.736111111111116E-2</v>
      </c>
      <c r="E12" s="364" t="s">
        <v>126</v>
      </c>
      <c r="F12" s="365"/>
      <c r="G12" s="331" t="s">
        <v>59</v>
      </c>
    </row>
    <row r="13" spans="1:10" ht="16.5" customHeight="1" thickBot="1">
      <c r="A13" s="136"/>
      <c r="B13" s="137"/>
      <c r="C13" s="137"/>
      <c r="D13" s="138"/>
      <c r="E13" s="322"/>
      <c r="F13" s="323"/>
      <c r="G13" s="332"/>
    </row>
    <row r="14" spans="1:10" ht="15" customHeight="1">
      <c r="A14" s="174">
        <v>43920</v>
      </c>
      <c r="B14" s="128">
        <v>0.61458333333333337</v>
      </c>
      <c r="C14" s="128">
        <v>0.62152777777777779</v>
      </c>
      <c r="D14" s="128">
        <f>(C14-B14)</f>
        <v>6.9444444444444198E-3</v>
      </c>
      <c r="E14" s="320" t="s">
        <v>127</v>
      </c>
      <c r="F14" s="321"/>
      <c r="G14" s="357" t="s">
        <v>59</v>
      </c>
    </row>
    <row r="15" spans="1:10" ht="15.75" thickBot="1">
      <c r="A15" s="136"/>
      <c r="B15" s="137"/>
      <c r="C15" s="137"/>
      <c r="D15" s="138"/>
      <c r="E15" s="322"/>
      <c r="F15" s="323"/>
      <c r="G15" s="358"/>
    </row>
    <row r="16" spans="1:10" ht="14.45" customHeight="1">
      <c r="A16" s="192">
        <v>43920</v>
      </c>
      <c r="B16" s="193">
        <v>0.625</v>
      </c>
      <c r="C16" s="193">
        <v>0.64583333333333337</v>
      </c>
      <c r="D16" s="181">
        <f>(C16-B16)</f>
        <v>2.083333333333337E-2</v>
      </c>
      <c r="E16" s="370" t="s">
        <v>128</v>
      </c>
      <c r="F16" s="371"/>
      <c r="G16" s="331"/>
    </row>
    <row r="17" spans="1:11" ht="15.75" thickBot="1">
      <c r="A17" s="194"/>
      <c r="B17" s="195"/>
      <c r="C17" s="195"/>
      <c r="D17" s="196"/>
      <c r="E17" s="372"/>
      <c r="F17" s="373"/>
      <c r="G17" s="332"/>
    </row>
    <row r="18" spans="1:11" ht="14.45" customHeight="1">
      <c r="A18" s="197">
        <v>43920</v>
      </c>
      <c r="B18" s="198">
        <v>0.64583333333333337</v>
      </c>
      <c r="C18" s="198">
        <v>0.66666666666666663</v>
      </c>
      <c r="D18" s="199">
        <f>(C18-B18)</f>
        <v>2.0833333333333259E-2</v>
      </c>
      <c r="E18" s="374" t="s">
        <v>129</v>
      </c>
      <c r="F18" s="375"/>
      <c r="G18" s="331"/>
    </row>
    <row r="19" spans="1:11" ht="15.75" thickBot="1">
      <c r="A19" s="200"/>
      <c r="B19" s="201"/>
      <c r="C19" s="201"/>
      <c r="D19" s="202"/>
      <c r="E19" s="376"/>
      <c r="F19" s="377"/>
      <c r="G19" s="332"/>
      <c r="I19" s="8"/>
      <c r="K19" s="8"/>
    </row>
    <row r="20" spans="1:11" ht="19.5" customHeight="1">
      <c r="A20" s="203">
        <v>43920</v>
      </c>
      <c r="B20" s="199">
        <v>0.67361111111111116</v>
      </c>
      <c r="C20" s="199">
        <v>0.68055555555555547</v>
      </c>
      <c r="D20" s="199">
        <f>(C20-B20)</f>
        <v>6.9444444444443088E-3</v>
      </c>
      <c r="E20" s="374" t="s">
        <v>130</v>
      </c>
      <c r="F20" s="375"/>
      <c r="G20" s="331"/>
      <c r="H20" s="8"/>
      <c r="I20" s="8"/>
      <c r="K20" s="8"/>
    </row>
    <row r="21" spans="1:11" ht="12.75" customHeight="1" thickBot="1">
      <c r="A21" s="200"/>
      <c r="B21" s="201"/>
      <c r="C21" s="201"/>
      <c r="D21" s="202"/>
      <c r="E21" s="376"/>
      <c r="F21" s="377"/>
      <c r="G21" s="332"/>
      <c r="H21" s="8"/>
      <c r="I21" s="8"/>
      <c r="K21" s="8"/>
    </row>
    <row r="22" spans="1:11" ht="14.45" customHeight="1">
      <c r="A22" s="182">
        <v>43920</v>
      </c>
      <c r="B22" s="65">
        <v>0.79166666666666663</v>
      </c>
      <c r="C22" s="65">
        <v>0.85416666666666663</v>
      </c>
      <c r="D22" s="66">
        <f t="shared" ref="D22" si="2">(C22-B22)</f>
        <v>6.25E-2</v>
      </c>
      <c r="E22" s="354" t="s">
        <v>131</v>
      </c>
      <c r="F22" s="355"/>
      <c r="G22" s="331"/>
      <c r="H22" s="9"/>
      <c r="I22" s="9"/>
      <c r="K22" s="8"/>
    </row>
    <row r="23" spans="1:11" ht="18" customHeight="1" thickBot="1">
      <c r="A23" s="109"/>
      <c r="B23" s="68"/>
      <c r="C23" s="68"/>
      <c r="D23" s="69"/>
      <c r="E23" s="301"/>
      <c r="F23" s="286"/>
      <c r="G23" s="332"/>
      <c r="H23" s="10"/>
      <c r="I23" s="10"/>
      <c r="K23" s="8"/>
    </row>
    <row r="24" spans="1:11" ht="15.6" customHeight="1">
      <c r="A24" s="197">
        <v>43923</v>
      </c>
      <c r="B24" s="198">
        <v>0.58333333333333337</v>
      </c>
      <c r="C24" s="198">
        <v>0.60416666666666663</v>
      </c>
      <c r="D24" s="199">
        <f t="shared" ref="D24" si="3">(C24-B24)</f>
        <v>2.0833333333333259E-2</v>
      </c>
      <c r="E24" s="366" t="s">
        <v>132</v>
      </c>
      <c r="F24" s="367"/>
      <c r="G24" s="331"/>
    </row>
    <row r="25" spans="1:11" ht="16.899999999999999" customHeight="1" thickBot="1">
      <c r="A25" s="204"/>
      <c r="B25" s="205"/>
      <c r="C25" s="205"/>
      <c r="D25" s="206"/>
      <c r="E25" s="368"/>
      <c r="F25" s="369"/>
      <c r="G25" s="332"/>
    </row>
    <row r="26" spans="1:11" ht="30" hidden="1" customHeight="1">
      <c r="A26" s="236"/>
      <c r="B26" s="236"/>
      <c r="C26" s="236"/>
      <c r="D26" s="236"/>
      <c r="E26" s="236"/>
      <c r="G26" s="222"/>
    </row>
    <row r="27" spans="1:11" ht="15" customHeight="1">
      <c r="A27" s="126">
        <v>43925</v>
      </c>
      <c r="B27" s="127">
        <v>0.875</v>
      </c>
      <c r="C27" s="127">
        <v>0.99930555555555556</v>
      </c>
      <c r="D27" s="128">
        <f>(C27-B27)</f>
        <v>0.12430555555555556</v>
      </c>
      <c r="E27" s="320" t="s">
        <v>133</v>
      </c>
      <c r="F27" s="321"/>
      <c r="G27" s="331" t="s">
        <v>134</v>
      </c>
    </row>
    <row r="28" spans="1:11" ht="17.25" customHeight="1" thickBot="1">
      <c r="A28" s="129"/>
      <c r="B28" s="130"/>
      <c r="C28" s="130"/>
      <c r="D28" s="131"/>
      <c r="E28" s="322"/>
      <c r="F28" s="323"/>
      <c r="G28" s="332"/>
    </row>
    <row r="29" spans="1:11" ht="15" customHeight="1">
      <c r="A29" s="126">
        <v>43926</v>
      </c>
      <c r="B29" s="127">
        <v>0</v>
      </c>
      <c r="C29" s="127">
        <v>1.8055555555555557E-2</v>
      </c>
      <c r="D29" s="128">
        <f t="shared" ref="D29" si="4">(C29-B29)</f>
        <v>1.8055555555555557E-2</v>
      </c>
      <c r="E29" s="320" t="s">
        <v>133</v>
      </c>
      <c r="F29" s="321"/>
      <c r="G29" s="331" t="s">
        <v>134</v>
      </c>
    </row>
    <row r="30" spans="1:11" ht="15" customHeight="1" thickBot="1">
      <c r="A30" s="129"/>
      <c r="B30" s="130"/>
      <c r="C30" s="130"/>
      <c r="D30" s="131"/>
      <c r="E30" s="322"/>
      <c r="F30" s="323"/>
      <c r="G30" s="332"/>
    </row>
    <row r="31" spans="1:11" ht="15" customHeight="1">
      <c r="A31" s="126">
        <v>43926</v>
      </c>
      <c r="B31" s="127">
        <v>0.58333333333333337</v>
      </c>
      <c r="C31" s="127">
        <v>0.66666666666666663</v>
      </c>
      <c r="D31" s="128">
        <f t="shared" ref="D31" si="5">(C31-B31)</f>
        <v>8.3333333333333259E-2</v>
      </c>
      <c r="E31" s="320" t="s">
        <v>135</v>
      </c>
      <c r="F31" s="321"/>
      <c r="G31" s="331" t="s">
        <v>134</v>
      </c>
    </row>
    <row r="32" spans="1:11" ht="16.5" customHeight="1" thickBot="1">
      <c r="A32" s="129"/>
      <c r="B32" s="130"/>
      <c r="C32" s="130"/>
      <c r="D32" s="131"/>
      <c r="E32" s="322"/>
      <c r="F32" s="323"/>
      <c r="G32" s="332"/>
    </row>
    <row r="33" spans="1:8" ht="15" customHeight="1">
      <c r="A33" s="126">
        <v>43926</v>
      </c>
      <c r="B33" s="127">
        <v>0.66666666666666663</v>
      </c>
      <c r="C33" s="127">
        <v>0.75</v>
      </c>
      <c r="D33" s="128">
        <f t="shared" ref="D33" si="6">(C33-B33)</f>
        <v>8.333333333333337E-2</v>
      </c>
      <c r="E33" s="320" t="s">
        <v>136</v>
      </c>
      <c r="F33" s="321"/>
      <c r="G33" s="331" t="s">
        <v>90</v>
      </c>
    </row>
    <row r="34" spans="1:8" ht="14.25" customHeight="1" thickBot="1">
      <c r="A34" s="129"/>
      <c r="B34" s="130"/>
      <c r="C34" s="130"/>
      <c r="D34" s="131"/>
      <c r="E34" s="322"/>
      <c r="F34" s="323"/>
      <c r="G34" s="332"/>
      <c r="H34" s="29"/>
    </row>
    <row r="35" spans="1:8" ht="22.5" customHeight="1"/>
    <row r="36" spans="1:8" ht="18.75" customHeight="1" thickBot="1">
      <c r="A36" s="28" t="s">
        <v>31</v>
      </c>
      <c r="B36" s="28"/>
      <c r="C36" s="27"/>
      <c r="D36" s="27"/>
      <c r="E36" s="27"/>
    </row>
    <row r="37" spans="1:8" ht="14.45" customHeight="1" thickBot="1">
      <c r="A37" s="5"/>
      <c r="B37" s="15"/>
      <c r="C37" s="16"/>
      <c r="D37" s="17"/>
      <c r="E37" s="18"/>
    </row>
    <row r="38" spans="1:8" ht="14.45" customHeight="1">
      <c r="A38" s="271" t="s">
        <v>137</v>
      </c>
      <c r="B38" s="271"/>
      <c r="C38" s="271"/>
      <c r="D38" s="271"/>
      <c r="E38" s="271"/>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60"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c r="A53" s="274"/>
      <c r="B53" s="274"/>
      <c r="C53" s="274"/>
      <c r="D53" s="274"/>
      <c r="E53" s="274"/>
    </row>
    <row r="54" spans="1:5" ht="12.6" customHeight="1">
      <c r="A54" s="274"/>
      <c r="B54" s="274"/>
      <c r="C54" s="274"/>
      <c r="D54" s="274"/>
      <c r="E54" s="274"/>
    </row>
    <row r="55" spans="1:5" ht="13.15" customHeight="1">
      <c r="A55" s="274"/>
      <c r="B55" s="274"/>
      <c r="C55" s="274"/>
      <c r="D55" s="274"/>
      <c r="E55" s="274"/>
    </row>
    <row r="56" spans="1:5" ht="12.6" customHeight="1"/>
    <row r="57" spans="1:5" ht="12.6" customHeight="1"/>
    <row r="58" spans="1:5" ht="12.6" customHeight="1"/>
    <row r="59" spans="1:5" ht="12.6" customHeight="1"/>
    <row r="60" spans="1:5" ht="12.6" customHeight="1"/>
    <row r="61" spans="1:5" ht="12.6" customHeight="1"/>
    <row r="62" spans="1:5" ht="12.6" customHeight="1"/>
    <row r="63" spans="1:5" ht="12.6" customHeight="1"/>
    <row r="64" spans="1:5" ht="12.6" customHeight="1"/>
    <row r="65" ht="19.5" customHeight="1"/>
    <row r="66" ht="32.25" customHeight="1"/>
    <row r="67" ht="12.6" customHeight="1"/>
    <row r="68" ht="12.6" customHeight="1"/>
    <row r="69" ht="12.6" customHeight="1"/>
    <row r="70" ht="12.6" customHeight="1"/>
  </sheetData>
  <mergeCells count="28">
    <mergeCell ref="A38:E55"/>
    <mergeCell ref="E29:F30"/>
    <mergeCell ref="G29:G30"/>
    <mergeCell ref="A1:D1"/>
    <mergeCell ref="A4:B5"/>
    <mergeCell ref="C4:D5"/>
    <mergeCell ref="E27:F28"/>
    <mergeCell ref="G27:G28"/>
    <mergeCell ref="E31:F32"/>
    <mergeCell ref="G31:G32"/>
    <mergeCell ref="E33:F34"/>
    <mergeCell ref="G33:G34"/>
    <mergeCell ref="J4:J5"/>
    <mergeCell ref="E10:F11"/>
    <mergeCell ref="E12:F13"/>
    <mergeCell ref="G12:G13"/>
    <mergeCell ref="E24:F25"/>
    <mergeCell ref="G24:G25"/>
    <mergeCell ref="E14:F15"/>
    <mergeCell ref="G14:G15"/>
    <mergeCell ref="E16:F17"/>
    <mergeCell ref="G16:G17"/>
    <mergeCell ref="E18:F19"/>
    <mergeCell ref="G18:G19"/>
    <mergeCell ref="E20:F21"/>
    <mergeCell ref="G20:G21"/>
    <mergeCell ref="E22:F23"/>
    <mergeCell ref="G22:G23"/>
  </mergeCells>
  <conditionalFormatting sqref="H20:I21 I19">
    <cfRule type="expression" dxfId="132" priority="14">
      <formula>ISNUMBER(SEARCH(TEXT(#REF!,"ddd"),#REF!))</formula>
    </cfRule>
  </conditionalFormatting>
  <conditionalFormatting sqref="A18:D19 A10:D11 A22:D23">
    <cfRule type="expression" dxfId="131" priority="15">
      <formula>ISNUMBER(SEARCH(TEXT(#REF!,"ddd"),#REF!))</formula>
    </cfRule>
  </conditionalFormatting>
  <conditionalFormatting sqref="K19:K23">
    <cfRule type="expression" dxfId="130" priority="16">
      <formula>ISNUMBER(SEARCH(TEXT(#REF!,"ddd"),#REF!))</formula>
    </cfRule>
  </conditionalFormatting>
  <conditionalFormatting sqref="D14">
    <cfRule type="expression" dxfId="129" priority="13">
      <formula>ISNUMBER(SEARCH(TEXT(#REF!,"ddd"),#REF!))</formula>
    </cfRule>
  </conditionalFormatting>
  <conditionalFormatting sqref="A14:C14">
    <cfRule type="expression" dxfId="128" priority="11">
      <formula>ISNUMBER(SEARCH(TEXT(#REF!,"ddd"),#REF!))</formula>
    </cfRule>
  </conditionalFormatting>
  <conditionalFormatting sqref="A15:D15">
    <cfRule type="expression" dxfId="127" priority="12">
      <formula>ISNUMBER(SEARCH(TEXT(#REF!,"ddd"),#REF!))</formula>
    </cfRule>
  </conditionalFormatting>
  <conditionalFormatting sqref="A12:D13">
    <cfRule type="expression" dxfId="126" priority="10">
      <formula>ISNUMBER(SEARCH(TEXT(#REF!,"ddd"),#REF!))</formula>
    </cfRule>
  </conditionalFormatting>
  <conditionalFormatting sqref="D16">
    <cfRule type="expression" dxfId="125" priority="9">
      <formula>ISNUMBER(SEARCH(TEXT(#REF!,"ddd"),#REF!))</formula>
    </cfRule>
  </conditionalFormatting>
  <conditionalFormatting sqref="A16:C16">
    <cfRule type="expression" dxfId="124" priority="7">
      <formula>ISNUMBER(SEARCH(TEXT(#REF!,"ddd"),#REF!))</formula>
    </cfRule>
  </conditionalFormatting>
  <conditionalFormatting sqref="A17:D17">
    <cfRule type="expression" dxfId="123" priority="8">
      <formula>ISNUMBER(SEARCH(TEXT(#REF!,"ddd"),#REF!))</formula>
    </cfRule>
  </conditionalFormatting>
  <conditionalFormatting sqref="A20:D21">
    <cfRule type="expression" dxfId="122" priority="6">
      <formula>ISNUMBER(SEARCH(TEXT(#REF!,"ddd"),#REF!))</formula>
    </cfRule>
  </conditionalFormatting>
  <conditionalFormatting sqref="A24:D25">
    <cfRule type="expression" dxfId="121" priority="5">
      <formula>ISNUMBER(SEARCH(TEXT(#REF!,"ddd"),#REF!))</formula>
    </cfRule>
  </conditionalFormatting>
  <conditionalFormatting sqref="A27:D28">
    <cfRule type="expression" dxfId="120" priority="4">
      <formula>ISNUMBER(SEARCH(TEXT(#REF!,"ddd"),#REF!))</formula>
    </cfRule>
  </conditionalFormatting>
  <conditionalFormatting sqref="A29:D30">
    <cfRule type="expression" dxfId="119" priority="3">
      <formula>ISNUMBER(SEARCH(TEXT(#REF!,"ddd"),#REF!))</formula>
    </cfRule>
  </conditionalFormatting>
  <conditionalFormatting sqref="A31:D32">
    <cfRule type="expression" dxfId="118" priority="2">
      <formula>ISNUMBER(SEARCH(TEXT(#REF!,"ddd"),#REF!))</formula>
    </cfRule>
  </conditionalFormatting>
  <conditionalFormatting sqref="A33:D34">
    <cfRule type="expression" dxfId="117" priority="1">
      <formula>ISNUMBER(SEARCH(TEXT(#REF!,"ddd"),#REF!))</formula>
    </cfRule>
  </conditionalFormatting>
  <dataValidations count="2">
    <dataValidation type="custom" allowBlank="1" showInputMessage="1" showErrorMessage="1" sqref="C10 C19 C23 C12 C21 C25 C28 C30 C32 C34" xr:uid="{94496DF0-ED44-4CDA-8C95-EADEFF4FF7A1}">
      <formula1>AND($C10&lt;=1,ISNUMBER($C10),($C10&gt;=$B10))</formula1>
    </dataValidation>
    <dataValidation type="custom" allowBlank="1" showInputMessage="1" showErrorMessage="1" sqref="C22 C11 C13:C18 B10:B25 C20 C24 C27 B27:B34 C29 C31 C33" xr:uid="{BD4D31C5-0342-4F4F-B7C1-02140A9310B5}">
      <formula1>AND($B10&lt;=1,ISNUMBER($B10))</formula1>
    </dataValidation>
  </dataValidations>
  <pageMargins left="0.25" right="0.25" top="0.75" bottom="0.75" header="0.3" footer="0.3"/>
  <pageSetup paperSize="9" scale="65" orientation="portrait" horizontalDpi="4294967293" vertic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2040D1-AEDE-4963-8EB4-4BD77BFB8211}">
  <sheetPr codeName="Sheet17">
    <tabColor rgb="FFE7E6E6"/>
  </sheetPr>
  <dimension ref="A1:K70"/>
  <sheetViews>
    <sheetView showGridLines="0" zoomScale="96" zoomScaleNormal="100" workbookViewId="0">
      <selection activeCell="G6" sqref="G6"/>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14</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43920</v>
      </c>
      <c r="B3" s="234"/>
      <c r="C3" s="101">
        <f>MAXA(A10:A57)</f>
        <v>43925</v>
      </c>
      <c r="D3" s="234"/>
      <c r="E3" s="72" t="s">
        <v>7</v>
      </c>
      <c r="F3" s="32">
        <f>Sumcolor(E3,D10:D15)</f>
        <v>0</v>
      </c>
      <c r="G3" s="223">
        <f>SUM(Først:Sist!F3, 'Uke5'!I2)</f>
        <v>0.60416666666666663</v>
      </c>
      <c r="H3" s="22"/>
      <c r="I3" s="7"/>
      <c r="J3" s="7"/>
    </row>
    <row r="4" spans="1:10" ht="15" customHeight="1">
      <c r="A4" s="271" t="s">
        <v>17</v>
      </c>
      <c r="B4" s="271"/>
      <c r="C4" s="280" t="s">
        <v>18</v>
      </c>
      <c r="D4" s="280"/>
      <c r="E4" s="73" t="s">
        <v>10</v>
      </c>
      <c r="F4" s="32">
        <f>Sumcolor(E4,D10:D299)</f>
        <v>0</v>
      </c>
      <c r="G4" s="223">
        <f>SUM(Først:Sist!F4, 'Uke5'!I3)</f>
        <v>1.8784722222222223</v>
      </c>
      <c r="H4" s="22"/>
      <c r="I4" s="7"/>
      <c r="J4" s="269"/>
    </row>
    <row r="5" spans="1:10" ht="15.75">
      <c r="A5" s="280"/>
      <c r="B5" s="280"/>
      <c r="C5" s="280"/>
      <c r="D5" s="280"/>
      <c r="E5" s="191" t="s">
        <v>11</v>
      </c>
      <c r="F5" s="32">
        <f>Sumcolor(E5,D10:D15)</f>
        <v>4.5138888888888729E-2</v>
      </c>
      <c r="G5" s="223">
        <f>SUM(Først:Sist!F5, 'Uke5'!I4)</f>
        <v>1.020833333333333</v>
      </c>
      <c r="H5" s="22"/>
      <c r="I5" s="7"/>
      <c r="J5" s="269"/>
    </row>
    <row r="6" spans="1:10" ht="18.75" customHeight="1">
      <c r="A6" s="36">
        <f>SUM(D10:D38)</f>
        <v>4.5138888888888729E-2</v>
      </c>
      <c r="B6" s="37"/>
      <c r="C6" s="82">
        <f>SUM(Først:Sist!A6, 'Uke5'!C5)</f>
        <v>4.4131944444444446</v>
      </c>
      <c r="D6" s="38"/>
      <c r="E6" s="75" t="s">
        <v>19</v>
      </c>
      <c r="F6" s="34">
        <f>Sumcolor(E6,D10:D15)</f>
        <v>0</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102">
        <v>43920</v>
      </c>
      <c r="B10" s="83">
        <v>0.58680555555555558</v>
      </c>
      <c r="C10" s="83">
        <v>0.59722222222222221</v>
      </c>
      <c r="D10" s="181">
        <f>(C10-B10)</f>
        <v>1.041666666666663E-2</v>
      </c>
      <c r="E10" s="360" t="s">
        <v>138</v>
      </c>
      <c r="F10" s="361"/>
      <c r="G10" s="219"/>
      <c r="H10" s="25"/>
    </row>
    <row r="11" spans="1:10" ht="15">
      <c r="A11" s="103"/>
      <c r="B11" s="85"/>
      <c r="C11" s="85"/>
      <c r="D11" s="180"/>
      <c r="E11" s="362"/>
      <c r="F11" s="363"/>
      <c r="G11" s="220"/>
      <c r="H11" s="25"/>
    </row>
    <row r="12" spans="1:10" ht="14.25" customHeight="1">
      <c r="A12" s="102">
        <v>43920</v>
      </c>
      <c r="B12" s="83">
        <v>0.625</v>
      </c>
      <c r="C12" s="83">
        <v>0.64236111111111105</v>
      </c>
      <c r="D12" s="181">
        <f>(C12-B12)</f>
        <v>1.7361111111111049E-2</v>
      </c>
      <c r="E12" s="360" t="s">
        <v>139</v>
      </c>
      <c r="F12" s="361"/>
      <c r="G12" s="331"/>
    </row>
    <row r="13" spans="1:10" ht="16.5" customHeight="1">
      <c r="A13" s="103"/>
      <c r="B13" s="85"/>
      <c r="C13" s="85"/>
      <c r="D13" s="180"/>
      <c r="E13" s="362"/>
      <c r="F13" s="363"/>
      <c r="G13" s="332"/>
    </row>
    <row r="14" spans="1:10" ht="15" customHeight="1">
      <c r="A14" s="102">
        <v>43925</v>
      </c>
      <c r="B14" s="83">
        <v>0.58680555555555558</v>
      </c>
      <c r="C14" s="83">
        <v>0.60416666666666663</v>
      </c>
      <c r="D14" s="181">
        <f>(C14-B14)</f>
        <v>1.7361111111111049E-2</v>
      </c>
      <c r="E14" s="360" t="s">
        <v>139</v>
      </c>
      <c r="F14" s="361"/>
      <c r="G14" s="357"/>
    </row>
    <row r="15" spans="1:10" ht="15">
      <c r="A15" s="103"/>
      <c r="B15" s="85"/>
      <c r="C15" s="85"/>
      <c r="D15" s="180"/>
      <c r="E15" s="362"/>
      <c r="F15" s="363"/>
      <c r="G15" s="358"/>
    </row>
    <row r="16" spans="1:10" ht="14.45" customHeight="1"/>
    <row r="17" spans="1:11" ht="23.25">
      <c r="A17" s="28" t="s">
        <v>31</v>
      </c>
      <c r="B17" s="28"/>
      <c r="C17" s="27"/>
      <c r="D17" s="27"/>
      <c r="E17" s="27"/>
    </row>
    <row r="18" spans="1:11" ht="14.45" customHeight="1">
      <c r="A18" s="5"/>
      <c r="B18" s="15"/>
      <c r="C18" s="16"/>
      <c r="D18" s="17"/>
      <c r="E18" s="18"/>
    </row>
    <row r="19" spans="1:11">
      <c r="A19" s="271" t="s">
        <v>140</v>
      </c>
      <c r="B19" s="271"/>
      <c r="C19" s="271"/>
      <c r="D19" s="271"/>
      <c r="E19" s="271"/>
      <c r="I19" s="8"/>
      <c r="K19" s="8"/>
    </row>
    <row r="20" spans="1:11" ht="19.5" customHeight="1">
      <c r="A20" s="274"/>
      <c r="B20" s="274"/>
      <c r="C20" s="274"/>
      <c r="D20" s="274"/>
      <c r="E20" s="274"/>
      <c r="H20" s="8"/>
      <c r="I20" s="8"/>
      <c r="K20" s="8"/>
    </row>
    <row r="21" spans="1:11" ht="12.75" customHeight="1">
      <c r="A21" s="274"/>
      <c r="B21" s="274"/>
      <c r="C21" s="274"/>
      <c r="D21" s="274"/>
      <c r="E21" s="274"/>
      <c r="H21" s="8"/>
      <c r="I21" s="8"/>
      <c r="K21" s="8"/>
    </row>
    <row r="22" spans="1:11" ht="14.45" customHeight="1">
      <c r="A22" s="274"/>
      <c r="B22" s="274"/>
      <c r="C22" s="274"/>
      <c r="D22" s="274"/>
      <c r="E22" s="274"/>
      <c r="H22" s="9"/>
      <c r="I22" s="9"/>
      <c r="K22" s="8"/>
    </row>
    <row r="23" spans="1:11" ht="18" customHeight="1">
      <c r="A23" s="274"/>
      <c r="B23" s="274"/>
      <c r="C23" s="274"/>
      <c r="D23" s="274"/>
      <c r="E23" s="274"/>
      <c r="H23" s="10"/>
      <c r="I23" s="10"/>
      <c r="K23" s="8"/>
    </row>
    <row r="24" spans="1:11" ht="15.6" customHeight="1">
      <c r="A24" s="274"/>
      <c r="B24" s="274"/>
      <c r="C24" s="274"/>
      <c r="D24" s="274"/>
      <c r="E24" s="274"/>
    </row>
    <row r="25" spans="1:11" ht="16.899999999999999" customHeight="1">
      <c r="A25" s="274"/>
      <c r="B25" s="274"/>
      <c r="C25" s="274"/>
      <c r="D25" s="274"/>
      <c r="E25" s="274"/>
    </row>
    <row r="26" spans="1:11" ht="30" hidden="1" customHeight="1">
      <c r="A26" s="274"/>
      <c r="B26" s="274"/>
      <c r="C26" s="274"/>
      <c r="D26" s="274"/>
      <c r="E26" s="274"/>
    </row>
    <row r="27" spans="1:11" ht="15" customHeight="1">
      <c r="A27" s="274"/>
      <c r="B27" s="274"/>
      <c r="C27" s="274"/>
      <c r="D27" s="274"/>
      <c r="E27" s="274"/>
    </row>
    <row r="28" spans="1:11" ht="17.25" customHeight="1">
      <c r="A28" s="274"/>
      <c r="B28" s="274"/>
      <c r="C28" s="274"/>
      <c r="D28" s="274"/>
      <c r="E28" s="274"/>
    </row>
    <row r="29" spans="1:11" ht="15" customHeight="1">
      <c r="A29" s="274"/>
      <c r="B29" s="274"/>
      <c r="C29" s="274"/>
      <c r="D29" s="274"/>
      <c r="E29" s="274"/>
    </row>
    <row r="30" spans="1:11" ht="15" customHeight="1">
      <c r="A30" s="274"/>
      <c r="B30" s="274"/>
      <c r="C30" s="274"/>
      <c r="D30" s="274"/>
      <c r="E30" s="274"/>
    </row>
    <row r="31" spans="1:11" ht="15" customHeight="1">
      <c r="A31" s="274"/>
      <c r="B31" s="274"/>
      <c r="C31" s="274"/>
      <c r="D31" s="274"/>
      <c r="E31" s="274"/>
    </row>
    <row r="32" spans="1:11" ht="16.5" customHeight="1">
      <c r="A32" s="274"/>
      <c r="B32" s="274"/>
      <c r="C32" s="274"/>
      <c r="D32" s="274"/>
      <c r="E32" s="274"/>
    </row>
    <row r="33" spans="1:5" ht="15" customHeight="1">
      <c r="A33" s="274"/>
      <c r="B33" s="274"/>
      <c r="C33" s="274"/>
      <c r="D33" s="274"/>
      <c r="E33" s="274"/>
    </row>
    <row r="34" spans="1:5" ht="15.75" customHeight="1">
      <c r="A34" s="274"/>
      <c r="B34" s="274"/>
      <c r="C34" s="274"/>
      <c r="D34" s="274"/>
      <c r="E34" s="274"/>
    </row>
    <row r="35" spans="1:5" ht="13.5" customHeight="1">
      <c r="A35" s="274"/>
      <c r="B35" s="274"/>
      <c r="C35" s="274"/>
      <c r="D35" s="274"/>
      <c r="E35" s="274"/>
    </row>
    <row r="36" spans="1:5" ht="14.45" customHeight="1">
      <c r="A36" s="274"/>
      <c r="B36" s="274"/>
      <c r="C36" s="274"/>
      <c r="D36" s="274"/>
      <c r="E36" s="274"/>
    </row>
    <row r="37" spans="1:5" ht="14.45" customHeight="1"/>
    <row r="38" spans="1:5" ht="14.45" customHeight="1"/>
    <row r="39" spans="1:5" ht="14.45" customHeight="1"/>
    <row r="40" spans="1:5" ht="16.5" customHeight="1"/>
    <row r="41" spans="1:5" ht="9.75" customHeight="1"/>
    <row r="43" spans="1:5" ht="12.6" customHeight="1"/>
    <row r="44" spans="1:5" ht="60" customHeight="1"/>
    <row r="45" spans="1:5" ht="0.6" customHeight="1"/>
    <row r="46" spans="1:5" ht="21" customHeight="1"/>
    <row r="47" spans="1:5" ht="18" customHeight="1"/>
    <row r="48" spans="1:5"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9.5" customHeight="1"/>
    <row r="66" ht="163.5" customHeight="1"/>
    <row r="67" ht="12.6" customHeight="1"/>
    <row r="68" ht="12.6" customHeight="1"/>
    <row r="69" ht="12.6" customHeight="1"/>
    <row r="70" ht="12.6" customHeight="1"/>
  </sheetData>
  <mergeCells count="10">
    <mergeCell ref="A1:D1"/>
    <mergeCell ref="A4:B5"/>
    <mergeCell ref="C4:D5"/>
    <mergeCell ref="J4:J5"/>
    <mergeCell ref="E10:F11"/>
    <mergeCell ref="A19:E36"/>
    <mergeCell ref="E14:F15"/>
    <mergeCell ref="G14:G15"/>
    <mergeCell ref="E12:F13"/>
    <mergeCell ref="G12:G13"/>
  </mergeCells>
  <conditionalFormatting sqref="H20:I21 I19">
    <cfRule type="expression" dxfId="116" priority="17">
      <formula>ISNUMBER(SEARCH(TEXT(#REF!,"ddd"),#REF!))</formula>
    </cfRule>
  </conditionalFormatting>
  <conditionalFormatting sqref="A10:D11">
    <cfRule type="expression" dxfId="115" priority="18">
      <formula>ISNUMBER(SEARCH(TEXT(#REF!,"ddd"),#REF!))</formula>
    </cfRule>
  </conditionalFormatting>
  <conditionalFormatting sqref="K19:K23">
    <cfRule type="expression" dxfId="114" priority="19">
      <formula>ISNUMBER(SEARCH(TEXT(#REF!,"ddd"),#REF!))</formula>
    </cfRule>
  </conditionalFormatting>
  <conditionalFormatting sqref="A12:D13">
    <cfRule type="expression" dxfId="113" priority="2">
      <formula>ISNUMBER(SEARCH(TEXT(#REF!,"ddd"),#REF!))</formula>
    </cfRule>
  </conditionalFormatting>
  <conditionalFormatting sqref="A14:D15">
    <cfRule type="expression" dxfId="112" priority="1">
      <formula>ISNUMBER(SEARCH(TEXT(#REF!,"ddd"),#REF!))</formula>
    </cfRule>
  </conditionalFormatting>
  <dataValidations count="2">
    <dataValidation type="custom" allowBlank="1" showInputMessage="1" showErrorMessage="1" sqref="C11 B10:B15 C13 C15" xr:uid="{0E847D98-E3FB-406C-8B08-0212C789E407}">
      <formula1>AND($B10&lt;=1,ISNUMBER($B10))</formula1>
    </dataValidation>
    <dataValidation type="custom" allowBlank="1" showInputMessage="1" showErrorMessage="1" sqref="C10 C12 C14" xr:uid="{796BBBA8-300E-4559-A905-E8729F5552D9}">
      <formula1>AND($C10&lt;=1,ISNUMBER($C10),($C10&gt;=$B10))</formula1>
    </dataValidation>
  </dataValidations>
  <pageMargins left="0.25" right="0.25" top="0.75" bottom="0.75" header="0.3" footer="0.3"/>
  <pageSetup paperSize="9" scale="65"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946E4-23FA-47C2-A837-5404571C6390}">
  <sheetPr codeName="Sheet19">
    <tabColor rgb="FFE7E6E6"/>
  </sheetPr>
  <dimension ref="A1:K70"/>
  <sheetViews>
    <sheetView showGridLines="0" zoomScale="96" zoomScaleNormal="100" workbookViewId="0">
      <selection sqref="A1:D1"/>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16</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43937</v>
      </c>
      <c r="B3" s="234"/>
      <c r="C3" s="101">
        <f>MAXA(A10:A67)</f>
        <v>43939</v>
      </c>
      <c r="D3" s="234"/>
      <c r="E3" s="72" t="s">
        <v>7</v>
      </c>
      <c r="F3" s="32">
        <f>Sumcolor(E3,D10:D21)</f>
        <v>0</v>
      </c>
      <c r="G3" s="223">
        <f>SUM(Først:Sist!F3, 'Uke5'!I2)</f>
        <v>0.60416666666666663</v>
      </c>
      <c r="H3" s="22"/>
      <c r="I3" s="7"/>
      <c r="J3" s="7"/>
    </row>
    <row r="4" spans="1:10" ht="15" customHeight="1">
      <c r="A4" s="271" t="s">
        <v>17</v>
      </c>
      <c r="B4" s="271"/>
      <c r="C4" s="280" t="s">
        <v>18</v>
      </c>
      <c r="D4" s="280"/>
      <c r="E4" s="73" t="s">
        <v>10</v>
      </c>
      <c r="F4" s="32">
        <f>Sumcolor(E4,D10:D309)</f>
        <v>0.24652777777777785</v>
      </c>
      <c r="G4" s="223">
        <f>SUM(Først:Sist!F4, 'Uke5'!I3)</f>
        <v>1.8784722222222223</v>
      </c>
      <c r="H4" s="22"/>
      <c r="I4" s="7"/>
      <c r="J4" s="269"/>
    </row>
    <row r="5" spans="1:10" ht="15.75">
      <c r="A5" s="280"/>
      <c r="B5" s="280"/>
      <c r="C5" s="280"/>
      <c r="D5" s="280"/>
      <c r="E5" s="191" t="s">
        <v>11</v>
      </c>
      <c r="F5" s="32">
        <f>Sumcolor(E5,D10:D21)</f>
        <v>7.291666666666663E-2</v>
      </c>
      <c r="G5" s="223">
        <f>SUM(Først:Sist!F5, 'Uke5'!I4)</f>
        <v>1.020833333333333</v>
      </c>
      <c r="H5" s="22"/>
      <c r="I5" s="7"/>
      <c r="J5" s="269"/>
    </row>
    <row r="6" spans="1:10" ht="18.75" customHeight="1">
      <c r="A6" s="36">
        <f>SUM(D10:D24)</f>
        <v>0.3541666666666668</v>
      </c>
      <c r="B6" s="37"/>
      <c r="C6" s="82">
        <f>SUM(Først:Sist!A6, 'Uke5'!C5)</f>
        <v>4.4131944444444446</v>
      </c>
      <c r="D6" s="38"/>
      <c r="E6" s="75" t="s">
        <v>19</v>
      </c>
      <c r="F6" s="34">
        <f>Sumcolor(E6,D10:D22)</f>
        <v>3.4722222222222321E-2</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207">
        <v>43937</v>
      </c>
      <c r="B10" s="208">
        <v>0.47916666666666669</v>
      </c>
      <c r="C10" s="208">
        <v>0.58333333333333337</v>
      </c>
      <c r="D10" s="209">
        <f t="shared" ref="D10" si="0">(C10-B10)</f>
        <v>0.10416666666666669</v>
      </c>
      <c r="E10" s="382" t="s">
        <v>141</v>
      </c>
      <c r="F10" s="383"/>
      <c r="G10" s="331" t="s">
        <v>134</v>
      </c>
      <c r="H10" s="25"/>
    </row>
    <row r="11" spans="1:10" ht="15">
      <c r="A11" s="210"/>
      <c r="B11" s="211"/>
      <c r="C11" s="211"/>
      <c r="D11" s="212"/>
      <c r="E11" s="384"/>
      <c r="F11" s="385"/>
      <c r="G11" s="332"/>
      <c r="H11" s="25"/>
    </row>
    <row r="12" spans="1:10" ht="14.25" customHeight="1">
      <c r="A12" s="192">
        <v>43937</v>
      </c>
      <c r="B12" s="193">
        <v>0.58333333333333337</v>
      </c>
      <c r="C12" s="193">
        <v>0.60416666666666663</v>
      </c>
      <c r="D12" s="181">
        <f>(C12-B12)</f>
        <v>2.0833333333333259E-2</v>
      </c>
      <c r="E12" s="374" t="s">
        <v>57</v>
      </c>
      <c r="F12" s="375"/>
      <c r="G12" s="331"/>
    </row>
    <row r="13" spans="1:10" ht="16.5" customHeight="1">
      <c r="A13" s="194"/>
      <c r="B13" s="195"/>
      <c r="C13" s="195"/>
      <c r="D13" s="196"/>
      <c r="E13" s="376"/>
      <c r="F13" s="377"/>
      <c r="G13" s="332"/>
    </row>
    <row r="14" spans="1:10" ht="15" customHeight="1">
      <c r="A14" s="174">
        <v>43937</v>
      </c>
      <c r="B14" s="128">
        <v>0.60416666666666663</v>
      </c>
      <c r="C14" s="128">
        <v>0.65625</v>
      </c>
      <c r="D14" s="128">
        <f>(C14-B14)</f>
        <v>5.208333333333337E-2</v>
      </c>
      <c r="E14" s="348" t="s">
        <v>142</v>
      </c>
      <c r="F14" s="349"/>
      <c r="G14" s="357" t="s">
        <v>134</v>
      </c>
    </row>
    <row r="15" spans="1:10" ht="15">
      <c r="A15" s="136"/>
      <c r="B15" s="137"/>
      <c r="C15" s="137"/>
      <c r="D15" s="138"/>
      <c r="E15" s="350"/>
      <c r="F15" s="351"/>
      <c r="G15" s="358"/>
    </row>
    <row r="16" spans="1:10" ht="14.45" customHeight="1">
      <c r="A16" s="192">
        <v>43939</v>
      </c>
      <c r="B16" s="193">
        <v>0.58333333333333337</v>
      </c>
      <c r="C16" s="193">
        <v>0.61458333333333337</v>
      </c>
      <c r="D16" s="181">
        <f>(C16-B16)</f>
        <v>3.125E-2</v>
      </c>
      <c r="E16" s="374" t="s">
        <v>143</v>
      </c>
      <c r="F16" s="375"/>
      <c r="G16" s="331"/>
    </row>
    <row r="17" spans="1:11" ht="15">
      <c r="A17" s="194"/>
      <c r="B17" s="195"/>
      <c r="C17" s="195"/>
      <c r="D17" s="196"/>
      <c r="E17" s="376"/>
      <c r="F17" s="377"/>
      <c r="G17" s="332"/>
    </row>
    <row r="18" spans="1:11" ht="14.45" customHeight="1">
      <c r="A18" s="213">
        <v>43939</v>
      </c>
      <c r="B18" s="214">
        <v>0.64583333333333337</v>
      </c>
      <c r="C18" s="214">
        <v>0.73611111111111116</v>
      </c>
      <c r="D18" s="215">
        <f>(C18-B18)</f>
        <v>9.027777777777779E-2</v>
      </c>
      <c r="E18" s="378" t="s">
        <v>144</v>
      </c>
      <c r="F18" s="379"/>
      <c r="G18" s="331" t="s">
        <v>134</v>
      </c>
    </row>
    <row r="19" spans="1:11" ht="15">
      <c r="A19" s="216"/>
      <c r="B19" s="217"/>
      <c r="C19" s="217"/>
      <c r="D19" s="218"/>
      <c r="E19" s="380"/>
      <c r="F19" s="381"/>
      <c r="G19" s="332"/>
      <c r="I19" s="8"/>
      <c r="K19" s="8"/>
    </row>
    <row r="20" spans="1:11" ht="17.25" customHeight="1">
      <c r="A20" s="203">
        <v>43939</v>
      </c>
      <c r="B20" s="199">
        <v>0.76041666666666663</v>
      </c>
      <c r="C20" s="199">
        <v>0.78125</v>
      </c>
      <c r="D20" s="199">
        <f>(C20-B20)</f>
        <v>2.083333333333337E-2</v>
      </c>
      <c r="E20" s="374" t="s">
        <v>145</v>
      </c>
      <c r="F20" s="375"/>
      <c r="G20" s="331"/>
      <c r="H20" s="8"/>
      <c r="I20" s="8"/>
      <c r="K20" s="8"/>
    </row>
    <row r="21" spans="1:11" ht="12.75" customHeight="1">
      <c r="A21" s="200"/>
      <c r="B21" s="201"/>
      <c r="C21" s="201"/>
      <c r="D21" s="202"/>
      <c r="E21" s="376"/>
      <c r="F21" s="377"/>
      <c r="G21" s="332"/>
      <c r="H21" s="8"/>
      <c r="I21" s="8"/>
      <c r="K21" s="8"/>
    </row>
    <row r="22" spans="1:11" ht="14.45" customHeight="1">
      <c r="A22" s="179">
        <v>43939</v>
      </c>
      <c r="B22" s="66">
        <v>0.82638888888888884</v>
      </c>
      <c r="C22" s="66">
        <v>0.86111111111111116</v>
      </c>
      <c r="D22" s="66">
        <f>(C22-B22)</f>
        <v>3.4722222222222321E-2</v>
      </c>
      <c r="E22" s="354" t="s">
        <v>146</v>
      </c>
      <c r="F22" s="355"/>
      <c r="G22" s="331"/>
      <c r="H22" s="9"/>
      <c r="I22" s="9"/>
      <c r="K22" s="8"/>
    </row>
    <row r="23" spans="1:11" ht="16.5" customHeight="1">
      <c r="A23" s="109"/>
      <c r="B23" s="68"/>
      <c r="C23" s="68"/>
      <c r="D23" s="69"/>
      <c r="E23" s="301"/>
      <c r="F23" s="286"/>
      <c r="G23" s="332"/>
      <c r="H23" s="10"/>
      <c r="I23" s="10"/>
      <c r="K23" s="8"/>
    </row>
    <row r="24" spans="1:11" ht="15.6" customHeight="1"/>
    <row r="25" spans="1:11" ht="16.899999999999999" customHeight="1"/>
    <row r="26" spans="1:11" ht="19.5" customHeight="1">
      <c r="A26" s="28" t="s">
        <v>31</v>
      </c>
      <c r="B26" s="28"/>
      <c r="C26" s="27"/>
      <c r="D26" s="27"/>
      <c r="E26" s="27"/>
    </row>
    <row r="27" spans="1:11" ht="15" customHeight="1">
      <c r="A27" s="5"/>
      <c r="B27" s="15"/>
      <c r="C27" s="16"/>
      <c r="D27" s="17"/>
      <c r="E27" s="18"/>
    </row>
    <row r="28" spans="1:11" ht="17.25" customHeight="1">
      <c r="A28" s="271" t="s">
        <v>147</v>
      </c>
      <c r="B28" s="271"/>
      <c r="C28" s="271"/>
      <c r="D28" s="271"/>
      <c r="E28" s="271"/>
    </row>
    <row r="29" spans="1:11" ht="15" customHeight="1">
      <c r="A29" s="274"/>
      <c r="B29" s="274"/>
      <c r="C29" s="274"/>
      <c r="D29" s="274"/>
      <c r="E29" s="274"/>
    </row>
    <row r="30" spans="1:11" ht="15" customHeight="1">
      <c r="A30" s="274"/>
      <c r="B30" s="274"/>
      <c r="C30" s="274"/>
      <c r="D30" s="274"/>
      <c r="E30" s="274"/>
    </row>
    <row r="31" spans="1:11" ht="15" customHeight="1">
      <c r="A31" s="274"/>
      <c r="B31" s="274"/>
      <c r="C31" s="274"/>
      <c r="D31" s="274"/>
      <c r="E31" s="274"/>
    </row>
    <row r="32" spans="1:11" ht="16.5" customHeight="1">
      <c r="A32" s="274"/>
      <c r="B32" s="274"/>
      <c r="C32" s="274"/>
      <c r="D32" s="274"/>
      <c r="E32" s="274"/>
    </row>
    <row r="33" spans="1:8" ht="15" customHeight="1">
      <c r="A33" s="274"/>
      <c r="B33" s="274"/>
      <c r="C33" s="274"/>
      <c r="D33" s="274"/>
      <c r="E33" s="274"/>
    </row>
    <row r="34" spans="1:8" ht="15.75" customHeight="1">
      <c r="A34" s="274"/>
      <c r="B34" s="274"/>
      <c r="C34" s="274"/>
      <c r="D34" s="274"/>
      <c r="E34" s="274"/>
      <c r="H34" s="29"/>
    </row>
    <row r="35" spans="1:8" ht="13.5" customHeight="1">
      <c r="A35" s="274"/>
      <c r="B35" s="274"/>
      <c r="C35" s="274"/>
      <c r="D35" s="274"/>
      <c r="E35" s="274"/>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60" customHeight="1">
      <c r="A44" s="274"/>
      <c r="B44" s="274"/>
      <c r="C44" s="274"/>
      <c r="D44" s="274"/>
      <c r="E44" s="274"/>
    </row>
    <row r="45" spans="1:8" ht="0.6" customHeight="1">
      <c r="A45" s="274"/>
      <c r="B45" s="274"/>
      <c r="C45" s="274"/>
      <c r="D45" s="274"/>
      <c r="E45" s="274"/>
    </row>
    <row r="46" spans="1:8" ht="21" customHeight="1"/>
    <row r="47" spans="1:8" ht="18" customHeight="1"/>
    <row r="48" spans="1:8"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9.5" customHeight="1"/>
    <row r="66" ht="163.5" customHeight="1"/>
    <row r="67" ht="12.6" customHeight="1"/>
    <row r="68" ht="12.6" customHeight="1"/>
    <row r="69" ht="12.6" customHeight="1"/>
    <row r="70" ht="12.6" customHeight="1"/>
  </sheetData>
  <mergeCells count="19">
    <mergeCell ref="A1:D1"/>
    <mergeCell ref="A4:B5"/>
    <mergeCell ref="C4:D5"/>
    <mergeCell ref="J4:J5"/>
    <mergeCell ref="E10:F11"/>
    <mergeCell ref="G10:G11"/>
    <mergeCell ref="E12:F13"/>
    <mergeCell ref="G12:G13"/>
    <mergeCell ref="E14:F15"/>
    <mergeCell ref="G14:G15"/>
    <mergeCell ref="E16:F17"/>
    <mergeCell ref="G16:G17"/>
    <mergeCell ref="A28:E45"/>
    <mergeCell ref="E18:F19"/>
    <mergeCell ref="G18:G19"/>
    <mergeCell ref="E20:F21"/>
    <mergeCell ref="G20:G21"/>
    <mergeCell ref="E22:F23"/>
    <mergeCell ref="G22:G23"/>
  </mergeCells>
  <conditionalFormatting sqref="H20:I21 I19">
    <cfRule type="expression" dxfId="111" priority="12">
      <formula>ISNUMBER(SEARCH(TEXT(#REF!,"ddd"),#REF!))</formula>
    </cfRule>
  </conditionalFormatting>
  <conditionalFormatting sqref="A18:D19 A10:D11">
    <cfRule type="expression" dxfId="110" priority="13">
      <formula>ISNUMBER(SEARCH(TEXT(#REF!,"ddd"),#REF!))</formula>
    </cfRule>
  </conditionalFormatting>
  <conditionalFormatting sqref="K19:K23">
    <cfRule type="expression" dxfId="109" priority="14">
      <formula>ISNUMBER(SEARCH(TEXT(#REF!,"ddd"),#REF!))</formula>
    </cfRule>
  </conditionalFormatting>
  <conditionalFormatting sqref="D14">
    <cfRule type="expression" dxfId="108" priority="11">
      <formula>ISNUMBER(SEARCH(TEXT(#REF!,"ddd"),#REF!))</formula>
    </cfRule>
  </conditionalFormatting>
  <conditionalFormatting sqref="A14:C14">
    <cfRule type="expression" dxfId="107" priority="9">
      <formula>ISNUMBER(SEARCH(TEXT(#REF!,"ddd"),#REF!))</formula>
    </cfRule>
  </conditionalFormatting>
  <conditionalFormatting sqref="A15:D15">
    <cfRule type="expression" dxfId="106" priority="10">
      <formula>ISNUMBER(SEARCH(TEXT(#REF!,"ddd"),#REF!))</formula>
    </cfRule>
  </conditionalFormatting>
  <conditionalFormatting sqref="D16">
    <cfRule type="expression" dxfId="105" priority="8">
      <formula>ISNUMBER(SEARCH(TEXT(#REF!,"ddd"),#REF!))</formula>
    </cfRule>
  </conditionalFormatting>
  <conditionalFormatting sqref="A16:C16">
    <cfRule type="expression" dxfId="104" priority="6">
      <formula>ISNUMBER(SEARCH(TEXT(#REF!,"ddd"),#REF!))</formula>
    </cfRule>
  </conditionalFormatting>
  <conditionalFormatting sqref="A17:D17">
    <cfRule type="expression" dxfId="103" priority="7">
      <formula>ISNUMBER(SEARCH(TEXT(#REF!,"ddd"),#REF!))</formula>
    </cfRule>
  </conditionalFormatting>
  <conditionalFormatting sqref="A20:D21">
    <cfRule type="expression" dxfId="102" priority="5">
      <formula>ISNUMBER(SEARCH(TEXT(#REF!,"ddd"),#REF!))</formula>
    </cfRule>
  </conditionalFormatting>
  <conditionalFormatting sqref="D12">
    <cfRule type="expression" dxfId="101" priority="4">
      <formula>ISNUMBER(SEARCH(TEXT(#REF!,"ddd"),#REF!))</formula>
    </cfRule>
  </conditionalFormatting>
  <conditionalFormatting sqref="A12:C12">
    <cfRule type="expression" dxfId="100" priority="2">
      <formula>ISNUMBER(SEARCH(TEXT(#REF!,"ddd"),#REF!))</formula>
    </cfRule>
  </conditionalFormatting>
  <conditionalFormatting sqref="A13:D13">
    <cfRule type="expression" dxfId="99" priority="3">
      <formula>ISNUMBER(SEARCH(TEXT(#REF!,"ddd"),#REF!))</formula>
    </cfRule>
  </conditionalFormatting>
  <conditionalFormatting sqref="A22:D23">
    <cfRule type="expression" dxfId="98" priority="1">
      <formula>ISNUMBER(SEARCH(TEXT(#REF!,"ddd"),#REF!))</formula>
    </cfRule>
  </conditionalFormatting>
  <dataValidations count="2">
    <dataValidation type="custom" allowBlank="1" showInputMessage="1" showErrorMessage="1" sqref="C20 C11:C18 B10:B23 C22" xr:uid="{F84E8A32-3AD7-46DA-8453-FEDA1E75C952}">
      <formula1>AND($B10&lt;=1,ISNUMBER($B10))</formula1>
    </dataValidation>
    <dataValidation type="custom" allowBlank="1" showInputMessage="1" showErrorMessage="1" sqref="C10 C19 C21 C23" xr:uid="{6801A7A1-57EB-4B8A-9930-B6198E28FB2E}">
      <formula1>AND($C10&lt;=1,ISNUMBER($C10),($C10&gt;=$B10))</formula1>
    </dataValidation>
  </dataValidations>
  <pageMargins left="0.25" right="0.25" top="0.75" bottom="0.75" header="0.3" footer="0.3"/>
  <pageSetup paperSize="9" scale="65" orientation="portrait" horizontalDpi="4294967293" verticalDpi="429496729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77E51-888F-4E3E-B695-C717E9E6BE20}">
  <sheetPr codeName="Sheet18">
    <tabColor rgb="FFE7E6E6"/>
  </sheetPr>
  <dimension ref="A1:K70"/>
  <sheetViews>
    <sheetView showGridLines="0" zoomScale="96" zoomScaleNormal="100" workbookViewId="0">
      <selection activeCell="F3" sqref="F3"/>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17</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43941</v>
      </c>
      <c r="B3" s="234"/>
      <c r="C3" s="101">
        <f>MAXA(A10:A67)</f>
        <v>43947</v>
      </c>
      <c r="D3" s="234"/>
      <c r="E3" s="72" t="s">
        <v>7</v>
      </c>
      <c r="F3" s="32">
        <f>Sumcolor(E3,D10:D21)</f>
        <v>0</v>
      </c>
      <c r="G3" s="223">
        <f>SUM(Først:Sist!F3, 'Uke5'!I2)</f>
        <v>0.60416666666666663</v>
      </c>
      <c r="H3" s="22"/>
      <c r="I3" s="7"/>
      <c r="J3" s="7"/>
    </row>
    <row r="4" spans="1:10" ht="15" customHeight="1">
      <c r="A4" s="271" t="s">
        <v>17</v>
      </c>
      <c r="B4" s="271"/>
      <c r="C4" s="280" t="s">
        <v>18</v>
      </c>
      <c r="D4" s="280"/>
      <c r="E4" s="73" t="s">
        <v>10</v>
      </c>
      <c r="F4" s="32">
        <f>Sumcolor(E4,D10:D309)</f>
        <v>0.42013888888888884</v>
      </c>
      <c r="G4" s="223">
        <f>SUM(Først:Sist!F4, 'Uke5'!I3)</f>
        <v>1.8784722222222223</v>
      </c>
      <c r="H4" s="22"/>
      <c r="I4" s="7"/>
      <c r="J4" s="269"/>
    </row>
    <row r="5" spans="1:10" ht="15.75">
      <c r="A5" s="280"/>
      <c r="B5" s="280"/>
      <c r="C5" s="280"/>
      <c r="D5" s="280"/>
      <c r="E5" s="191" t="s">
        <v>11</v>
      </c>
      <c r="F5" s="32">
        <f>Sumcolor(E5,D10:D21)</f>
        <v>9.0277777777777679E-2</v>
      </c>
      <c r="G5" s="223">
        <f>SUM(Først:Sist!F5, 'Uke5'!I4)</f>
        <v>1.020833333333333</v>
      </c>
      <c r="H5" s="22"/>
      <c r="I5" s="7"/>
      <c r="J5" s="269"/>
    </row>
    <row r="6" spans="1:10" ht="18.75" customHeight="1">
      <c r="A6" s="36">
        <f>SUM(D10:D30)</f>
        <v>0.54513888888888862</v>
      </c>
      <c r="B6" s="37"/>
      <c r="C6" s="82">
        <f>SUM(Først:Sist!A6, 'Uke5'!C5)</f>
        <v>4.4131944444444446</v>
      </c>
      <c r="D6" s="38"/>
      <c r="E6" s="75" t="s">
        <v>19</v>
      </c>
      <c r="F6" s="34">
        <f>Sumcolor(E6,D10:D22)</f>
        <v>1.388888888888884E-2</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192">
        <v>43941</v>
      </c>
      <c r="B10" s="193">
        <v>0.58333333333333337</v>
      </c>
      <c r="C10" s="193">
        <v>0.625</v>
      </c>
      <c r="D10" s="181">
        <f>(C10-B10)</f>
        <v>4.166666666666663E-2</v>
      </c>
      <c r="E10" s="374" t="s">
        <v>148</v>
      </c>
      <c r="F10" s="375"/>
      <c r="G10" s="331"/>
      <c r="H10" s="25"/>
    </row>
    <row r="11" spans="1:10" ht="15">
      <c r="A11" s="194"/>
      <c r="B11" s="195"/>
      <c r="C11" s="195"/>
      <c r="D11" s="196"/>
      <c r="E11" s="376"/>
      <c r="F11" s="377"/>
      <c r="G11" s="332"/>
      <c r="H11" s="25"/>
    </row>
    <row r="12" spans="1:10" ht="14.25" customHeight="1">
      <c r="A12" s="192">
        <v>43941</v>
      </c>
      <c r="B12" s="193">
        <v>0.625</v>
      </c>
      <c r="C12" s="193">
        <v>0.65277777777777779</v>
      </c>
      <c r="D12" s="181">
        <f>(C12-B12)</f>
        <v>2.777777777777779E-2</v>
      </c>
      <c r="E12" s="374" t="s">
        <v>149</v>
      </c>
      <c r="F12" s="375"/>
      <c r="G12" s="331"/>
    </row>
    <row r="13" spans="1:10" ht="16.5" customHeight="1">
      <c r="A13" s="194"/>
      <c r="B13" s="195"/>
      <c r="C13" s="195"/>
      <c r="D13" s="196"/>
      <c r="E13" s="376"/>
      <c r="F13" s="377"/>
      <c r="G13" s="332"/>
    </row>
    <row r="14" spans="1:10" ht="15" customHeight="1">
      <c r="A14" s="179">
        <v>43941</v>
      </c>
      <c r="B14" s="66">
        <v>0.65277777777777779</v>
      </c>
      <c r="C14" s="66">
        <v>0.66666666666666663</v>
      </c>
      <c r="D14" s="66">
        <f>(C14-B14)</f>
        <v>1.388888888888884E-2</v>
      </c>
      <c r="E14" s="356" t="s">
        <v>150</v>
      </c>
      <c r="F14" s="390"/>
      <c r="G14" s="357"/>
    </row>
    <row r="15" spans="1:10" ht="15">
      <c r="A15" s="109"/>
      <c r="B15" s="68"/>
      <c r="C15" s="68"/>
      <c r="D15" s="69"/>
      <c r="E15" s="391"/>
      <c r="F15" s="392"/>
      <c r="G15" s="358"/>
    </row>
    <row r="16" spans="1:10" ht="14.45" customHeight="1">
      <c r="A16" s="192">
        <v>43944</v>
      </c>
      <c r="B16" s="193">
        <v>0.58333333333333337</v>
      </c>
      <c r="C16" s="193">
        <v>0.60416666666666663</v>
      </c>
      <c r="D16" s="181">
        <f>(C16-B16)</f>
        <v>2.0833333333333259E-2</v>
      </c>
      <c r="E16" s="374" t="s">
        <v>151</v>
      </c>
      <c r="F16" s="375"/>
      <c r="G16" s="331"/>
    </row>
    <row r="17" spans="1:11" ht="15">
      <c r="A17" s="194"/>
      <c r="B17" s="195"/>
      <c r="C17" s="195"/>
      <c r="D17" s="196"/>
      <c r="E17" s="376"/>
      <c r="F17" s="377"/>
      <c r="G17" s="332"/>
    </row>
    <row r="18" spans="1:11" ht="14.45" customHeight="1">
      <c r="A18" s="213">
        <v>43944</v>
      </c>
      <c r="B18" s="214">
        <v>0.60416666666666663</v>
      </c>
      <c r="C18" s="214">
        <v>0.70833333333333337</v>
      </c>
      <c r="D18" s="215">
        <f>(C18-B18)</f>
        <v>0.10416666666666674</v>
      </c>
      <c r="E18" s="378" t="s">
        <v>152</v>
      </c>
      <c r="F18" s="379"/>
      <c r="G18" s="331"/>
    </row>
    <row r="19" spans="1:11" ht="15">
      <c r="A19" s="216"/>
      <c r="B19" s="217"/>
      <c r="C19" s="217"/>
      <c r="D19" s="218"/>
      <c r="E19" s="380"/>
      <c r="F19" s="381"/>
      <c r="G19" s="332"/>
      <c r="I19" s="8"/>
      <c r="K19" s="8"/>
    </row>
    <row r="20" spans="1:11" ht="17.25" customHeight="1">
      <c r="A20" s="225">
        <v>43945</v>
      </c>
      <c r="B20" s="215">
        <v>0.64583333333333337</v>
      </c>
      <c r="C20" s="215">
        <v>0.70833333333333337</v>
      </c>
      <c r="D20" s="215">
        <f>(C20-B20)</f>
        <v>6.25E-2</v>
      </c>
      <c r="E20" s="378" t="s">
        <v>152</v>
      </c>
      <c r="F20" s="379"/>
      <c r="G20" s="331"/>
      <c r="H20" s="8"/>
      <c r="I20" s="8"/>
      <c r="K20" s="8"/>
    </row>
    <row r="21" spans="1:11" ht="12.75" customHeight="1">
      <c r="A21" s="216"/>
      <c r="B21" s="217"/>
      <c r="C21" s="217"/>
      <c r="D21" s="218"/>
      <c r="E21" s="380"/>
      <c r="F21" s="381"/>
      <c r="G21" s="332"/>
      <c r="H21" s="8"/>
      <c r="I21" s="8"/>
      <c r="K21" s="8"/>
    </row>
    <row r="22" spans="1:11" ht="14.45" customHeight="1">
      <c r="A22" s="192">
        <v>43946</v>
      </c>
      <c r="B22" s="193">
        <v>0.58333333333333337</v>
      </c>
      <c r="C22" s="193">
        <v>0.60416666666666663</v>
      </c>
      <c r="D22" s="181">
        <f>(C22-B22)</f>
        <v>2.0833333333333259E-2</v>
      </c>
      <c r="E22" s="374" t="s">
        <v>151</v>
      </c>
      <c r="F22" s="375"/>
      <c r="G22" s="331"/>
      <c r="H22" s="9"/>
      <c r="I22" s="9"/>
      <c r="K22" s="8"/>
    </row>
    <row r="23" spans="1:11" ht="16.5" customHeight="1">
      <c r="A23" s="194"/>
      <c r="B23" s="195"/>
      <c r="C23" s="195"/>
      <c r="D23" s="196"/>
      <c r="E23" s="376"/>
      <c r="F23" s="377"/>
      <c r="G23" s="332"/>
      <c r="H23" s="10"/>
      <c r="I23" s="10"/>
      <c r="K23" s="8"/>
    </row>
    <row r="24" spans="1:11" ht="15.6" customHeight="1">
      <c r="A24" s="226">
        <v>43946</v>
      </c>
      <c r="B24" s="227">
        <v>0.61458333333333337</v>
      </c>
      <c r="C24" s="227">
        <v>0.75</v>
      </c>
      <c r="D24" s="209">
        <f>(C24-B24)</f>
        <v>0.13541666666666663</v>
      </c>
      <c r="E24" s="378" t="s">
        <v>153</v>
      </c>
      <c r="F24" s="379"/>
      <c r="G24" s="331" t="s">
        <v>134</v>
      </c>
    </row>
    <row r="25" spans="1:11" ht="16.899999999999999" customHeight="1">
      <c r="A25" s="228"/>
      <c r="B25" s="229"/>
      <c r="C25" s="229"/>
      <c r="D25" s="230"/>
      <c r="E25" s="380"/>
      <c r="F25" s="381"/>
      <c r="G25" s="332"/>
    </row>
    <row r="26" spans="1:11" ht="12.75" customHeight="1">
      <c r="A26" s="226">
        <v>43947</v>
      </c>
      <c r="B26" s="227">
        <v>0.78125</v>
      </c>
      <c r="C26" s="227">
        <v>0.81597222222222221</v>
      </c>
      <c r="D26" s="209">
        <f>(C26-B26)</f>
        <v>3.472222222222221E-2</v>
      </c>
      <c r="E26" s="378" t="s">
        <v>154</v>
      </c>
      <c r="F26" s="379"/>
      <c r="G26" s="331"/>
    </row>
    <row r="27" spans="1:11" ht="15" customHeight="1">
      <c r="A27" s="228"/>
      <c r="B27" s="229"/>
      <c r="C27" s="229"/>
      <c r="D27" s="230"/>
      <c r="E27" s="380"/>
      <c r="F27" s="381"/>
      <c r="G27" s="332"/>
    </row>
    <row r="28" spans="1:11" ht="12.75" customHeight="1">
      <c r="A28" s="226">
        <v>43947</v>
      </c>
      <c r="B28" s="227">
        <v>0.81597222222222221</v>
      </c>
      <c r="C28" s="227">
        <v>0.81597222222222221</v>
      </c>
      <c r="D28" s="209">
        <f>(C28-B28)</f>
        <v>0</v>
      </c>
      <c r="E28" s="378" t="s">
        <v>154</v>
      </c>
      <c r="F28" s="379"/>
      <c r="G28" s="331"/>
    </row>
    <row r="29" spans="1:11" ht="15" customHeight="1" thickBot="1">
      <c r="A29" s="228"/>
      <c r="B29" s="229"/>
      <c r="C29" s="229"/>
      <c r="D29" s="230"/>
      <c r="E29" s="380"/>
      <c r="F29" s="381"/>
      <c r="G29" s="332"/>
    </row>
    <row r="30" spans="1:11" ht="12.75" customHeight="1">
      <c r="A30" s="231">
        <v>43947</v>
      </c>
      <c r="B30" s="232">
        <v>0.83333333333333337</v>
      </c>
      <c r="C30" s="232">
        <v>0.91666666666666663</v>
      </c>
      <c r="D30" s="233">
        <f>(C30-B30)</f>
        <v>8.3333333333333259E-2</v>
      </c>
      <c r="E30" s="386" t="s">
        <v>155</v>
      </c>
      <c r="F30" s="387"/>
      <c r="G30" s="331" t="s">
        <v>134</v>
      </c>
    </row>
    <row r="31" spans="1:11" ht="15" customHeight="1" thickBot="1">
      <c r="A31" s="251"/>
      <c r="B31" s="252"/>
      <c r="C31" s="252"/>
      <c r="D31" s="253"/>
      <c r="E31" s="388"/>
      <c r="F31" s="389"/>
      <c r="G31" s="332"/>
    </row>
    <row r="32" spans="1:11" ht="14.25" customHeight="1"/>
    <row r="33" spans="1:8" ht="24.75" customHeight="1" thickBot="1">
      <c r="A33" s="28" t="s">
        <v>31</v>
      </c>
      <c r="B33" s="28"/>
      <c r="C33" s="27"/>
      <c r="D33" s="27"/>
      <c r="E33" s="27"/>
    </row>
    <row r="34" spans="1:8" ht="15.75" customHeight="1" thickBot="1">
      <c r="A34" s="5"/>
      <c r="B34" s="15"/>
      <c r="C34" s="16"/>
      <c r="D34" s="17"/>
      <c r="E34" s="18"/>
      <c r="H34" s="29"/>
    </row>
    <row r="35" spans="1:8" ht="13.5" customHeight="1">
      <c r="A35" s="271" t="s">
        <v>156</v>
      </c>
      <c r="B35" s="271"/>
      <c r="C35" s="271"/>
      <c r="D35" s="271"/>
      <c r="E35" s="271"/>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60"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row r="54" spans="1:5" ht="12.6" customHeight="1"/>
    <row r="55" spans="1:5" ht="13.15" customHeight="1"/>
    <row r="56" spans="1:5" ht="12.6" customHeight="1"/>
    <row r="57" spans="1:5" ht="12.6" customHeight="1"/>
    <row r="58" spans="1:5" ht="12.6" customHeight="1"/>
    <row r="59" spans="1:5" ht="12.6" customHeight="1"/>
    <row r="60" spans="1:5" ht="12.6" customHeight="1"/>
    <row r="61" spans="1:5" ht="12.6" customHeight="1"/>
    <row r="62" spans="1:5" ht="12.6" customHeight="1"/>
    <row r="63" spans="1:5" ht="12.6" customHeight="1"/>
    <row r="64" spans="1:5" ht="12.6" customHeight="1"/>
    <row r="65" ht="19.5" customHeight="1"/>
    <row r="66" ht="163.5" customHeight="1"/>
    <row r="67" ht="12.6" customHeight="1"/>
    <row r="68" ht="12.6" customHeight="1"/>
    <row r="69" ht="12.6" customHeight="1"/>
    <row r="70" ht="12.6" customHeight="1"/>
  </sheetData>
  <mergeCells count="27">
    <mergeCell ref="A1:D1"/>
    <mergeCell ref="A4:B5"/>
    <mergeCell ref="C4:D5"/>
    <mergeCell ref="J4:J5"/>
    <mergeCell ref="E10:F11"/>
    <mergeCell ref="E14:F15"/>
    <mergeCell ref="G14:G15"/>
    <mergeCell ref="E16:F17"/>
    <mergeCell ref="G16:G17"/>
    <mergeCell ref="G10:G11"/>
    <mergeCell ref="E12:F13"/>
    <mergeCell ref="G12:G13"/>
    <mergeCell ref="E18:F19"/>
    <mergeCell ref="G18:G19"/>
    <mergeCell ref="E20:F21"/>
    <mergeCell ref="G20:G21"/>
    <mergeCell ref="A35:E52"/>
    <mergeCell ref="E22:F23"/>
    <mergeCell ref="G22:G23"/>
    <mergeCell ref="E24:F25"/>
    <mergeCell ref="G24:G25"/>
    <mergeCell ref="E26:F27"/>
    <mergeCell ref="G26:G27"/>
    <mergeCell ref="E28:F29"/>
    <mergeCell ref="G28:G29"/>
    <mergeCell ref="E30:F31"/>
    <mergeCell ref="G30:G31"/>
  </mergeCells>
  <conditionalFormatting sqref="H20:I21 I19">
    <cfRule type="expression" dxfId="97" priority="37">
      <formula>ISNUMBER(SEARCH(TEXT(#REF!,"ddd"),#REF!))</formula>
    </cfRule>
  </conditionalFormatting>
  <conditionalFormatting sqref="A18:D19">
    <cfRule type="expression" dxfId="96" priority="38">
      <formula>ISNUMBER(SEARCH(TEXT(#REF!,"ddd"),#REF!))</formula>
    </cfRule>
  </conditionalFormatting>
  <conditionalFormatting sqref="K19:K23">
    <cfRule type="expression" dxfId="95" priority="39">
      <formula>ISNUMBER(SEARCH(TEXT(#REF!,"ddd"),#REF!))</formula>
    </cfRule>
  </conditionalFormatting>
  <conditionalFormatting sqref="D16">
    <cfRule type="expression" dxfId="94" priority="32">
      <formula>ISNUMBER(SEARCH(TEXT(#REF!,"ddd"),#REF!))</formula>
    </cfRule>
  </conditionalFormatting>
  <conditionalFormatting sqref="A16:C16">
    <cfRule type="expression" dxfId="93" priority="30">
      <formula>ISNUMBER(SEARCH(TEXT(#REF!,"ddd"),#REF!))</formula>
    </cfRule>
  </conditionalFormatting>
  <conditionalFormatting sqref="A17:D17">
    <cfRule type="expression" dxfId="92" priority="31">
      <formula>ISNUMBER(SEARCH(TEXT(#REF!,"ddd"),#REF!))</formula>
    </cfRule>
  </conditionalFormatting>
  <conditionalFormatting sqref="A20:D21">
    <cfRule type="expression" dxfId="91" priority="29">
      <formula>ISNUMBER(SEARCH(TEXT(#REF!,"ddd"),#REF!))</formula>
    </cfRule>
  </conditionalFormatting>
  <conditionalFormatting sqref="D12">
    <cfRule type="expression" dxfId="90" priority="23">
      <formula>ISNUMBER(SEARCH(TEXT(#REF!,"ddd"),#REF!))</formula>
    </cfRule>
  </conditionalFormatting>
  <conditionalFormatting sqref="A12:C12">
    <cfRule type="expression" dxfId="89" priority="21">
      <formula>ISNUMBER(SEARCH(TEXT(#REF!,"ddd"),#REF!))</formula>
    </cfRule>
  </conditionalFormatting>
  <conditionalFormatting sqref="A13:D13">
    <cfRule type="expression" dxfId="88" priority="22">
      <formula>ISNUMBER(SEARCH(TEXT(#REF!,"ddd"),#REF!))</formula>
    </cfRule>
  </conditionalFormatting>
  <conditionalFormatting sqref="A10:C10">
    <cfRule type="expression" dxfId="87" priority="17">
      <formula>ISNUMBER(SEARCH(TEXT(#REF!,"ddd"),#REF!))</formula>
    </cfRule>
  </conditionalFormatting>
  <conditionalFormatting sqref="D10">
    <cfRule type="expression" dxfId="86" priority="19">
      <formula>ISNUMBER(SEARCH(TEXT(#REF!,"ddd"),#REF!))</formula>
    </cfRule>
  </conditionalFormatting>
  <conditionalFormatting sqref="A11:D11">
    <cfRule type="expression" dxfId="85" priority="18">
      <formula>ISNUMBER(SEARCH(TEXT(#REF!,"ddd"),#REF!))</formula>
    </cfRule>
  </conditionalFormatting>
  <conditionalFormatting sqref="A14:D15">
    <cfRule type="expression" dxfId="84" priority="16">
      <formula>ISNUMBER(SEARCH(TEXT(#REF!,"ddd"),#REF!))</formula>
    </cfRule>
  </conditionalFormatting>
  <conditionalFormatting sqref="D22">
    <cfRule type="expression" dxfId="83" priority="15">
      <formula>ISNUMBER(SEARCH(TEXT(#REF!,"ddd"),#REF!))</formula>
    </cfRule>
  </conditionalFormatting>
  <conditionalFormatting sqref="A22:C22">
    <cfRule type="expression" dxfId="82" priority="13">
      <formula>ISNUMBER(SEARCH(TEXT(#REF!,"ddd"),#REF!))</formula>
    </cfRule>
  </conditionalFormatting>
  <conditionalFormatting sqref="A23:D23">
    <cfRule type="expression" dxfId="81" priority="14">
      <formula>ISNUMBER(SEARCH(TEXT(#REF!,"ddd"),#REF!))</formula>
    </cfRule>
  </conditionalFormatting>
  <conditionalFormatting sqref="D24">
    <cfRule type="expression" dxfId="80" priority="12">
      <formula>ISNUMBER(SEARCH(TEXT(#REF!,"ddd"),#REF!))</formula>
    </cfRule>
  </conditionalFormatting>
  <conditionalFormatting sqref="A24:C24">
    <cfRule type="expression" dxfId="79" priority="10">
      <formula>ISNUMBER(SEARCH(TEXT(#REF!,"ddd"),#REF!))</formula>
    </cfRule>
  </conditionalFormatting>
  <conditionalFormatting sqref="A25:D25">
    <cfRule type="expression" dxfId="78" priority="11">
      <formula>ISNUMBER(SEARCH(TEXT(#REF!,"ddd"),#REF!))</formula>
    </cfRule>
  </conditionalFormatting>
  <conditionalFormatting sqref="D26">
    <cfRule type="expression" dxfId="77" priority="9">
      <formula>ISNUMBER(SEARCH(TEXT(#REF!,"ddd"),#REF!))</formula>
    </cfRule>
  </conditionalFormatting>
  <conditionalFormatting sqref="A26:C26">
    <cfRule type="expression" dxfId="76" priority="7">
      <formula>ISNUMBER(SEARCH(TEXT(#REF!,"ddd"),#REF!))</formula>
    </cfRule>
  </conditionalFormatting>
  <conditionalFormatting sqref="A27:D27">
    <cfRule type="expression" dxfId="75" priority="8">
      <formula>ISNUMBER(SEARCH(TEXT(#REF!,"ddd"),#REF!))</formula>
    </cfRule>
  </conditionalFormatting>
  <conditionalFormatting sqref="D28">
    <cfRule type="expression" dxfId="74" priority="6">
      <formula>ISNUMBER(SEARCH(TEXT(#REF!,"ddd"),#REF!))</formula>
    </cfRule>
  </conditionalFormatting>
  <conditionalFormatting sqref="A28:C28">
    <cfRule type="expression" dxfId="73" priority="4">
      <formula>ISNUMBER(SEARCH(TEXT(#REF!,"ddd"),#REF!))</formula>
    </cfRule>
  </conditionalFormatting>
  <conditionalFormatting sqref="A29:D29">
    <cfRule type="expression" dxfId="72" priority="5">
      <formula>ISNUMBER(SEARCH(TEXT(#REF!,"ddd"),#REF!))</formula>
    </cfRule>
  </conditionalFormatting>
  <conditionalFormatting sqref="D30">
    <cfRule type="expression" dxfId="71" priority="3">
      <formula>ISNUMBER(SEARCH(TEXT(#REF!,"ddd"),#REF!))</formula>
    </cfRule>
  </conditionalFormatting>
  <conditionalFormatting sqref="A30:C30">
    <cfRule type="expression" dxfId="70" priority="1">
      <formula>ISNUMBER(SEARCH(TEXT(#REF!,"ddd"),#REF!))</formula>
    </cfRule>
  </conditionalFormatting>
  <conditionalFormatting sqref="A31:D31">
    <cfRule type="expression" dxfId="69" priority="2">
      <formula>ISNUMBER(SEARCH(TEXT(#REF!,"ddd"),#REF!))</formula>
    </cfRule>
  </conditionalFormatting>
  <dataValidations count="2">
    <dataValidation type="custom" allowBlank="1" showInputMessage="1" showErrorMessage="1" sqref="C15 C19 C21" xr:uid="{C2C5AF73-3621-4DC1-800D-5B40981A7AA5}">
      <formula1>AND($C15&lt;=1,ISNUMBER($C15),($C15&gt;=$B15))</formula1>
    </dataValidation>
    <dataValidation type="custom" allowBlank="1" showInputMessage="1" showErrorMessage="1" sqref="C20 C16:C18 B10:B31 C10:C14 C22:C31" xr:uid="{711FB99C-2526-461B-BD8D-D4E3B1DB9BA2}">
      <formula1>AND($B10&lt;=1,ISNUMBER($B10))</formula1>
    </dataValidation>
  </dataValidations>
  <pageMargins left="0.25" right="0.25" top="0.75" bottom="0.75" header="0.3" footer="0.3"/>
  <pageSetup paperSize="9" scale="65" orientation="portrait" horizontalDpi="4294967293" vertic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F04EB-6BFF-484F-9783-722D13FAEA5F}">
  <sheetPr codeName="Sheet20">
    <tabColor rgb="FFE7E6E6"/>
  </sheetPr>
  <dimension ref="A1:K70"/>
  <sheetViews>
    <sheetView showGridLines="0" topLeftCell="A35" zoomScale="96" zoomScaleNormal="100" workbookViewId="0">
      <selection activeCell="H49" sqref="H49"/>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18</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43948</v>
      </c>
      <c r="B3" s="234"/>
      <c r="C3" s="101">
        <f>MAXA(A10:A67)</f>
        <v>43953</v>
      </c>
      <c r="D3" s="234"/>
      <c r="E3" s="72" t="s">
        <v>7</v>
      </c>
      <c r="F3" s="32">
        <f>Sumcolor(E3,D10:D21)</f>
        <v>0</v>
      </c>
      <c r="G3" s="223">
        <f>SUM(Først:Sist!F3, 'Uke5'!I2)</f>
        <v>0.60416666666666663</v>
      </c>
      <c r="H3" s="22"/>
      <c r="I3" s="7"/>
      <c r="J3" s="7"/>
    </row>
    <row r="4" spans="1:10" ht="15" customHeight="1">
      <c r="A4" s="271" t="s">
        <v>17</v>
      </c>
      <c r="B4" s="271"/>
      <c r="C4" s="280" t="s">
        <v>18</v>
      </c>
      <c r="D4" s="280"/>
      <c r="E4" s="73" t="s">
        <v>10</v>
      </c>
      <c r="F4" s="32">
        <f>Sumcolor(E4,D10:D309)</f>
        <v>0.47916666666666663</v>
      </c>
      <c r="G4" s="223">
        <f>SUM(Først:Sist!F4, 'Uke5'!I3)</f>
        <v>1.8784722222222223</v>
      </c>
      <c r="H4" s="22"/>
      <c r="I4" s="7"/>
      <c r="J4" s="269"/>
    </row>
    <row r="5" spans="1:10" ht="15.75">
      <c r="A5" s="280"/>
      <c r="B5" s="280"/>
      <c r="C5" s="280"/>
      <c r="D5" s="280"/>
      <c r="E5" s="191" t="s">
        <v>11</v>
      </c>
      <c r="F5" s="32">
        <f>Sumcolor(E5,D10:D21)</f>
        <v>8.3333333333333259E-2</v>
      </c>
      <c r="G5" s="223">
        <f>SUM(Først:Sist!F5, 'Uke5'!I4)</f>
        <v>1.020833333333333</v>
      </c>
      <c r="H5" s="22"/>
      <c r="I5" s="7"/>
      <c r="J5" s="269"/>
    </row>
    <row r="6" spans="1:10" ht="18.75" customHeight="1">
      <c r="A6" s="36">
        <f>SUM(D10:D30)</f>
        <v>0.56249999999999989</v>
      </c>
      <c r="B6" s="37"/>
      <c r="C6" s="82">
        <f>SUM(Først:Sist!A6, 'Uke5'!C5)</f>
        <v>4.4131944444444446</v>
      </c>
      <c r="D6" s="38"/>
      <c r="E6" s="75" t="s">
        <v>19</v>
      </c>
      <c r="F6" s="34">
        <f>Sumcolor(E6,D10:D22)</f>
        <v>0</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192">
        <v>43948</v>
      </c>
      <c r="B10" s="193">
        <v>0.58333333333333337</v>
      </c>
      <c r="C10" s="193">
        <v>0.60763888888888895</v>
      </c>
      <c r="D10" s="181">
        <f>(C10-B10)</f>
        <v>2.430555555555558E-2</v>
      </c>
      <c r="E10" s="374" t="s">
        <v>157</v>
      </c>
      <c r="F10" s="375"/>
      <c r="G10" s="331"/>
      <c r="H10" s="25"/>
    </row>
    <row r="11" spans="1:10" ht="15">
      <c r="A11" s="194"/>
      <c r="B11" s="195"/>
      <c r="C11" s="195"/>
      <c r="D11" s="196"/>
      <c r="E11" s="376"/>
      <c r="F11" s="377"/>
      <c r="G11" s="332"/>
      <c r="H11" s="25"/>
    </row>
    <row r="12" spans="1:10" ht="14.25" customHeight="1">
      <c r="A12" s="192">
        <v>43951</v>
      </c>
      <c r="B12" s="193">
        <v>0.58333333333333337</v>
      </c>
      <c r="C12" s="193">
        <v>0.61111111111111105</v>
      </c>
      <c r="D12" s="181">
        <f>(C12-B12)</f>
        <v>2.7777777777777679E-2</v>
      </c>
      <c r="E12" s="374" t="s">
        <v>157</v>
      </c>
      <c r="F12" s="375"/>
      <c r="G12" s="331"/>
    </row>
    <row r="13" spans="1:10" ht="16.5" customHeight="1">
      <c r="A13" s="194"/>
      <c r="B13" s="195"/>
      <c r="C13" s="195"/>
      <c r="D13" s="196"/>
      <c r="E13" s="376"/>
      <c r="F13" s="377"/>
      <c r="G13" s="332"/>
    </row>
    <row r="14" spans="1:10" ht="15" customHeight="1">
      <c r="A14" s="213">
        <v>43951</v>
      </c>
      <c r="B14" s="214">
        <v>0.625</v>
      </c>
      <c r="C14" s="214">
        <v>0.73958333333333337</v>
      </c>
      <c r="D14" s="215">
        <f>(C14-B14)</f>
        <v>0.11458333333333337</v>
      </c>
      <c r="E14" s="378" t="s">
        <v>158</v>
      </c>
      <c r="F14" s="379"/>
      <c r="G14" s="357" t="s">
        <v>134</v>
      </c>
    </row>
    <row r="15" spans="1:10" ht="15">
      <c r="A15" s="216"/>
      <c r="B15" s="217"/>
      <c r="C15" s="217"/>
      <c r="D15" s="218"/>
      <c r="E15" s="380"/>
      <c r="F15" s="381"/>
      <c r="G15" s="358"/>
    </row>
    <row r="16" spans="1:10" ht="14.45" customHeight="1">
      <c r="A16" s="213">
        <v>43952</v>
      </c>
      <c r="B16" s="214">
        <v>0.8125</v>
      </c>
      <c r="C16" s="214">
        <v>0.95833333333333337</v>
      </c>
      <c r="D16" s="215">
        <f>(C16-B16)</f>
        <v>0.14583333333333337</v>
      </c>
      <c r="E16" s="378" t="s">
        <v>158</v>
      </c>
      <c r="F16" s="379"/>
      <c r="G16" s="393" t="s">
        <v>134</v>
      </c>
    </row>
    <row r="17" spans="1:11" ht="15">
      <c r="A17" s="216"/>
      <c r="B17" s="217"/>
      <c r="C17" s="217"/>
      <c r="D17" s="218"/>
      <c r="E17" s="380"/>
      <c r="F17" s="381"/>
      <c r="G17" s="394"/>
    </row>
    <row r="18" spans="1:11" ht="14.45" customHeight="1">
      <c r="A18" s="192">
        <v>43953</v>
      </c>
      <c r="B18" s="193">
        <v>0.58333333333333337</v>
      </c>
      <c r="C18" s="193">
        <v>0.61458333333333337</v>
      </c>
      <c r="D18" s="181">
        <f>(C18-B18)</f>
        <v>3.125E-2</v>
      </c>
      <c r="E18" s="374" t="s">
        <v>157</v>
      </c>
      <c r="F18" s="375"/>
      <c r="G18" s="331"/>
    </row>
    <row r="19" spans="1:11" ht="15">
      <c r="A19" s="194"/>
      <c r="B19" s="195"/>
      <c r="C19" s="195"/>
      <c r="D19" s="196"/>
      <c r="E19" s="376"/>
      <c r="F19" s="377"/>
      <c r="G19" s="332"/>
      <c r="I19" s="8"/>
      <c r="K19" s="8"/>
    </row>
    <row r="20" spans="1:11" ht="17.25" customHeight="1">
      <c r="A20" s="225">
        <v>43953</v>
      </c>
      <c r="B20" s="215">
        <v>0.61458333333333337</v>
      </c>
      <c r="C20" s="215">
        <v>0.69791666666666663</v>
      </c>
      <c r="D20" s="215">
        <f>(C20-B20)</f>
        <v>8.3333333333333259E-2</v>
      </c>
      <c r="E20" s="378" t="s">
        <v>158</v>
      </c>
      <c r="F20" s="379"/>
      <c r="G20" s="331" t="s">
        <v>134</v>
      </c>
      <c r="H20" s="8"/>
      <c r="I20" s="8"/>
      <c r="K20" s="8"/>
    </row>
    <row r="21" spans="1:11" ht="12.75" customHeight="1">
      <c r="A21" s="216"/>
      <c r="B21" s="217"/>
      <c r="C21" s="217"/>
      <c r="D21" s="218"/>
      <c r="E21" s="380"/>
      <c r="F21" s="381"/>
      <c r="G21" s="332"/>
      <c r="H21" s="8"/>
      <c r="I21" s="8"/>
      <c r="K21" s="8"/>
    </row>
    <row r="22" spans="1:11" ht="14.45" customHeight="1">
      <c r="A22" s="225">
        <v>43953</v>
      </c>
      <c r="B22" s="215">
        <v>0.75</v>
      </c>
      <c r="C22" s="215">
        <v>0.83333333333333337</v>
      </c>
      <c r="D22" s="215">
        <f>(C22-B22)</f>
        <v>8.333333333333337E-2</v>
      </c>
      <c r="E22" s="378" t="s">
        <v>158</v>
      </c>
      <c r="F22" s="379"/>
      <c r="G22" s="331" t="s">
        <v>134</v>
      </c>
      <c r="H22" s="9"/>
      <c r="I22" s="9"/>
      <c r="K22" s="8"/>
    </row>
    <row r="23" spans="1:11" ht="16.5" customHeight="1">
      <c r="A23" s="216"/>
      <c r="B23" s="217"/>
      <c r="C23" s="217"/>
      <c r="D23" s="218"/>
      <c r="E23" s="380"/>
      <c r="F23" s="381"/>
      <c r="G23" s="332"/>
      <c r="H23" s="10"/>
      <c r="I23" s="10"/>
      <c r="K23" s="8"/>
    </row>
    <row r="24" spans="1:11" ht="12.75" customHeight="1">
      <c r="A24" s="226">
        <v>43953</v>
      </c>
      <c r="B24" s="227">
        <v>0.86458333333333337</v>
      </c>
      <c r="C24" s="227">
        <v>0.91666666666666663</v>
      </c>
      <c r="D24" s="209">
        <f>(C24-B24)</f>
        <v>5.2083333333333259E-2</v>
      </c>
      <c r="E24" s="378" t="s">
        <v>159</v>
      </c>
      <c r="F24" s="379"/>
      <c r="G24" s="331"/>
    </row>
    <row r="25" spans="1:11" ht="16.899999999999999" customHeight="1">
      <c r="A25" s="228"/>
      <c r="B25" s="229"/>
      <c r="C25" s="229"/>
      <c r="D25" s="230"/>
      <c r="E25" s="380"/>
      <c r="F25" s="381"/>
      <c r="G25" s="332"/>
    </row>
    <row r="26" spans="1:11" ht="12.75" customHeight="1">
      <c r="A26" s="226"/>
      <c r="B26" s="227"/>
      <c r="C26" s="227"/>
      <c r="D26" s="209">
        <f>(C26-B26)</f>
        <v>0</v>
      </c>
      <c r="E26" s="378"/>
      <c r="F26" s="379"/>
      <c r="G26" s="331"/>
    </row>
    <row r="27" spans="1:11" ht="15" customHeight="1">
      <c r="A27" s="228"/>
      <c r="B27" s="229"/>
      <c r="C27" s="229"/>
      <c r="D27" s="230"/>
      <c r="E27" s="380"/>
      <c r="F27" s="381"/>
      <c r="G27" s="332"/>
    </row>
    <row r="28" spans="1:11" ht="12.75" customHeight="1">
      <c r="A28" s="226"/>
      <c r="B28" s="227"/>
      <c r="C28" s="227"/>
      <c r="D28" s="209">
        <f>(C28-B28)</f>
        <v>0</v>
      </c>
      <c r="E28" s="378"/>
      <c r="F28" s="379"/>
      <c r="G28" s="331"/>
    </row>
    <row r="29" spans="1:11" ht="15" customHeight="1">
      <c r="A29" s="228"/>
      <c r="B29" s="229"/>
      <c r="C29" s="229"/>
      <c r="D29" s="230"/>
      <c r="E29" s="380"/>
      <c r="F29" s="381"/>
      <c r="G29" s="332"/>
    </row>
    <row r="30" spans="1:11" ht="12.75" customHeight="1">
      <c r="A30" s="231"/>
      <c r="B30" s="232"/>
      <c r="C30" s="232"/>
      <c r="D30" s="233">
        <f>(C30-B30)</f>
        <v>0</v>
      </c>
      <c r="E30" s="386"/>
      <c r="F30" s="387"/>
      <c r="G30" s="331"/>
    </row>
    <row r="31" spans="1:11" ht="15" customHeight="1">
      <c r="A31" s="251"/>
      <c r="B31" s="252"/>
      <c r="C31" s="252"/>
      <c r="D31" s="253"/>
      <c r="E31" s="388"/>
      <c r="F31" s="389"/>
      <c r="G31" s="332"/>
    </row>
    <row r="32" spans="1:11" ht="14.25" customHeight="1"/>
    <row r="33" spans="1:8" ht="24.75" customHeight="1">
      <c r="A33" s="28" t="s">
        <v>31</v>
      </c>
      <c r="B33" s="28"/>
      <c r="C33" s="27"/>
      <c r="D33" s="27"/>
      <c r="E33" s="27"/>
    </row>
    <row r="34" spans="1:8" ht="15.75" customHeight="1">
      <c r="A34" s="5"/>
      <c r="B34" s="15"/>
      <c r="C34" s="16"/>
      <c r="D34" s="17"/>
      <c r="E34" s="18"/>
      <c r="H34" s="29"/>
    </row>
    <row r="35" spans="1:8" ht="13.5" customHeight="1">
      <c r="A35" s="271" t="s">
        <v>160</v>
      </c>
      <c r="B35" s="271"/>
      <c r="C35" s="271"/>
      <c r="D35" s="271"/>
      <c r="E35" s="271"/>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60"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row r="54" spans="1:5" ht="12.6" customHeight="1"/>
    <row r="55" spans="1:5" ht="13.15" customHeight="1"/>
    <row r="56" spans="1:5" ht="12.6" customHeight="1"/>
    <row r="57" spans="1:5" ht="12.6" customHeight="1"/>
    <row r="58" spans="1:5" ht="12.6" customHeight="1"/>
    <row r="59" spans="1:5" ht="12.6" customHeight="1"/>
    <row r="60" spans="1:5" ht="12.6" customHeight="1"/>
    <row r="61" spans="1:5" ht="12.6" customHeight="1"/>
    <row r="62" spans="1:5" ht="12.6" customHeight="1"/>
    <row r="63" spans="1:5" ht="12.6" customHeight="1"/>
    <row r="64" spans="1:5" ht="12.6" customHeight="1"/>
    <row r="65" ht="19.5" customHeight="1"/>
    <row r="66" ht="163.5" customHeight="1"/>
    <row r="67" ht="12.6" customHeight="1"/>
    <row r="68" ht="12.6" customHeight="1"/>
    <row r="69" ht="12.6" customHeight="1"/>
    <row r="70" ht="12.6" customHeight="1"/>
  </sheetData>
  <mergeCells count="27">
    <mergeCell ref="A1:D1"/>
    <mergeCell ref="A4:B5"/>
    <mergeCell ref="C4:D5"/>
    <mergeCell ref="J4:J5"/>
    <mergeCell ref="E10:F11"/>
    <mergeCell ref="G10:G11"/>
    <mergeCell ref="E12:F13"/>
    <mergeCell ref="G12:G13"/>
    <mergeCell ref="E14:F15"/>
    <mergeCell ref="G14:G15"/>
    <mergeCell ref="E16:F17"/>
    <mergeCell ref="G16:G17"/>
    <mergeCell ref="E18:F19"/>
    <mergeCell ref="G18:G19"/>
    <mergeCell ref="E20:F21"/>
    <mergeCell ref="G20:G21"/>
    <mergeCell ref="E22:F23"/>
    <mergeCell ref="G22:G23"/>
    <mergeCell ref="E30:F31"/>
    <mergeCell ref="G30:G31"/>
    <mergeCell ref="A35:E52"/>
    <mergeCell ref="E24:F25"/>
    <mergeCell ref="G24:G25"/>
    <mergeCell ref="E26:F27"/>
    <mergeCell ref="G26:G27"/>
    <mergeCell ref="E28:F29"/>
    <mergeCell ref="G28:G29"/>
  </mergeCells>
  <conditionalFormatting sqref="H20:I21 I19">
    <cfRule type="expression" dxfId="68" priority="33">
      <formula>ISNUMBER(SEARCH(TEXT(#REF!,"ddd"),#REF!))</formula>
    </cfRule>
  </conditionalFormatting>
  <conditionalFormatting sqref="K19:K23">
    <cfRule type="expression" dxfId="67" priority="35">
      <formula>ISNUMBER(SEARCH(TEXT(#REF!,"ddd"),#REF!))</formula>
    </cfRule>
  </conditionalFormatting>
  <conditionalFormatting sqref="A20:D21">
    <cfRule type="expression" dxfId="66" priority="29">
      <formula>ISNUMBER(SEARCH(TEXT(#REF!,"ddd"),#REF!))</formula>
    </cfRule>
  </conditionalFormatting>
  <conditionalFormatting sqref="D12">
    <cfRule type="expression" dxfId="65" priority="28">
      <formula>ISNUMBER(SEARCH(TEXT(#REF!,"ddd"),#REF!))</formula>
    </cfRule>
  </conditionalFormatting>
  <conditionalFormatting sqref="A12:C12">
    <cfRule type="expression" dxfId="64" priority="26">
      <formula>ISNUMBER(SEARCH(TEXT(#REF!,"ddd"),#REF!))</formula>
    </cfRule>
  </conditionalFormatting>
  <conditionalFormatting sqref="A13:D13">
    <cfRule type="expression" dxfId="63" priority="27">
      <formula>ISNUMBER(SEARCH(TEXT(#REF!,"ddd"),#REF!))</formula>
    </cfRule>
  </conditionalFormatting>
  <conditionalFormatting sqref="A10:C10">
    <cfRule type="expression" dxfId="62" priority="23">
      <formula>ISNUMBER(SEARCH(TEXT(#REF!,"ddd"),#REF!))</formula>
    </cfRule>
  </conditionalFormatting>
  <conditionalFormatting sqref="D10">
    <cfRule type="expression" dxfId="61" priority="25">
      <formula>ISNUMBER(SEARCH(TEXT(#REF!,"ddd"),#REF!))</formula>
    </cfRule>
  </conditionalFormatting>
  <conditionalFormatting sqref="A11:D11">
    <cfRule type="expression" dxfId="60" priority="24">
      <formula>ISNUMBER(SEARCH(TEXT(#REF!,"ddd"),#REF!))</formula>
    </cfRule>
  </conditionalFormatting>
  <conditionalFormatting sqref="D24">
    <cfRule type="expression" dxfId="59" priority="18">
      <formula>ISNUMBER(SEARCH(TEXT(#REF!,"ddd"),#REF!))</formula>
    </cfRule>
  </conditionalFormatting>
  <conditionalFormatting sqref="A24:C24">
    <cfRule type="expression" dxfId="58" priority="16">
      <formula>ISNUMBER(SEARCH(TEXT(#REF!,"ddd"),#REF!))</formula>
    </cfRule>
  </conditionalFormatting>
  <conditionalFormatting sqref="A25:D25">
    <cfRule type="expression" dxfId="57" priority="17">
      <formula>ISNUMBER(SEARCH(TEXT(#REF!,"ddd"),#REF!))</formula>
    </cfRule>
  </conditionalFormatting>
  <conditionalFormatting sqref="D26">
    <cfRule type="expression" dxfId="56" priority="15">
      <formula>ISNUMBER(SEARCH(TEXT(#REF!,"ddd"),#REF!))</formula>
    </cfRule>
  </conditionalFormatting>
  <conditionalFormatting sqref="A26:C26">
    <cfRule type="expression" dxfId="55" priority="13">
      <formula>ISNUMBER(SEARCH(TEXT(#REF!,"ddd"),#REF!))</formula>
    </cfRule>
  </conditionalFormatting>
  <conditionalFormatting sqref="A27:D27">
    <cfRule type="expression" dxfId="54" priority="14">
      <formula>ISNUMBER(SEARCH(TEXT(#REF!,"ddd"),#REF!))</formula>
    </cfRule>
  </conditionalFormatting>
  <conditionalFormatting sqref="D28">
    <cfRule type="expression" dxfId="53" priority="12">
      <formula>ISNUMBER(SEARCH(TEXT(#REF!,"ddd"),#REF!))</formula>
    </cfRule>
  </conditionalFormatting>
  <conditionalFormatting sqref="A28:C28">
    <cfRule type="expression" dxfId="52" priority="10">
      <formula>ISNUMBER(SEARCH(TEXT(#REF!,"ddd"),#REF!))</formula>
    </cfRule>
  </conditionalFormatting>
  <conditionalFormatting sqref="A29:D29">
    <cfRule type="expression" dxfId="51" priority="11">
      <formula>ISNUMBER(SEARCH(TEXT(#REF!,"ddd"),#REF!))</formula>
    </cfRule>
  </conditionalFormatting>
  <conditionalFormatting sqref="D30">
    <cfRule type="expression" dxfId="50" priority="9">
      <formula>ISNUMBER(SEARCH(TEXT(#REF!,"ddd"),#REF!))</formula>
    </cfRule>
  </conditionalFormatting>
  <conditionalFormatting sqref="A30:C30">
    <cfRule type="expression" dxfId="49" priority="7">
      <formula>ISNUMBER(SEARCH(TEXT(#REF!,"ddd"),#REF!))</formula>
    </cfRule>
  </conditionalFormatting>
  <conditionalFormatting sqref="A31:D31">
    <cfRule type="expression" dxfId="48" priority="8">
      <formula>ISNUMBER(SEARCH(TEXT(#REF!,"ddd"),#REF!))</formula>
    </cfRule>
  </conditionalFormatting>
  <conditionalFormatting sqref="A14:D15">
    <cfRule type="expression" dxfId="47" priority="6">
      <formula>ISNUMBER(SEARCH(TEXT(#REF!,"ddd"),#REF!))</formula>
    </cfRule>
  </conditionalFormatting>
  <conditionalFormatting sqref="A16:D17">
    <cfRule type="expression" dxfId="46" priority="5">
      <formula>ISNUMBER(SEARCH(TEXT(#REF!,"ddd"),#REF!))</formula>
    </cfRule>
  </conditionalFormatting>
  <conditionalFormatting sqref="D18">
    <cfRule type="expression" dxfId="45" priority="4">
      <formula>ISNUMBER(SEARCH(TEXT(#REF!,"ddd"),#REF!))</formula>
    </cfRule>
  </conditionalFormatting>
  <conditionalFormatting sqref="A18:C18">
    <cfRule type="expression" dxfId="44" priority="2">
      <formula>ISNUMBER(SEARCH(TEXT(#REF!,"ddd"),#REF!))</formula>
    </cfRule>
  </conditionalFormatting>
  <conditionalFormatting sqref="A19:D19">
    <cfRule type="expression" dxfId="43" priority="3">
      <formula>ISNUMBER(SEARCH(TEXT(#REF!,"ddd"),#REF!))</formula>
    </cfRule>
  </conditionalFormatting>
  <conditionalFormatting sqref="A22:D23">
    <cfRule type="expression" dxfId="42" priority="1">
      <formula>ISNUMBER(SEARCH(TEXT(#REF!,"ddd"),#REF!))</formula>
    </cfRule>
  </conditionalFormatting>
  <dataValidations count="2">
    <dataValidation type="custom" allowBlank="1" showInputMessage="1" showErrorMessage="1" sqref="C18:C20 C10:C14 C16 B10:B31 C24:C31 C22" xr:uid="{AEAF9D22-8C92-465D-BF39-BD3C9FDAE8BE}">
      <formula1>AND($B10&lt;=1,ISNUMBER($B10))</formula1>
    </dataValidation>
    <dataValidation type="custom" allowBlank="1" showInputMessage="1" showErrorMessage="1" sqref="C21 C17 C15 C23" xr:uid="{CB7E520F-86B8-42AA-9774-A6F4CA090658}">
      <formula1>AND($C15&lt;=1,ISNUMBER($C15),($C15&gt;=$B15))</formula1>
    </dataValidation>
  </dataValidations>
  <pageMargins left="0.25" right="0.25" top="0.75" bottom="0.75" header="0.3" footer="0.3"/>
  <pageSetup paperSize="9" scale="65" orientation="portrait" horizontalDpi="4294967293" verticalDpi="429496729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031AC6-38CB-481A-B0E8-AD8A295064AF}">
  <sheetPr codeName="Sheet21">
    <tabColor rgb="FFE7E6E6"/>
  </sheetPr>
  <dimension ref="A1:K70"/>
  <sheetViews>
    <sheetView showGridLines="0" zoomScale="96" zoomScaleNormal="100" workbookViewId="0">
      <selection activeCell="A6" sqref="A6"/>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19</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43955</v>
      </c>
      <c r="B3" s="234"/>
      <c r="C3" s="101">
        <f>MAXA(A10:A67)</f>
        <v>43961</v>
      </c>
      <c r="D3" s="234"/>
      <c r="E3" s="72" t="s">
        <v>7</v>
      </c>
      <c r="F3" s="32">
        <f>Sumcolor(E3,D10:D21)</f>
        <v>0</v>
      </c>
      <c r="G3" s="223">
        <f>SUM(Først:Sist!F3, 'Uke5'!I2)</f>
        <v>0.60416666666666663</v>
      </c>
      <c r="H3" s="22"/>
      <c r="I3" s="7"/>
      <c r="J3" s="7"/>
    </row>
    <row r="4" spans="1:10" ht="15" customHeight="1">
      <c r="A4" s="271" t="s">
        <v>17</v>
      </c>
      <c r="B4" s="271"/>
      <c r="C4" s="280" t="s">
        <v>18</v>
      </c>
      <c r="D4" s="280"/>
      <c r="E4" s="73" t="s">
        <v>10</v>
      </c>
      <c r="F4" s="32">
        <f>Sumcolor(E4,D10:D309)</f>
        <v>0.70486111111111127</v>
      </c>
      <c r="G4" s="223">
        <f>SUM(Først:Sist!F4, 'Uke5'!I3)</f>
        <v>1.8784722222222223</v>
      </c>
      <c r="H4" s="22"/>
      <c r="I4" s="7"/>
      <c r="J4" s="269"/>
    </row>
    <row r="5" spans="1:10" ht="15.75">
      <c r="A5" s="280"/>
      <c r="B5" s="280"/>
      <c r="C5" s="280"/>
      <c r="D5" s="280"/>
      <c r="E5" s="191" t="s">
        <v>11</v>
      </c>
      <c r="F5" s="32">
        <f>Sumcolor(E5,D10:D21)</f>
        <v>4.1666666666666519E-2</v>
      </c>
      <c r="G5" s="223">
        <f>SUM(Først:Sist!F5, 'Uke5'!I4)</f>
        <v>1.020833333333333</v>
      </c>
      <c r="H5" s="22"/>
      <c r="I5" s="7"/>
      <c r="J5" s="269"/>
    </row>
    <row r="6" spans="1:10" ht="18.75" customHeight="1">
      <c r="A6" s="36">
        <f>SUM(D10:D30)</f>
        <v>0.76388888888888884</v>
      </c>
      <c r="B6" s="37"/>
      <c r="C6" s="82">
        <f>SUM(Først:Sist!A6, 'Uke5'!C5)</f>
        <v>4.4131944444444446</v>
      </c>
      <c r="D6" s="38"/>
      <c r="E6" s="75" t="s">
        <v>19</v>
      </c>
      <c r="F6" s="34">
        <f>Sumcolor(E6,D10:D22)</f>
        <v>0</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192">
        <v>43955</v>
      </c>
      <c r="B10" s="193">
        <v>0.58333333333333337</v>
      </c>
      <c r="C10" s="193">
        <v>0.60416666666666663</v>
      </c>
      <c r="D10" s="181">
        <f>(C10-B10)</f>
        <v>2.0833333333333259E-2</v>
      </c>
      <c r="E10" s="374" t="s">
        <v>157</v>
      </c>
      <c r="F10" s="375"/>
      <c r="G10" s="331"/>
      <c r="H10" s="25"/>
    </row>
    <row r="11" spans="1:10" ht="15">
      <c r="A11" s="194"/>
      <c r="B11" s="195"/>
      <c r="C11" s="195"/>
      <c r="D11" s="196"/>
      <c r="E11" s="376"/>
      <c r="F11" s="377"/>
      <c r="G11" s="332"/>
      <c r="H11" s="25"/>
    </row>
    <row r="12" spans="1:10" ht="14.25" customHeight="1">
      <c r="A12" s="213">
        <v>43955</v>
      </c>
      <c r="B12" s="214">
        <v>0.64583333333333337</v>
      </c>
      <c r="C12" s="214">
        <v>0.69791666666666663</v>
      </c>
      <c r="D12" s="215">
        <f>(C12-B12)</f>
        <v>5.2083333333333259E-2</v>
      </c>
      <c r="E12" s="378" t="s">
        <v>161</v>
      </c>
      <c r="F12" s="379"/>
      <c r="G12" s="393" t="s">
        <v>162</v>
      </c>
    </row>
    <row r="13" spans="1:10" ht="16.5" customHeight="1">
      <c r="A13" s="216"/>
      <c r="B13" s="217"/>
      <c r="C13" s="217"/>
      <c r="D13" s="218"/>
      <c r="E13" s="380"/>
      <c r="F13" s="381"/>
      <c r="G13" s="394"/>
    </row>
    <row r="14" spans="1:10" ht="15" customHeight="1">
      <c r="A14" s="213">
        <v>43955</v>
      </c>
      <c r="B14" s="214">
        <v>0.72916666666666663</v>
      </c>
      <c r="C14" s="214">
        <v>0.79166666666666663</v>
      </c>
      <c r="D14" s="215">
        <f>(C14-B14)</f>
        <v>6.25E-2</v>
      </c>
      <c r="E14" s="378" t="s">
        <v>163</v>
      </c>
      <c r="F14" s="379"/>
      <c r="G14" s="357" t="s">
        <v>134</v>
      </c>
    </row>
    <row r="15" spans="1:10" ht="15">
      <c r="A15" s="216"/>
      <c r="B15" s="217"/>
      <c r="C15" s="217"/>
      <c r="D15" s="218"/>
      <c r="E15" s="380"/>
      <c r="F15" s="381"/>
      <c r="G15" s="358"/>
    </row>
    <row r="16" spans="1:10" ht="14.45" customHeight="1">
      <c r="A16" s="192">
        <v>43957</v>
      </c>
      <c r="B16" s="193">
        <v>0.58333333333333337</v>
      </c>
      <c r="C16" s="193">
        <v>0.60416666666666663</v>
      </c>
      <c r="D16" s="181">
        <f>(C16-B16)</f>
        <v>2.0833333333333259E-2</v>
      </c>
      <c r="E16" s="374" t="s">
        <v>157</v>
      </c>
      <c r="F16" s="375"/>
      <c r="G16" s="393"/>
    </row>
    <row r="17" spans="1:11" ht="15">
      <c r="A17" s="194"/>
      <c r="B17" s="195"/>
      <c r="C17" s="195"/>
      <c r="D17" s="196"/>
      <c r="E17" s="376"/>
      <c r="F17" s="377"/>
      <c r="G17" s="394"/>
    </row>
    <row r="18" spans="1:11" ht="14.45" customHeight="1">
      <c r="A18" s="225">
        <v>43957</v>
      </c>
      <c r="B18" s="215">
        <v>0.76388888888888884</v>
      </c>
      <c r="C18" s="215">
        <v>0.85416666666666663</v>
      </c>
      <c r="D18" s="215">
        <f>(C18-B18)</f>
        <v>9.027777777777779E-2</v>
      </c>
      <c r="E18" s="378" t="s">
        <v>164</v>
      </c>
      <c r="F18" s="379"/>
      <c r="G18" s="393" t="s">
        <v>134</v>
      </c>
    </row>
    <row r="19" spans="1:11" ht="15">
      <c r="A19" s="216"/>
      <c r="B19" s="217"/>
      <c r="C19" s="217"/>
      <c r="D19" s="218"/>
      <c r="E19" s="380"/>
      <c r="F19" s="381"/>
      <c r="G19" s="394"/>
      <c r="I19" s="8"/>
      <c r="K19" s="8"/>
    </row>
    <row r="20" spans="1:11" ht="17.25" customHeight="1">
      <c r="A20" s="225">
        <v>43958</v>
      </c>
      <c r="B20" s="215">
        <v>0.66666666666666663</v>
      </c>
      <c r="C20" s="215">
        <v>0.83333333333333337</v>
      </c>
      <c r="D20" s="215">
        <f>(C20-B20)</f>
        <v>0.16666666666666674</v>
      </c>
      <c r="E20" s="378" t="s">
        <v>165</v>
      </c>
      <c r="F20" s="379"/>
      <c r="G20" s="393" t="s">
        <v>166</v>
      </c>
      <c r="H20" s="8"/>
      <c r="I20" s="8"/>
      <c r="K20" s="8"/>
    </row>
    <row r="21" spans="1:11" ht="12.75" customHeight="1">
      <c r="A21" s="216"/>
      <c r="B21" s="217"/>
      <c r="C21" s="217"/>
      <c r="D21" s="218"/>
      <c r="E21" s="380"/>
      <c r="F21" s="381"/>
      <c r="G21" s="394"/>
      <c r="H21" s="8"/>
      <c r="I21" s="8"/>
      <c r="K21" s="8"/>
    </row>
    <row r="22" spans="1:11" ht="14.45" customHeight="1">
      <c r="A22" s="225">
        <v>43959</v>
      </c>
      <c r="B22" s="215">
        <v>0.70833333333333337</v>
      </c>
      <c r="C22" s="215">
        <v>0.83333333333333337</v>
      </c>
      <c r="D22" s="215">
        <f>(C22-B22)</f>
        <v>0.125</v>
      </c>
      <c r="E22" s="378" t="s">
        <v>167</v>
      </c>
      <c r="F22" s="379"/>
      <c r="G22" s="393" t="s">
        <v>166</v>
      </c>
      <c r="H22" s="9"/>
      <c r="I22" s="9"/>
      <c r="K22" s="8"/>
    </row>
    <row r="23" spans="1:11" ht="16.5" customHeight="1">
      <c r="A23" s="216"/>
      <c r="B23" s="217"/>
      <c r="C23" s="217"/>
      <c r="D23" s="218"/>
      <c r="E23" s="380"/>
      <c r="F23" s="381"/>
      <c r="G23" s="394"/>
      <c r="H23" s="10"/>
      <c r="I23" s="10"/>
      <c r="K23" s="8"/>
    </row>
    <row r="24" spans="1:11" ht="12.75" customHeight="1">
      <c r="A24" s="192">
        <v>43960</v>
      </c>
      <c r="B24" s="193">
        <v>0.75</v>
      </c>
      <c r="C24" s="193">
        <v>0.83333333333333337</v>
      </c>
      <c r="D24" s="181">
        <f>(C24-B24)</f>
        <v>8.333333333333337E-2</v>
      </c>
      <c r="E24" s="374" t="s">
        <v>168</v>
      </c>
      <c r="F24" s="375"/>
      <c r="G24" s="331"/>
    </row>
    <row r="25" spans="1:11" ht="16.899999999999999" customHeight="1">
      <c r="A25" s="194"/>
      <c r="B25" s="195"/>
      <c r="C25" s="195"/>
      <c r="D25" s="196"/>
      <c r="E25" s="376"/>
      <c r="F25" s="377"/>
      <c r="G25" s="332"/>
    </row>
    <row r="26" spans="1:11" ht="12.75" customHeight="1">
      <c r="A26" s="192">
        <v>43961</v>
      </c>
      <c r="B26" s="193">
        <v>0.58333333333333337</v>
      </c>
      <c r="C26" s="193">
        <v>0.59722222222222221</v>
      </c>
      <c r="D26" s="181">
        <f>(C26-B26)</f>
        <v>1.388888888888884E-2</v>
      </c>
      <c r="E26" s="374" t="s">
        <v>157</v>
      </c>
      <c r="F26" s="375"/>
      <c r="G26" s="331"/>
    </row>
    <row r="27" spans="1:11" ht="15" customHeight="1">
      <c r="A27" s="194"/>
      <c r="B27" s="195"/>
      <c r="C27" s="195"/>
      <c r="D27" s="196"/>
      <c r="E27" s="376"/>
      <c r="F27" s="377"/>
      <c r="G27" s="332"/>
    </row>
    <row r="28" spans="1:11" ht="12.75" customHeight="1">
      <c r="A28" s="226">
        <v>43961</v>
      </c>
      <c r="B28" s="227">
        <v>0.60416666666666663</v>
      </c>
      <c r="C28" s="227">
        <v>0.70833333333333337</v>
      </c>
      <c r="D28" s="209">
        <f>(C28-B28)</f>
        <v>0.10416666666666674</v>
      </c>
      <c r="E28" s="378" t="s">
        <v>167</v>
      </c>
      <c r="F28" s="379"/>
      <c r="G28" s="331" t="s">
        <v>166</v>
      </c>
    </row>
    <row r="29" spans="1:11" ht="15" customHeight="1">
      <c r="A29" s="228"/>
      <c r="B29" s="229"/>
      <c r="C29" s="229"/>
      <c r="D29" s="230"/>
      <c r="E29" s="380"/>
      <c r="F29" s="381"/>
      <c r="G29" s="332"/>
    </row>
    <row r="30" spans="1:11" ht="12.75" customHeight="1">
      <c r="A30" s="231">
        <v>43961</v>
      </c>
      <c r="B30" s="232">
        <v>0.76041666666666663</v>
      </c>
      <c r="C30" s="232">
        <v>0.78472222222222221</v>
      </c>
      <c r="D30" s="233">
        <f>(C30-B30)</f>
        <v>2.430555555555558E-2</v>
      </c>
      <c r="E30" s="386" t="s">
        <v>169</v>
      </c>
      <c r="F30" s="387"/>
      <c r="G30" s="331" t="s">
        <v>166</v>
      </c>
    </row>
    <row r="31" spans="1:11" ht="15" customHeight="1">
      <c r="A31" s="251"/>
      <c r="B31" s="252"/>
      <c r="C31" s="252"/>
      <c r="D31" s="253"/>
      <c r="E31" s="388"/>
      <c r="F31" s="389"/>
      <c r="G31" s="332"/>
    </row>
    <row r="32" spans="1:11" ht="14.25" customHeight="1">
      <c r="A32" s="231">
        <v>43961</v>
      </c>
      <c r="B32" s="232">
        <v>0.78472222222222221</v>
      </c>
      <c r="C32" s="232">
        <v>0.86458333333333337</v>
      </c>
      <c r="D32" s="233">
        <f>(C32-B32)</f>
        <v>7.986111111111116E-2</v>
      </c>
      <c r="E32" s="386" t="s">
        <v>170</v>
      </c>
      <c r="F32" s="387"/>
      <c r="G32" s="331"/>
    </row>
    <row r="33" spans="1:8" ht="13.5" customHeight="1">
      <c r="A33" s="251"/>
      <c r="B33" s="252"/>
      <c r="C33" s="252"/>
      <c r="D33" s="253"/>
      <c r="E33" s="388"/>
      <c r="F33" s="389"/>
      <c r="G33" s="332"/>
    </row>
    <row r="34" spans="1:8" ht="15.75" customHeight="1">
      <c r="H34" s="29"/>
    </row>
    <row r="35" spans="1:8" ht="13.5" customHeight="1">
      <c r="A35" s="28" t="s">
        <v>31</v>
      </c>
      <c r="B35" s="28"/>
      <c r="C35" s="27"/>
      <c r="D35" s="27"/>
      <c r="E35" s="27"/>
    </row>
    <row r="36" spans="1:8" ht="14.45" customHeight="1">
      <c r="A36" s="5"/>
      <c r="B36" s="15"/>
      <c r="C36" s="16"/>
      <c r="D36" s="17"/>
      <c r="E36" s="18"/>
    </row>
    <row r="37" spans="1:8" ht="14.45" customHeight="1">
      <c r="A37" s="271" t="s">
        <v>171</v>
      </c>
      <c r="B37" s="271"/>
      <c r="C37" s="271"/>
      <c r="D37" s="271"/>
      <c r="E37" s="271"/>
    </row>
    <row r="38" spans="1:8" ht="14.45" customHeight="1">
      <c r="A38" s="274"/>
      <c r="B38" s="274"/>
      <c r="C38" s="274"/>
      <c r="D38" s="274"/>
      <c r="E38" s="274"/>
    </row>
    <row r="39" spans="1:8" ht="14.45" customHeight="1">
      <c r="A39" s="274"/>
      <c r="B39" s="274"/>
      <c r="C39" s="274"/>
      <c r="D39" s="274"/>
      <c r="E39" s="274"/>
    </row>
    <row r="40" spans="1:8" ht="16.5" customHeight="1">
      <c r="A40" s="274"/>
      <c r="B40" s="274"/>
      <c r="C40" s="274"/>
      <c r="D40" s="274"/>
      <c r="E40" s="274"/>
    </row>
    <row r="41" spans="1:8" ht="9.75" customHeight="1">
      <c r="A41" s="274"/>
      <c r="B41" s="274"/>
      <c r="C41" s="274"/>
      <c r="D41" s="274"/>
      <c r="E41" s="274"/>
    </row>
    <row r="42" spans="1:8" ht="15" customHeight="1">
      <c r="A42" s="274"/>
      <c r="B42" s="274"/>
      <c r="C42" s="274"/>
      <c r="D42" s="274"/>
      <c r="E42" s="274"/>
    </row>
    <row r="43" spans="1:8" ht="12.6" customHeight="1">
      <c r="A43" s="274"/>
      <c r="B43" s="274"/>
      <c r="C43" s="274"/>
      <c r="D43" s="274"/>
      <c r="E43" s="274"/>
    </row>
    <row r="44" spans="1:8" ht="60" customHeight="1">
      <c r="A44" s="274"/>
      <c r="B44" s="274"/>
      <c r="C44" s="274"/>
      <c r="D44" s="274"/>
      <c r="E44" s="274"/>
    </row>
    <row r="45" spans="1:8" ht="0.6" customHeight="1">
      <c r="A45" s="274"/>
      <c r="B45" s="274"/>
      <c r="C45" s="274"/>
      <c r="D45" s="274"/>
      <c r="E45" s="274"/>
    </row>
    <row r="46" spans="1:8" ht="21" customHeight="1">
      <c r="A46" s="274"/>
      <c r="B46" s="274"/>
      <c r="C46" s="274"/>
      <c r="D46" s="274"/>
      <c r="E46" s="274"/>
    </row>
    <row r="47" spans="1:8" ht="18" customHeight="1">
      <c r="A47" s="274"/>
      <c r="B47" s="274"/>
      <c r="C47" s="274"/>
      <c r="D47" s="274"/>
      <c r="E47" s="274"/>
    </row>
    <row r="48" spans="1:8" ht="12.6" customHeight="1">
      <c r="A48" s="274"/>
      <c r="B48" s="274"/>
      <c r="C48" s="274"/>
      <c r="D48" s="274"/>
      <c r="E48" s="274"/>
    </row>
    <row r="49" spans="1:5" ht="12.6" customHeight="1">
      <c r="A49" s="274"/>
      <c r="B49" s="274"/>
      <c r="C49" s="274"/>
      <c r="D49" s="274"/>
      <c r="E49" s="274"/>
    </row>
    <row r="50" spans="1:5" ht="12.6" customHeight="1">
      <c r="A50" s="274"/>
      <c r="B50" s="274"/>
      <c r="C50" s="274"/>
      <c r="D50" s="274"/>
      <c r="E50" s="274"/>
    </row>
    <row r="51" spans="1:5" ht="12.6" customHeight="1">
      <c r="A51" s="274"/>
      <c r="B51" s="274"/>
      <c r="C51" s="274"/>
      <c r="D51" s="274"/>
      <c r="E51" s="274"/>
    </row>
    <row r="52" spans="1:5" ht="12.6" customHeight="1">
      <c r="A52" s="274"/>
      <c r="B52" s="274"/>
      <c r="C52" s="274"/>
      <c r="D52" s="274"/>
      <c r="E52" s="274"/>
    </row>
    <row r="53" spans="1:5" ht="12.6" customHeight="1">
      <c r="A53" s="274"/>
      <c r="B53" s="274"/>
      <c r="C53" s="274"/>
      <c r="D53" s="274"/>
      <c r="E53" s="274"/>
    </row>
    <row r="54" spans="1:5" ht="12.6" customHeight="1">
      <c r="A54" s="274"/>
      <c r="B54" s="274"/>
      <c r="C54" s="274"/>
      <c r="D54" s="274"/>
      <c r="E54" s="274"/>
    </row>
    <row r="55" spans="1:5" ht="13.15" customHeight="1"/>
    <row r="56" spans="1:5" ht="12.6" customHeight="1"/>
    <row r="57" spans="1:5" ht="12.6" customHeight="1"/>
    <row r="58" spans="1:5" ht="12.6" customHeight="1"/>
    <row r="59" spans="1:5" ht="12.6" customHeight="1"/>
    <row r="60" spans="1:5" ht="12.6" customHeight="1"/>
    <row r="61" spans="1:5" ht="12.6" customHeight="1"/>
    <row r="62" spans="1:5" ht="12.6" customHeight="1"/>
    <row r="63" spans="1:5" ht="12.6" customHeight="1"/>
    <row r="64" spans="1:5" ht="12.6" customHeight="1"/>
    <row r="65" ht="19.5" customHeight="1"/>
    <row r="66" ht="163.5" customHeight="1"/>
    <row r="67" ht="12.6" customHeight="1"/>
    <row r="68" ht="12.6" customHeight="1"/>
    <row r="69" ht="12.6" customHeight="1"/>
    <row r="70" ht="12.6" customHeight="1"/>
  </sheetData>
  <mergeCells count="29">
    <mergeCell ref="E30:F31"/>
    <mergeCell ref="G30:G31"/>
    <mergeCell ref="A37:E54"/>
    <mergeCell ref="E24:F25"/>
    <mergeCell ref="G24:G25"/>
    <mergeCell ref="E26:F27"/>
    <mergeCell ref="G26:G27"/>
    <mergeCell ref="E28:F29"/>
    <mergeCell ref="G28:G29"/>
    <mergeCell ref="E32:F33"/>
    <mergeCell ref="G32:G33"/>
    <mergeCell ref="E18:F19"/>
    <mergeCell ref="G18:G19"/>
    <mergeCell ref="E20:F21"/>
    <mergeCell ref="G20:G21"/>
    <mergeCell ref="E22:F23"/>
    <mergeCell ref="G22:G23"/>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41" priority="40">
      <formula>ISNUMBER(SEARCH(TEXT(#REF!,"ddd"),#REF!))</formula>
    </cfRule>
  </conditionalFormatting>
  <conditionalFormatting sqref="K19:K23">
    <cfRule type="expression" dxfId="40" priority="41">
      <formula>ISNUMBER(SEARCH(TEXT(#REF!,"ddd"),#REF!))</formula>
    </cfRule>
  </conditionalFormatting>
  <conditionalFormatting sqref="A20:D21">
    <cfRule type="expression" dxfId="39" priority="39">
      <formula>ISNUMBER(SEARCH(TEXT(#REF!,"ddd"),#REF!))</formula>
    </cfRule>
  </conditionalFormatting>
  <conditionalFormatting sqref="A10:C10">
    <cfRule type="expression" dxfId="38" priority="33">
      <formula>ISNUMBER(SEARCH(TEXT(#REF!,"ddd"),#REF!))</formula>
    </cfRule>
  </conditionalFormatting>
  <conditionalFormatting sqref="D10">
    <cfRule type="expression" dxfId="37" priority="35">
      <formula>ISNUMBER(SEARCH(TEXT(#REF!,"ddd"),#REF!))</formula>
    </cfRule>
  </conditionalFormatting>
  <conditionalFormatting sqref="A11:D11">
    <cfRule type="expression" dxfId="36" priority="34">
      <formula>ISNUMBER(SEARCH(TEXT(#REF!,"ddd"),#REF!))</formula>
    </cfRule>
  </conditionalFormatting>
  <conditionalFormatting sqref="D28">
    <cfRule type="expression" dxfId="35" priority="26">
      <formula>ISNUMBER(SEARCH(TEXT(#REF!,"ddd"),#REF!))</formula>
    </cfRule>
  </conditionalFormatting>
  <conditionalFormatting sqref="A28:C28">
    <cfRule type="expression" dxfId="34" priority="24">
      <formula>ISNUMBER(SEARCH(TEXT(#REF!,"ddd"),#REF!))</formula>
    </cfRule>
  </conditionalFormatting>
  <conditionalFormatting sqref="A29:D29">
    <cfRule type="expression" dxfId="33" priority="25">
      <formula>ISNUMBER(SEARCH(TEXT(#REF!,"ddd"),#REF!))</formula>
    </cfRule>
  </conditionalFormatting>
  <conditionalFormatting sqref="D30">
    <cfRule type="expression" dxfId="32" priority="23">
      <formula>ISNUMBER(SEARCH(TEXT(#REF!,"ddd"),#REF!))</formula>
    </cfRule>
  </conditionalFormatting>
  <conditionalFormatting sqref="A30:C30">
    <cfRule type="expression" dxfId="31" priority="21">
      <formula>ISNUMBER(SEARCH(TEXT(#REF!,"ddd"),#REF!))</formula>
    </cfRule>
  </conditionalFormatting>
  <conditionalFormatting sqref="A31:D31">
    <cfRule type="expression" dxfId="30" priority="22">
      <formula>ISNUMBER(SEARCH(TEXT(#REF!,"ddd"),#REF!))</formula>
    </cfRule>
  </conditionalFormatting>
  <conditionalFormatting sqref="A14:D15">
    <cfRule type="expression" dxfId="29" priority="20">
      <formula>ISNUMBER(SEARCH(TEXT(#REF!,"ddd"),#REF!))</formula>
    </cfRule>
  </conditionalFormatting>
  <conditionalFormatting sqref="A22:D23">
    <cfRule type="expression" dxfId="28" priority="15">
      <formula>ISNUMBER(SEARCH(TEXT(#REF!,"ddd"),#REF!))</formula>
    </cfRule>
  </conditionalFormatting>
  <conditionalFormatting sqref="A12:D13">
    <cfRule type="expression" dxfId="27" priority="14">
      <formula>ISNUMBER(SEARCH(TEXT(#REF!,"ddd"),#REF!))</formula>
    </cfRule>
  </conditionalFormatting>
  <conditionalFormatting sqref="D16">
    <cfRule type="expression" dxfId="26" priority="13">
      <formula>ISNUMBER(SEARCH(TEXT(#REF!,"ddd"),#REF!))</formula>
    </cfRule>
  </conditionalFormatting>
  <conditionalFormatting sqref="A16:C16">
    <cfRule type="expression" dxfId="25" priority="11">
      <formula>ISNUMBER(SEARCH(TEXT(#REF!,"ddd"),#REF!))</formula>
    </cfRule>
  </conditionalFormatting>
  <conditionalFormatting sqref="A17:D17">
    <cfRule type="expression" dxfId="24" priority="12">
      <formula>ISNUMBER(SEARCH(TEXT(#REF!,"ddd"),#REF!))</formula>
    </cfRule>
  </conditionalFormatting>
  <conditionalFormatting sqref="A18:D19">
    <cfRule type="expression" dxfId="23" priority="10">
      <formula>ISNUMBER(SEARCH(TEXT(#REF!,"ddd"),#REF!))</formula>
    </cfRule>
  </conditionalFormatting>
  <conditionalFormatting sqref="D24">
    <cfRule type="expression" dxfId="22" priority="9">
      <formula>ISNUMBER(SEARCH(TEXT(#REF!,"ddd"),#REF!))</formula>
    </cfRule>
  </conditionalFormatting>
  <conditionalFormatting sqref="A24:C24">
    <cfRule type="expression" dxfId="21" priority="7">
      <formula>ISNUMBER(SEARCH(TEXT(#REF!,"ddd"),#REF!))</formula>
    </cfRule>
  </conditionalFormatting>
  <conditionalFormatting sqref="A25:D25">
    <cfRule type="expression" dxfId="20" priority="8">
      <formula>ISNUMBER(SEARCH(TEXT(#REF!,"ddd"),#REF!))</formula>
    </cfRule>
  </conditionalFormatting>
  <conditionalFormatting sqref="D26">
    <cfRule type="expression" dxfId="19" priority="6">
      <formula>ISNUMBER(SEARCH(TEXT(#REF!,"ddd"),#REF!))</formula>
    </cfRule>
  </conditionalFormatting>
  <conditionalFormatting sqref="A26:C26">
    <cfRule type="expression" dxfId="18" priority="4">
      <formula>ISNUMBER(SEARCH(TEXT(#REF!,"ddd"),#REF!))</formula>
    </cfRule>
  </conditionalFormatting>
  <conditionalFormatting sqref="A27:D27">
    <cfRule type="expression" dxfId="17" priority="5">
      <formula>ISNUMBER(SEARCH(TEXT(#REF!,"ddd"),#REF!))</formula>
    </cfRule>
  </conditionalFormatting>
  <conditionalFormatting sqref="D32">
    <cfRule type="expression" dxfId="16" priority="3">
      <formula>ISNUMBER(SEARCH(TEXT(#REF!,"ddd"),#REF!))</formula>
    </cfRule>
  </conditionalFormatting>
  <conditionalFormatting sqref="A32:C32">
    <cfRule type="expression" dxfId="15" priority="1">
      <formula>ISNUMBER(SEARCH(TEXT(#REF!,"ddd"),#REF!))</formula>
    </cfRule>
  </conditionalFormatting>
  <conditionalFormatting sqref="A33:D33">
    <cfRule type="expression" dxfId="14" priority="2">
      <formula>ISNUMBER(SEARCH(TEXT(#REF!,"ddd"),#REF!))</formula>
    </cfRule>
  </conditionalFormatting>
  <dataValidations count="2">
    <dataValidation type="custom" allowBlank="1" showInputMessage="1" showErrorMessage="1" sqref="C21 C13 C15 C23 C19" xr:uid="{8728D584-3333-4A1E-B0E9-009361914AE8}">
      <formula1>AND($C13&lt;=1,ISNUMBER($C13),($C13&gt;=$B13))</formula1>
    </dataValidation>
    <dataValidation type="custom" allowBlank="1" showInputMessage="1" showErrorMessage="1" sqref="C22 C14 C10:C12 C20 C16:C18 B10:B23 B24:C33" xr:uid="{173EEF75-C846-464D-A3E0-0C88B7747483}">
      <formula1>AND($B10&lt;=1,ISNUMBER($B10))</formula1>
    </dataValidation>
  </dataValidations>
  <pageMargins left="0.25" right="0.25" top="0.75" bottom="0.75" header="0.3" footer="0.3"/>
  <pageSetup paperSize="9" scale="65" orientation="portrait" horizontalDpi="4294967293" verticalDpi="429496729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16666-FC49-4883-A0CE-563B3654040B}">
  <sheetPr codeName="Sheet22">
    <tabColor rgb="FFE7E6E6"/>
  </sheetPr>
  <dimension ref="A1:K70"/>
  <sheetViews>
    <sheetView showGridLines="0" tabSelected="1" zoomScale="96" zoomScaleNormal="100" workbookViewId="0">
      <selection activeCell="G5" sqref="G5"/>
    </sheetView>
  </sheetViews>
  <sheetFormatPr baseColWidth="10" defaultColWidth="9" defaultRowHeight="12.75"/>
  <cols>
    <col min="1" max="1" width="13.5" bestFit="1" customWidth="1"/>
    <col min="2" max="2" width="14.25" customWidth="1"/>
    <col min="3" max="3" width="13.125" bestFit="1" customWidth="1"/>
    <col min="4" max="4" width="13.5" customWidth="1"/>
    <col min="5" max="5" width="33" customWidth="1"/>
    <col min="6" max="7" width="18" bestFit="1" customWidth="1"/>
    <col min="8" max="8" width="24.25" bestFit="1" customWidth="1"/>
    <col min="9" max="9" width="11.625" customWidth="1"/>
    <col min="10" max="10" width="22.125" customWidth="1"/>
    <col min="11" max="11" width="12.375" customWidth="1"/>
    <col min="12" max="12" width="17.875" bestFit="1" customWidth="1"/>
    <col min="13" max="13" width="19.25" bestFit="1" customWidth="1"/>
  </cols>
  <sheetData>
    <row r="1" spans="1:10" ht="26.25">
      <c r="A1" s="279" t="s">
        <v>13</v>
      </c>
      <c r="B1" s="279"/>
      <c r="C1" s="279"/>
      <c r="D1" s="279"/>
      <c r="E1" s="41">
        <f>WEEKNUM(A10)</f>
        <v>20</v>
      </c>
      <c r="F1" s="42"/>
      <c r="G1" s="43"/>
      <c r="H1" s="26"/>
      <c r="J1" s="1"/>
    </row>
    <row r="2" spans="1:10" s="1" customFormat="1" ht="14.25" customHeight="1">
      <c r="A2" s="35" t="s">
        <v>0</v>
      </c>
      <c r="B2" s="35"/>
      <c r="C2" s="35" t="s">
        <v>14</v>
      </c>
      <c r="D2" s="35"/>
      <c r="E2" s="71" t="s">
        <v>2</v>
      </c>
      <c r="F2" s="40" t="s">
        <v>15</v>
      </c>
      <c r="G2" s="40" t="s">
        <v>16</v>
      </c>
      <c r="H2" s="20"/>
      <c r="I2" s="13"/>
      <c r="J2" s="6"/>
    </row>
    <row r="3" spans="1:10" ht="15.75">
      <c r="A3" s="101">
        <f>A10</f>
        <v>43963</v>
      </c>
      <c r="B3" s="234"/>
      <c r="C3" s="101">
        <f>MAXA(A10:A51)</f>
        <v>43968</v>
      </c>
      <c r="D3" s="234"/>
      <c r="E3" s="72" t="s">
        <v>7</v>
      </c>
      <c r="F3" s="32">
        <f>Sumcolor(E3,D10:D17)</f>
        <v>0</v>
      </c>
      <c r="G3" s="223">
        <f>SUM(Først:Sist!F3, 'Uke5'!I2)</f>
        <v>0.60416666666666663</v>
      </c>
      <c r="H3" s="22"/>
      <c r="I3" s="7"/>
      <c r="J3" s="7"/>
    </row>
    <row r="4" spans="1:10" ht="15" customHeight="1">
      <c r="A4" s="271" t="s">
        <v>17</v>
      </c>
      <c r="B4" s="271"/>
      <c r="C4" s="280" t="s">
        <v>18</v>
      </c>
      <c r="D4" s="280"/>
      <c r="E4" s="73" t="s">
        <v>10</v>
      </c>
      <c r="F4" s="32">
        <f>Sumcolor(E4,D10:D293)</f>
        <v>0</v>
      </c>
      <c r="G4" s="223">
        <f>SUM(Først:Sist!F4, 'Uke5'!I3)</f>
        <v>1.8784722222222223</v>
      </c>
      <c r="H4" s="22"/>
      <c r="I4" s="7"/>
      <c r="J4" s="269"/>
    </row>
    <row r="5" spans="1:10" ht="15.75">
      <c r="A5" s="280"/>
      <c r="B5" s="280"/>
      <c r="C5" s="280"/>
      <c r="D5" s="280"/>
      <c r="E5" s="191" t="s">
        <v>11</v>
      </c>
      <c r="F5" s="32">
        <f>Sumcolor(E5,D10:D17)</f>
        <v>0.18750000000000011</v>
      </c>
      <c r="G5" s="223">
        <f>SUM(Først:Sist!F5, 'Uke5'!I4)</f>
        <v>1.020833333333333</v>
      </c>
      <c r="H5" s="22"/>
      <c r="I5" s="7"/>
      <c r="J5" s="269"/>
    </row>
    <row r="6" spans="1:10" ht="18.75" customHeight="1">
      <c r="A6" s="36">
        <f>SUM(D10:D17)</f>
        <v>0.18750000000000011</v>
      </c>
      <c r="B6" s="37"/>
      <c r="C6" s="82">
        <f>SUM(Først:Sist!A6, 'Uke5'!C5)</f>
        <v>4.4131944444444446</v>
      </c>
      <c r="D6" s="38"/>
      <c r="E6" s="75" t="s">
        <v>19</v>
      </c>
      <c r="F6" s="34">
        <f>Sumcolor(E6,D10:D17)</f>
        <v>0</v>
      </c>
      <c r="G6" s="224">
        <f>SUM(Først:Sist!F6, 'Uke5'!I5)</f>
        <v>0.74305555555555547</v>
      </c>
      <c r="H6" s="22"/>
      <c r="I6" s="7"/>
      <c r="J6" s="7"/>
    </row>
    <row r="7" spans="1:10" ht="12.75" customHeight="1">
      <c r="A7" s="19"/>
      <c r="B7" s="23"/>
      <c r="C7" s="24"/>
      <c r="D7" s="14"/>
      <c r="E7" s="23"/>
      <c r="F7" s="23"/>
      <c r="G7" s="25"/>
      <c r="H7" s="25"/>
    </row>
    <row r="8" spans="1:10">
      <c r="A8" s="23"/>
      <c r="B8" s="25"/>
      <c r="C8" s="14"/>
      <c r="D8" s="25"/>
      <c r="E8" s="23"/>
      <c r="F8" s="23"/>
      <c r="G8" s="25"/>
      <c r="H8" s="25"/>
    </row>
    <row r="9" spans="1:10" ht="15.75">
      <c r="A9" s="31" t="s">
        <v>20</v>
      </c>
      <c r="B9" s="31" t="s">
        <v>21</v>
      </c>
      <c r="C9" s="31" t="s">
        <v>22</v>
      </c>
      <c r="D9" s="31" t="s">
        <v>23</v>
      </c>
      <c r="E9" s="122" t="s">
        <v>24</v>
      </c>
      <c r="F9" s="121"/>
      <c r="G9" s="46" t="s">
        <v>25</v>
      </c>
      <c r="H9" s="25"/>
    </row>
    <row r="10" spans="1:10" ht="14.45" customHeight="1">
      <c r="A10" s="192">
        <v>43963</v>
      </c>
      <c r="B10" s="193">
        <v>0.54166666666666663</v>
      </c>
      <c r="C10" s="193">
        <v>0.58333333333333337</v>
      </c>
      <c r="D10" s="181">
        <f>(C10-B10)</f>
        <v>4.1666666666666741E-2</v>
      </c>
      <c r="E10" s="374" t="s">
        <v>172</v>
      </c>
      <c r="F10" s="375"/>
      <c r="G10" s="331"/>
      <c r="H10" s="25"/>
    </row>
    <row r="11" spans="1:10" ht="15">
      <c r="A11" s="194"/>
      <c r="B11" s="195"/>
      <c r="C11" s="195"/>
      <c r="D11" s="196"/>
      <c r="E11" s="376"/>
      <c r="F11" s="377"/>
      <c r="G11" s="332"/>
      <c r="H11" s="25"/>
    </row>
    <row r="12" spans="1:10" ht="14.25" customHeight="1">
      <c r="A12" s="192">
        <v>43963</v>
      </c>
      <c r="B12" s="193">
        <v>0.58333333333333337</v>
      </c>
      <c r="C12" s="193">
        <v>0.60416666666666663</v>
      </c>
      <c r="D12" s="181">
        <f>(C12-B12)</f>
        <v>2.0833333333333259E-2</v>
      </c>
      <c r="E12" s="374" t="s">
        <v>149</v>
      </c>
      <c r="F12" s="375"/>
      <c r="G12" s="393"/>
    </row>
    <row r="13" spans="1:10" ht="16.5" customHeight="1">
      <c r="A13" s="194"/>
      <c r="B13" s="195"/>
      <c r="C13" s="195"/>
      <c r="D13" s="196"/>
      <c r="E13" s="376"/>
      <c r="F13" s="377"/>
      <c r="G13" s="394"/>
    </row>
    <row r="14" spans="1:10" ht="15" customHeight="1">
      <c r="A14" s="192">
        <v>43968</v>
      </c>
      <c r="B14" s="193">
        <v>0.60416666666666663</v>
      </c>
      <c r="C14" s="193">
        <v>0.64583333333333337</v>
      </c>
      <c r="D14" s="181">
        <f>(C14-B14)</f>
        <v>4.1666666666666741E-2</v>
      </c>
      <c r="E14" s="374" t="s">
        <v>173</v>
      </c>
      <c r="F14" s="375"/>
      <c r="G14" s="357"/>
    </row>
    <row r="15" spans="1:10" ht="15">
      <c r="A15" s="194"/>
      <c r="B15" s="195"/>
      <c r="C15" s="195"/>
      <c r="D15" s="196"/>
      <c r="E15" s="376"/>
      <c r="F15" s="377"/>
      <c r="G15" s="358"/>
    </row>
    <row r="16" spans="1:10" ht="14.45" customHeight="1">
      <c r="A16" s="192">
        <v>43968</v>
      </c>
      <c r="B16" s="193">
        <v>0.66666666666666663</v>
      </c>
      <c r="C16" s="193">
        <v>0.75</v>
      </c>
      <c r="D16" s="181">
        <f>(C16-B16)</f>
        <v>8.333333333333337E-2</v>
      </c>
      <c r="E16" s="374" t="s">
        <v>174</v>
      </c>
      <c r="F16" s="375"/>
      <c r="G16" s="393"/>
    </row>
    <row r="17" spans="1:11" ht="15">
      <c r="A17" s="194"/>
      <c r="B17" s="195"/>
      <c r="C17" s="195"/>
      <c r="D17" s="196"/>
      <c r="E17" s="376"/>
      <c r="F17" s="377"/>
      <c r="G17" s="394"/>
    </row>
    <row r="18" spans="1:11" ht="14.45" customHeight="1"/>
    <row r="19" spans="1:11" ht="23.25">
      <c r="A19" s="28" t="s">
        <v>31</v>
      </c>
      <c r="B19" s="28"/>
      <c r="C19" s="27"/>
      <c r="D19" s="27"/>
      <c r="E19" s="27"/>
      <c r="I19" s="8"/>
      <c r="K19" s="8"/>
    </row>
    <row r="20" spans="1:11" ht="17.25" customHeight="1">
      <c r="A20" s="5"/>
      <c r="B20" s="15"/>
      <c r="C20" s="16"/>
      <c r="D20" s="17"/>
      <c r="E20" s="18"/>
      <c r="H20" s="8"/>
      <c r="I20" s="8"/>
      <c r="K20" s="8"/>
    </row>
    <row r="21" spans="1:11" ht="12.75" customHeight="1">
      <c r="A21" s="271" t="s">
        <v>171</v>
      </c>
      <c r="B21" s="271"/>
      <c r="C21" s="271"/>
      <c r="D21" s="271"/>
      <c r="E21" s="271"/>
      <c r="H21" s="8"/>
      <c r="I21" s="8"/>
      <c r="K21" s="8"/>
    </row>
    <row r="22" spans="1:11" ht="14.45" customHeight="1">
      <c r="A22" s="274"/>
      <c r="B22" s="274"/>
      <c r="C22" s="274"/>
      <c r="D22" s="274"/>
      <c r="E22" s="274"/>
      <c r="H22" s="9"/>
      <c r="I22" s="9"/>
      <c r="K22" s="8"/>
    </row>
    <row r="23" spans="1:11" ht="16.5" customHeight="1">
      <c r="A23" s="274"/>
      <c r="B23" s="274"/>
      <c r="C23" s="274"/>
      <c r="D23" s="274"/>
      <c r="E23" s="274"/>
      <c r="H23" s="10"/>
      <c r="I23" s="10"/>
      <c r="K23" s="8"/>
    </row>
    <row r="24" spans="1:11" ht="12.75" customHeight="1">
      <c r="A24" s="274"/>
      <c r="B24" s="274"/>
      <c r="C24" s="274"/>
      <c r="D24" s="274"/>
      <c r="E24" s="274"/>
    </row>
    <row r="25" spans="1:11" ht="16.899999999999999" customHeight="1">
      <c r="A25" s="274"/>
      <c r="B25" s="274"/>
      <c r="C25" s="274"/>
      <c r="D25" s="274"/>
      <c r="E25" s="274"/>
    </row>
    <row r="26" spans="1:11" ht="12.75" customHeight="1">
      <c r="A26" s="274"/>
      <c r="B26" s="274"/>
      <c r="C26" s="274"/>
      <c r="D26" s="274"/>
      <c r="E26" s="274"/>
    </row>
    <row r="27" spans="1:11" ht="15" customHeight="1">
      <c r="A27" s="274"/>
      <c r="B27" s="274"/>
      <c r="C27" s="274"/>
      <c r="D27" s="274"/>
      <c r="E27" s="274"/>
    </row>
    <row r="28" spans="1:11" ht="12.75" customHeight="1">
      <c r="A28" s="274"/>
      <c r="B28" s="274"/>
      <c r="C28" s="274"/>
      <c r="D28" s="274"/>
      <c r="E28" s="274"/>
    </row>
    <row r="29" spans="1:11" ht="15" customHeight="1">
      <c r="A29" s="274"/>
      <c r="B29" s="274"/>
      <c r="C29" s="274"/>
      <c r="D29" s="274"/>
      <c r="E29" s="274"/>
    </row>
    <row r="30" spans="1:11" ht="12.75" customHeight="1">
      <c r="A30" s="274"/>
      <c r="B30" s="274"/>
      <c r="C30" s="274"/>
      <c r="D30" s="274"/>
      <c r="E30" s="274"/>
    </row>
    <row r="31" spans="1:11" ht="15" customHeight="1">
      <c r="A31" s="274"/>
      <c r="B31" s="274"/>
      <c r="C31" s="274"/>
      <c r="D31" s="274"/>
      <c r="E31" s="274"/>
    </row>
    <row r="32" spans="1:11" ht="14.25" customHeight="1">
      <c r="A32" s="274"/>
      <c r="B32" s="274"/>
      <c r="C32" s="274"/>
      <c r="D32" s="274"/>
      <c r="E32" s="274"/>
    </row>
    <row r="33" spans="1:8" ht="13.5" customHeight="1">
      <c r="A33" s="274"/>
      <c r="B33" s="274"/>
      <c r="C33" s="274"/>
      <c r="D33" s="274"/>
      <c r="E33" s="274"/>
    </row>
    <row r="34" spans="1:8" ht="15.75" customHeight="1">
      <c r="A34" s="274"/>
      <c r="B34" s="274"/>
      <c r="C34" s="274"/>
      <c r="D34" s="274"/>
      <c r="E34" s="274"/>
      <c r="H34" s="29"/>
    </row>
    <row r="35" spans="1:8" ht="13.5" customHeight="1">
      <c r="A35" s="274"/>
      <c r="B35" s="274"/>
      <c r="C35" s="274"/>
      <c r="D35" s="274"/>
      <c r="E35" s="274"/>
    </row>
    <row r="36" spans="1:8" ht="14.45" customHeight="1">
      <c r="A36" s="274"/>
      <c r="B36" s="274"/>
      <c r="C36" s="274"/>
      <c r="D36" s="274"/>
      <c r="E36" s="274"/>
    </row>
    <row r="37" spans="1:8" ht="14.45" customHeight="1">
      <c r="A37" s="274"/>
      <c r="B37" s="274"/>
      <c r="C37" s="274"/>
      <c r="D37" s="274"/>
      <c r="E37" s="274"/>
    </row>
    <row r="38" spans="1:8" ht="14.45" customHeight="1">
      <c r="A38" s="274"/>
      <c r="B38" s="274"/>
      <c r="C38" s="274"/>
      <c r="D38" s="274"/>
      <c r="E38" s="274"/>
    </row>
    <row r="39" spans="1:8" ht="14.45" customHeight="1"/>
    <row r="40" spans="1:8" ht="16.5" customHeight="1"/>
    <row r="41" spans="1:8" ht="9.75" customHeight="1"/>
    <row r="42" spans="1:8" ht="15" customHeight="1"/>
    <row r="43" spans="1:8" ht="12.6" customHeight="1"/>
    <row r="44" spans="1:8" ht="60" customHeight="1"/>
    <row r="45" spans="1:8" ht="0.6" customHeight="1"/>
    <row r="46" spans="1:8" ht="21" customHeight="1"/>
    <row r="47" spans="1:8" ht="18" customHeight="1"/>
    <row r="48" spans="1:8" ht="12.6" customHeight="1"/>
    <row r="49" ht="12.6" customHeight="1"/>
    <row r="50" ht="12.6" customHeight="1"/>
    <row r="51" ht="12.6" customHeight="1"/>
    <row r="52" ht="12.6" customHeight="1"/>
    <row r="53" ht="12.6" customHeight="1"/>
    <row r="54" ht="12.6" customHeight="1"/>
    <row r="55" ht="13.15" customHeight="1"/>
    <row r="56" ht="12.6" customHeight="1"/>
    <row r="57" ht="12.6" customHeight="1"/>
    <row r="58" ht="12.6" customHeight="1"/>
    <row r="59" ht="12.6" customHeight="1"/>
    <row r="60" ht="12.6" customHeight="1"/>
    <row r="61" ht="12.6" customHeight="1"/>
    <row r="62" ht="12.6" customHeight="1"/>
    <row r="63" ht="12.6" customHeight="1"/>
    <row r="64" ht="12.6" customHeight="1"/>
    <row r="65" ht="19.5" customHeight="1"/>
    <row r="66" ht="163.5" customHeight="1"/>
    <row r="67" ht="12.6" customHeight="1"/>
    <row r="68" ht="12.6" customHeight="1"/>
    <row r="69" ht="12.6" customHeight="1"/>
    <row r="70" ht="12.6" customHeight="1"/>
  </sheetData>
  <mergeCells count="13">
    <mergeCell ref="A21:E38"/>
    <mergeCell ref="E12:F13"/>
    <mergeCell ref="G12:G13"/>
    <mergeCell ref="E14:F15"/>
    <mergeCell ref="G14:G15"/>
    <mergeCell ref="E16:F17"/>
    <mergeCell ref="G16:G17"/>
    <mergeCell ref="A1:D1"/>
    <mergeCell ref="A4:B5"/>
    <mergeCell ref="C4:D5"/>
    <mergeCell ref="J4:J5"/>
    <mergeCell ref="E10:F11"/>
    <mergeCell ref="G10:G11"/>
  </mergeCells>
  <conditionalFormatting sqref="H20:I21 I19">
    <cfRule type="expression" dxfId="13" priority="33">
      <formula>ISNUMBER(SEARCH(TEXT(#REF!,"ddd"),#REF!))</formula>
    </cfRule>
  </conditionalFormatting>
  <conditionalFormatting sqref="K19:K23">
    <cfRule type="expression" dxfId="12" priority="34">
      <formula>ISNUMBER(SEARCH(TEXT(#REF!,"ddd"),#REF!))</formula>
    </cfRule>
  </conditionalFormatting>
  <conditionalFormatting sqref="A10:C10">
    <cfRule type="expression" dxfId="11" priority="29">
      <formula>ISNUMBER(SEARCH(TEXT(#REF!,"ddd"),#REF!))</formula>
    </cfRule>
  </conditionalFormatting>
  <conditionalFormatting sqref="D10">
    <cfRule type="expression" dxfId="10" priority="31">
      <formula>ISNUMBER(SEARCH(TEXT(#REF!,"ddd"),#REF!))</formula>
    </cfRule>
  </conditionalFormatting>
  <conditionalFormatting sqref="A11:D11">
    <cfRule type="expression" dxfId="9" priority="30">
      <formula>ISNUMBER(SEARCH(TEXT(#REF!,"ddd"),#REF!))</formula>
    </cfRule>
  </conditionalFormatting>
  <conditionalFormatting sqref="D16">
    <cfRule type="expression" dxfId="8" priority="19">
      <formula>ISNUMBER(SEARCH(TEXT(#REF!,"ddd"),#REF!))</formula>
    </cfRule>
  </conditionalFormatting>
  <conditionalFormatting sqref="A16:C16">
    <cfRule type="expression" dxfId="7" priority="17">
      <formula>ISNUMBER(SEARCH(TEXT(#REF!,"ddd"),#REF!))</formula>
    </cfRule>
  </conditionalFormatting>
  <conditionalFormatting sqref="A17:D17">
    <cfRule type="expression" dxfId="6" priority="18">
      <formula>ISNUMBER(SEARCH(TEXT(#REF!,"ddd"),#REF!))</formula>
    </cfRule>
  </conditionalFormatting>
  <conditionalFormatting sqref="D12">
    <cfRule type="expression" dxfId="5" priority="6">
      <formula>ISNUMBER(SEARCH(TEXT(#REF!,"ddd"),#REF!))</formula>
    </cfRule>
  </conditionalFormatting>
  <conditionalFormatting sqref="A12:C12">
    <cfRule type="expression" dxfId="4" priority="4">
      <formula>ISNUMBER(SEARCH(TEXT(#REF!,"ddd"),#REF!))</formula>
    </cfRule>
  </conditionalFormatting>
  <conditionalFormatting sqref="A13:D13">
    <cfRule type="expression" dxfId="3" priority="5">
      <formula>ISNUMBER(SEARCH(TEXT(#REF!,"ddd"),#REF!))</formula>
    </cfRule>
  </conditionalFormatting>
  <conditionalFormatting sqref="D14">
    <cfRule type="expression" dxfId="2" priority="3">
      <formula>ISNUMBER(SEARCH(TEXT(#REF!,"ddd"),#REF!))</formula>
    </cfRule>
  </conditionalFormatting>
  <conditionalFormatting sqref="A14:C14">
    <cfRule type="expression" dxfId="1" priority="1">
      <formula>ISNUMBER(SEARCH(TEXT(#REF!,"ddd"),#REF!))</formula>
    </cfRule>
  </conditionalFormatting>
  <conditionalFormatting sqref="A15:D15">
    <cfRule type="expression" dxfId="0" priority="2">
      <formula>ISNUMBER(SEARCH(TEXT(#REF!,"ddd"),#REF!))</formula>
    </cfRule>
  </conditionalFormatting>
  <dataValidations count="1">
    <dataValidation type="custom" allowBlank="1" showInputMessage="1" showErrorMessage="1" sqref="B10:C17" xr:uid="{DFA96850-9845-4AC7-8476-302529B14BA3}">
      <formula1>AND($B10&lt;=1,ISNUMBER($B10))</formula1>
    </dataValidation>
  </dataValidations>
  <pageMargins left="0.25" right="0.25" top="0.75" bottom="0.75" header="0.3" footer="0.3"/>
  <pageSetup paperSize="9" scale="65" orientation="portrait" horizontalDpi="4294967293" verticalDpi="429496729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19</vt:i4>
      </vt:variant>
    </vt:vector>
  </HeadingPairs>
  <TitlesOfParts>
    <vt:vector size="19" baseType="lpstr">
      <vt:lpstr>Først</vt:lpstr>
      <vt:lpstr>Uke5</vt:lpstr>
      <vt:lpstr>Uke6</vt:lpstr>
      <vt:lpstr>Uke7</vt:lpstr>
      <vt:lpstr>Uke8</vt:lpstr>
      <vt:lpstr>Uke9</vt:lpstr>
      <vt:lpstr>Uke10</vt:lpstr>
      <vt:lpstr>Uke11</vt:lpstr>
      <vt:lpstr>Uke12</vt:lpstr>
      <vt:lpstr>Uke13</vt:lpstr>
      <vt:lpstr>Sist</vt:lpstr>
      <vt:lpstr>Data</vt:lpstr>
      <vt:lpstr>Uke14</vt:lpstr>
      <vt:lpstr>Uke15</vt:lpstr>
      <vt:lpstr>Uke16</vt:lpstr>
      <vt:lpstr>Uke17</vt:lpstr>
      <vt:lpstr>Uke18</vt:lpstr>
      <vt:lpstr>Uke19</vt:lpstr>
      <vt:lpstr>Uke20</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sumit bansal</dc:creator>
  <cp:keywords/>
  <dc:description/>
  <cp:lastModifiedBy>Anders Rubach Ese</cp:lastModifiedBy>
  <cp:revision/>
  <dcterms:created xsi:type="dcterms:W3CDTF">2015-07-13T20:50:55Z</dcterms:created>
  <dcterms:modified xsi:type="dcterms:W3CDTF">2020-05-18T18:13:30Z</dcterms:modified>
  <cp:category/>
  <cp:contentStatus/>
</cp:coreProperties>
</file>
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ThinkPad\PycharmProjects\PythonTesting\Scripts\dataExtraction\Weekplans_SystemUtvikling\assets\"/>
    </mc:Choice>
  </mc:AlternateContent>
  <xr:revisionPtr revIDLastSave="0" documentId="13_ncr:1_{2BAA331A-F65C-4900-8723-DDEEB4B3E621}" xr6:coauthVersionLast="44" xr6:coauthVersionMax="44" xr10:uidLastSave="{00000000-0000-0000-0000-000000000000}"/>
  <bookViews>
    <workbookView xWindow="-120" yWindow="480" windowWidth="29040" windowHeight="17640" firstSheet="1" activeTab="4" xr2:uid="{00000000-000D-0000-FFFF-FFFF00000000}"/>
  </bookViews>
  <sheets>
    <sheet name="Først" sheetId="11" state="hidden" r:id="rId1"/>
    <sheet name="Uke3" sheetId="40" r:id="rId2"/>
    <sheet name="Uke4" sheetId="41" r:id="rId3"/>
    <sheet name="Uke5" sheetId="42" r:id="rId4"/>
    <sheet name="Uke6" sheetId="36" r:id="rId5"/>
    <sheet name="Uke7" sheetId="39" r:id="rId6"/>
    <sheet name="Uke8" sheetId="43" r:id="rId7"/>
    <sheet name="Uke9" sheetId="44" r:id="rId8"/>
    <sheet name="Uke10" sheetId="45" r:id="rId9"/>
    <sheet name="Uke11" sheetId="46" r:id="rId10"/>
    <sheet name="Uke12" sheetId="47" r:id="rId11"/>
    <sheet name="Uke13" sheetId="49" r:id="rId12"/>
    <sheet name="Uke14" sheetId="50" r:id="rId13"/>
    <sheet name="Uke15" sheetId="52" r:id="rId14"/>
    <sheet name="Uke16" sheetId="53" r:id="rId15"/>
    <sheet name="Uke17" sheetId="54" r:id="rId16"/>
    <sheet name="Uke18" sheetId="55" r:id="rId17"/>
    <sheet name="Uke19" sheetId="58" r:id="rId18"/>
    <sheet name="Sist" sheetId="12" state="hidden" r:id="rId19"/>
    <sheet name="Data" sheetId="2" state="hidden" r:id="rId20"/>
  </sheets>
  <functionGroups builtInGroupCount="19"/>
  <externalReferences>
    <externalReference r:id="rId21"/>
  </externalReferences>
  <definedNames>
    <definedName name="DateCalc" localSheetId="8">Data!$C$2:INDEX(Data!$C$2:$C$32,DAY(DATE('Uke10'!#REF!,MATCH('Uke10'!#REF!,Data!$B$2:$B$13,0)+1,0)))</definedName>
    <definedName name="DateCalc" localSheetId="9">Data!$C$2:INDEX(Data!$C$2:$C$32,DAY(DATE('Uke11'!#REF!,MATCH('Uke11'!#REF!,Data!$B$2:$B$13,0)+1,0)))</definedName>
    <definedName name="DateCalc" localSheetId="10">Data!$C$2:INDEX(Data!$C$2:$C$32,DAY(DATE('Uke12'!#REF!,MATCH('Uke12'!#REF!,Data!$B$2:$B$13,0)+1,0)))</definedName>
    <definedName name="DateCalc" localSheetId="11">Data!$C$2:INDEX(Data!$C$2:$C$32,DAY(DATE('Uke13'!#REF!,MATCH('Uke13'!#REF!,Data!$B$2:$B$13,0)+1,0)))</definedName>
    <definedName name="DateCalc" localSheetId="12">Data!$C$2:INDEX(Data!$C$2:$C$32,DAY(DATE('Uke14'!#REF!,MATCH('Uke14'!#REF!,Data!$B$2:$B$13,0)+1,0)))</definedName>
    <definedName name="DateCalc" localSheetId="13">[1]Data!$C$2:INDEX([1]Data!$C$2:$C$32,DAY(DATE('Uke15'!#REF!,MATCH('Uke15'!#REF!,[1]Data!$B$2:$B$13,0)+1,0)))</definedName>
    <definedName name="DateCalc" localSheetId="14">#REF!:INDEX(#REF!,DAY(DATE('Uke16'!#REF!,MATCH('Uke16'!#REF!,#REF!,0)+1,0)))</definedName>
    <definedName name="DateCalc" localSheetId="15">#REF!:INDEX(#REF!,DAY(DATE('Uke17'!#REF!,MATCH('Uke17'!#REF!,#REF!,0)+1,0)))</definedName>
    <definedName name="DateCalc" localSheetId="16">#REF!:INDEX(#REF!,DAY(DATE('Uke18'!#REF!,MATCH('Uke18'!#REF!,#REF!,0)+1,0)))</definedName>
    <definedName name="DateCalc" localSheetId="17">#REF!:INDEX(#REF!,DAY(DATE('Uke19'!#REF!,MATCH('Uke19'!#REF!,#REF!,0)+1,0)))</definedName>
    <definedName name="DateCalc" localSheetId="4">Data!$C$2:INDEX(Data!$C$2:$C$32,DAY(DATE('Uke6'!#REF!,MATCH('Uke6'!#REF!,Data!$B$2:$B$13,0)+1,0)))</definedName>
    <definedName name="DateCalc" localSheetId="5">Data!$C$2:INDEX(Data!$C$2:$C$32,DAY(DATE('Uke7'!#REF!,MATCH('Uke7'!#REF!,Data!$B$2:$B$13,0)+1,0)))</definedName>
    <definedName name="DateCalc" localSheetId="6">Data!$C$2:INDEX(Data!$C$2:$C$32,DAY(DATE('Uke8'!#REF!,MATCH('Uke8'!#REF!,Data!$B$2:$B$13,0)+1,0)))</definedName>
    <definedName name="DateCalc" localSheetId="7">Data!$C$2:INDEX(Data!$C$2:$C$32,DAY(DATE('Uke9'!#REF!,MATCH('Uke9'!#REF!,Data!$B$2:$B$13,0)+1,0)))</definedName>
    <definedName name="DateCalc">Data!$C$2:INDEX(Data!$C$2:$C$32,DAY(DATE(#REF!,MATCH(#REF!,Data!$B$2:$B$13,0)+1,0)))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58" l="1"/>
  <c r="E1" i="58" s="1"/>
  <c r="C3" i="58"/>
  <c r="D9" i="58"/>
  <c r="D10" i="58"/>
  <c r="D11" i="58"/>
  <c r="D12" i="58"/>
  <c r="D13" i="58"/>
  <c r="D14" i="58"/>
  <c r="D15" i="58"/>
  <c r="D17" i="58"/>
  <c r="D18" i="58"/>
  <c r="D19" i="58"/>
  <c r="D21" i="58"/>
  <c r="D22" i="58"/>
  <c r="D23" i="58"/>
  <c r="D26" i="58"/>
  <c r="F5" i="58"/>
  <c r="F3" i="58"/>
  <c r="F6" i="58"/>
  <c r="F4" i="58"/>
  <c r="A6" i="58" l="1"/>
  <c r="A3" i="55" l="1"/>
  <c r="E1" i="55" s="1"/>
  <c r="C3" i="55"/>
  <c r="D9" i="55"/>
  <c r="D10" i="55"/>
  <c r="D11" i="55"/>
  <c r="D12" i="55"/>
  <c r="D13" i="55"/>
  <c r="D14" i="55"/>
  <c r="D15" i="55"/>
  <c r="D16" i="55"/>
  <c r="D17" i="55"/>
  <c r="A3" i="54"/>
  <c r="E1" i="54" s="1"/>
  <c r="C3" i="54"/>
  <c r="D9" i="54"/>
  <c r="A6" i="54" s="1"/>
  <c r="D10" i="54"/>
  <c r="D11" i="54"/>
  <c r="D12" i="54"/>
  <c r="D13" i="54"/>
  <c r="D14" i="54"/>
  <c r="D15" i="54"/>
  <c r="D16" i="54"/>
  <c r="D17" i="54"/>
  <c r="D18" i="54"/>
  <c r="D19" i="54"/>
  <c r="D20" i="54"/>
  <c r="D21" i="54"/>
  <c r="D22" i="54"/>
  <c r="D23" i="54"/>
  <c r="D24" i="54"/>
  <c r="E1" i="53"/>
  <c r="A3" i="53"/>
  <c r="C3" i="53"/>
  <c r="D9" i="53"/>
  <c r="D10" i="53"/>
  <c r="D11" i="53"/>
  <c r="D12" i="53"/>
  <c r="D13" i="53"/>
  <c r="D14" i="53"/>
  <c r="D15" i="53"/>
  <c r="D16" i="53"/>
  <c r="D17" i="53"/>
  <c r="D18" i="53"/>
  <c r="D19" i="53"/>
  <c r="D20" i="53"/>
  <c r="D21" i="53"/>
  <c r="D22" i="53"/>
  <c r="F3" i="53"/>
  <c r="F4" i="54"/>
  <c r="F6" i="54"/>
  <c r="F4" i="55"/>
  <c r="F6" i="53"/>
  <c r="F5" i="53"/>
  <c r="F3" i="54"/>
  <c r="F5" i="55"/>
  <c r="F5" i="54"/>
  <c r="F6" i="55"/>
  <c r="F3" i="55"/>
  <c r="F4" i="53"/>
  <c r="A6" i="55" l="1"/>
  <c r="A6" i="53"/>
  <c r="D21" i="52" l="1"/>
  <c r="D20" i="52"/>
  <c r="D19" i="52"/>
  <c r="D18" i="52"/>
  <c r="D17" i="52"/>
  <c r="D16" i="52"/>
  <c r="D15" i="52"/>
  <c r="D14" i="52"/>
  <c r="D13" i="52"/>
  <c r="D12" i="52"/>
  <c r="A6" i="52" s="1"/>
  <c r="D11" i="52"/>
  <c r="D10" i="52"/>
  <c r="D9" i="52"/>
  <c r="C3" i="52"/>
  <c r="A3" i="52"/>
  <c r="E1" i="52"/>
  <c r="F3" i="52"/>
  <c r="F4" i="52"/>
  <c r="F6" i="52"/>
  <c r="F5" i="52"/>
  <c r="D16" i="50" l="1"/>
  <c r="D13" i="50" l="1"/>
  <c r="D12" i="50" l="1"/>
  <c r="D10" i="50" l="1"/>
  <c r="D11" i="50"/>
  <c r="D9" i="50"/>
  <c r="D17" i="50" l="1"/>
  <c r="D14" i="50"/>
  <c r="D15" i="50"/>
  <c r="C3" i="50"/>
  <c r="A3" i="50"/>
  <c r="E1" i="50"/>
  <c r="D22" i="49"/>
  <c r="D21" i="49"/>
  <c r="D20" i="49"/>
  <c r="D19" i="49"/>
  <c r="D18" i="49"/>
  <c r="D17" i="49"/>
  <c r="D16" i="49"/>
  <c r="D15" i="49"/>
  <c r="D14" i="49"/>
  <c r="D13" i="49"/>
  <c r="D12" i="49"/>
  <c r="D11" i="49"/>
  <c r="D10" i="49"/>
  <c r="D9" i="49"/>
  <c r="A6" i="49" s="1"/>
  <c r="C3" i="49"/>
  <c r="A3" i="49"/>
  <c r="E1" i="49"/>
  <c r="F3" i="49"/>
  <c r="F6" i="49"/>
  <c r="F3" i="50"/>
  <c r="F6" i="50"/>
  <c r="F4" i="49"/>
  <c r="F5" i="50"/>
  <c r="F4" i="50"/>
  <c r="F5" i="49"/>
  <c r="A6" i="50" l="1"/>
  <c r="D18" i="47"/>
  <c r="D17" i="47"/>
  <c r="D15" i="47"/>
  <c r="D16" i="47"/>
  <c r="D14" i="47"/>
  <c r="D19" i="47" l="1"/>
  <c r="D13" i="47"/>
  <c r="D12" i="47"/>
  <c r="D11" i="47"/>
  <c r="D10" i="47"/>
  <c r="D9" i="47"/>
  <c r="C3" i="47"/>
  <c r="A3" i="47"/>
  <c r="E1" i="47"/>
  <c r="F3" i="47"/>
  <c r="F6" i="47"/>
  <c r="F4" i="47"/>
  <c r="F5" i="47"/>
  <c r="A6" i="47" l="1"/>
  <c r="D25" i="46"/>
  <c r="D15" i="46"/>
  <c r="D23" i="46"/>
  <c r="D11" i="46"/>
  <c r="F3" i="46"/>
  <c r="F4" i="46"/>
  <c r="F5" i="46"/>
  <c r="F6" i="46"/>
  <c r="D21" i="46" l="1"/>
  <c r="D19" i="46"/>
  <c r="D27" i="46"/>
  <c r="D17" i="46"/>
  <c r="D13" i="46"/>
  <c r="D9" i="46"/>
  <c r="C3" i="46"/>
  <c r="A3" i="46"/>
  <c r="E1" i="46"/>
  <c r="A6" i="46" l="1"/>
  <c r="D27" i="45"/>
  <c r="D19" i="45"/>
  <c r="D25" i="45"/>
  <c r="D21" i="45"/>
  <c r="D23" i="45"/>
  <c r="D17" i="45"/>
  <c r="D11" i="45" l="1"/>
  <c r="D13" i="45"/>
  <c r="D15" i="45"/>
  <c r="D9" i="45" l="1"/>
  <c r="A6" i="45" s="1"/>
  <c r="C3" i="45"/>
  <c r="A3" i="45"/>
  <c r="E1" i="45"/>
  <c r="D29" i="44"/>
  <c r="D31" i="44"/>
  <c r="D33" i="44"/>
  <c r="D21" i="44"/>
  <c r="D23" i="44"/>
  <c r="D27" i="44"/>
  <c r="D25" i="44"/>
  <c r="D19" i="44"/>
  <c r="D17" i="44"/>
  <c r="D15" i="44"/>
  <c r="D13" i="44"/>
  <c r="F6" i="45"/>
  <c r="F4" i="45"/>
  <c r="F3" i="45"/>
  <c r="F5" i="45"/>
  <c r="D11" i="44" l="1"/>
  <c r="D9" i="44"/>
  <c r="C3" i="44"/>
  <c r="A3" i="44"/>
  <c r="E1" i="44"/>
  <c r="F6" i="44"/>
  <c r="F5" i="44"/>
  <c r="F4" i="44"/>
  <c r="F3" i="44"/>
  <c r="A6" i="44" l="1"/>
  <c r="D30" i="43"/>
  <c r="D28" i="43"/>
  <c r="D26" i="43"/>
  <c r="D24" i="43"/>
  <c r="D22" i="43"/>
  <c r="D20" i="43"/>
  <c r="D18" i="43"/>
  <c r="D16" i="43"/>
  <c r="D14" i="43"/>
  <c r="D12" i="43"/>
  <c r="D10" i="43"/>
  <c r="C3" i="43"/>
  <c r="A3" i="43"/>
  <c r="E1" i="43"/>
  <c r="F3" i="43"/>
  <c r="F4" i="43"/>
  <c r="F5" i="43"/>
  <c r="F6" i="43"/>
  <c r="A6" i="43" l="1"/>
  <c r="A3" i="39"/>
  <c r="C3" i="39"/>
  <c r="D32" i="39"/>
  <c r="A6" i="39" s="1"/>
  <c r="D30" i="39"/>
  <c r="F5" i="39"/>
  <c r="F4" i="39"/>
  <c r="F3" i="39"/>
  <c r="F6" i="39"/>
  <c r="A6" i="36" l="1"/>
  <c r="F3" i="36"/>
  <c r="F6" i="36"/>
  <c r="F4" i="36"/>
  <c r="F5" i="36"/>
  <c r="G4" i="36" l="1"/>
  <c r="G5" i="36"/>
  <c r="D10" i="42"/>
  <c r="D11" i="42"/>
  <c r="D12" i="42"/>
  <c r="D13" i="42"/>
  <c r="D14" i="42"/>
  <c r="D15" i="42"/>
  <c r="D16" i="42"/>
  <c r="D17" i="42"/>
  <c r="D18" i="42"/>
  <c r="D10" i="41"/>
  <c r="D11" i="41"/>
  <c r="D12" i="41"/>
  <c r="D13" i="41"/>
  <c r="D14" i="41"/>
  <c r="D15" i="41"/>
  <c r="E5" i="40"/>
  <c r="E6" i="40"/>
  <c r="B7" i="40"/>
  <c r="D7" i="40"/>
  <c r="E7" i="40" s="1"/>
  <c r="D10" i="40"/>
  <c r="D4" i="40" s="1"/>
  <c r="D11" i="40"/>
  <c r="D12" i="40"/>
  <c r="D13" i="40"/>
  <c r="D14" i="40"/>
  <c r="D15" i="40"/>
  <c r="D28" i="39"/>
  <c r="D26" i="39"/>
  <c r="D24" i="39"/>
  <c r="D22" i="39"/>
  <c r="D20" i="39"/>
  <c r="D18" i="39"/>
  <c r="D16" i="39"/>
  <c r="D14" i="39"/>
  <c r="D12" i="39"/>
  <c r="D10" i="39"/>
  <c r="E1" i="39"/>
  <c r="F29" i="42"/>
  <c r="I26" i="41"/>
  <c r="F32" i="42"/>
  <c r="I10" i="41"/>
  <c r="H24" i="41"/>
  <c r="H15" i="42"/>
  <c r="G24" i="42"/>
  <c r="F21" i="42"/>
  <c r="G20" i="41"/>
  <c r="G18" i="41"/>
  <c r="F12" i="41"/>
  <c r="G19" i="42"/>
  <c r="G22" i="41"/>
  <c r="H29" i="41"/>
  <c r="I28" i="41"/>
  <c r="H35" i="41"/>
  <c r="I10" i="42"/>
  <c r="G31" i="42"/>
  <c r="H28" i="42"/>
  <c r="G14" i="41"/>
  <c r="H20" i="41"/>
  <c r="G21" i="42"/>
  <c r="H24" i="42"/>
  <c r="I23" i="42"/>
  <c r="H27" i="42"/>
  <c r="H30" i="42"/>
  <c r="G32" i="41"/>
  <c r="G28" i="42"/>
  <c r="H14" i="42"/>
  <c r="H17" i="42"/>
  <c r="G21" i="41"/>
  <c r="G15" i="41"/>
  <c r="H17" i="41"/>
  <c r="F26" i="42"/>
  <c r="F30" i="41"/>
  <c r="G30" i="42"/>
  <c r="G22" i="42"/>
  <c r="I29" i="42"/>
  <c r="F17" i="42"/>
  <c r="F28" i="42"/>
  <c r="I25" i="41"/>
  <c r="I23" i="41"/>
  <c r="G31" i="41"/>
  <c r="F33" i="42"/>
  <c r="I11" i="42"/>
  <c r="H35" i="42"/>
  <c r="F12" i="42"/>
  <c r="I22" i="41"/>
  <c r="I35" i="42"/>
  <c r="G13" i="42"/>
  <c r="G26" i="41"/>
  <c r="F34" i="41"/>
  <c r="H21" i="42"/>
  <c r="G23" i="41"/>
  <c r="I15" i="41"/>
  <c r="G11" i="42"/>
  <c r="I13" i="41"/>
  <c r="F24" i="41"/>
  <c r="G24" i="41"/>
  <c r="I34" i="41"/>
  <c r="G19" i="41"/>
  <c r="F26" i="41"/>
  <c r="I24" i="41"/>
  <c r="G15" i="42"/>
  <c r="H21" i="41"/>
  <c r="H34" i="42"/>
  <c r="I21" i="41"/>
  <c r="I27" i="41"/>
  <c r="I11" i="41"/>
  <c r="F22" i="41"/>
  <c r="I32" i="41"/>
  <c r="F15" i="41"/>
  <c r="F11" i="41"/>
  <c r="F18" i="42"/>
  <c r="H11" i="42"/>
  <c r="H11" i="41"/>
  <c r="G25" i="41"/>
  <c r="F35" i="41"/>
  <c r="H31" i="42"/>
  <c r="I22" i="42"/>
  <c r="F27" i="42"/>
  <c r="H18" i="41"/>
  <c r="F22" i="42"/>
  <c r="H16" i="42"/>
  <c r="F34" i="42"/>
  <c r="I18" i="42"/>
  <c r="H13" i="41"/>
  <c r="G26" i="42"/>
  <c r="I35" i="41"/>
  <c r="F31" i="41"/>
  <c r="I30" i="42"/>
  <c r="F11" i="42"/>
  <c r="G29" i="42"/>
  <c r="F19" i="42"/>
  <c r="I33" i="42"/>
  <c r="I18" i="41"/>
  <c r="I12" i="41"/>
  <c r="F30" i="42"/>
  <c r="F23" i="42"/>
  <c r="H25" i="42"/>
  <c r="F17" i="41"/>
  <c r="I19" i="42"/>
  <c r="I13" i="42"/>
  <c r="I17" i="41"/>
  <c r="G16" i="41"/>
  <c r="H29" i="42"/>
  <c r="G29" i="41"/>
  <c r="H34" i="41"/>
  <c r="I24" i="42"/>
  <c r="I14" i="41"/>
  <c r="G35" i="41"/>
  <c r="G16" i="42"/>
  <c r="F14" i="42"/>
  <c r="G11" i="41"/>
  <c r="F18" i="41"/>
  <c r="G34" i="41"/>
  <c r="I12" i="42"/>
  <c r="F21" i="41"/>
  <c r="H28" i="41"/>
  <c r="I34" i="42"/>
  <c r="H32" i="41"/>
  <c r="G10" i="42"/>
  <c r="G18" i="42"/>
  <c r="I17" i="42"/>
  <c r="I25" i="42"/>
  <c r="F32" i="41"/>
  <c r="H23" i="42"/>
  <c r="F23" i="41"/>
  <c r="H12" i="41"/>
  <c r="I20" i="42"/>
  <c r="F10" i="41"/>
  <c r="G33" i="41"/>
  <c r="H14" i="41"/>
  <c r="G12" i="42"/>
  <c r="G20" i="42"/>
  <c r="H26" i="42"/>
  <c r="H27" i="41"/>
  <c r="G10" i="41"/>
  <c r="F20" i="41"/>
  <c r="G27" i="41"/>
  <c r="G17" i="41"/>
  <c r="I16" i="42"/>
  <c r="I28" i="42"/>
  <c r="I32" i="42"/>
  <c r="H19" i="41"/>
  <c r="F27" i="41"/>
  <c r="H30" i="41"/>
  <c r="F29" i="41"/>
  <c r="F25" i="42"/>
  <c r="F20" i="42"/>
  <c r="H12" i="42"/>
  <c r="F14" i="41"/>
  <c r="F19" i="41"/>
  <c r="F28" i="41"/>
  <c r="I14" i="42"/>
  <c r="I29" i="41"/>
  <c r="G23" i="42"/>
  <c r="I30" i="41"/>
  <c r="I16" i="41"/>
  <c r="G35" i="42"/>
  <c r="F25" i="41"/>
  <c r="H13" i="42"/>
  <c r="H22" i="41"/>
  <c r="H33" i="42"/>
  <c r="F24" i="42"/>
  <c r="H26" i="41"/>
  <c r="H31" i="41"/>
  <c r="H25" i="41"/>
  <c r="F35" i="42"/>
  <c r="I26" i="42"/>
  <c r="G17" i="42"/>
  <c r="I33" i="41"/>
  <c r="I31" i="41"/>
  <c r="H10" i="41"/>
  <c r="F31" i="42"/>
  <c r="F33" i="41"/>
  <c r="I20" i="41"/>
  <c r="G27" i="42"/>
  <c r="H19" i="42"/>
  <c r="H22" i="42"/>
  <c r="H15" i="41"/>
  <c r="H23" i="41"/>
  <c r="G33" i="42"/>
  <c r="H10" i="42"/>
  <c r="F16" i="41"/>
  <c r="I21" i="42"/>
  <c r="F13" i="41"/>
  <c r="I19" i="41"/>
  <c r="F16" i="42"/>
  <c r="H32" i="42"/>
  <c r="H33" i="41"/>
  <c r="G13" i="41"/>
  <c r="H18" i="42"/>
  <c r="H16" i="41"/>
  <c r="F15" i="42"/>
  <c r="G32" i="42"/>
  <c r="G28" i="41"/>
  <c r="F10" i="42"/>
  <c r="I31" i="42"/>
  <c r="G12" i="41"/>
  <c r="I15" i="42"/>
  <c r="H20" i="42"/>
  <c r="G34" i="42"/>
  <c r="G30" i="41"/>
  <c r="G14" i="42"/>
  <c r="I27" i="42"/>
  <c r="F13" i="42"/>
  <c r="G25" i="42"/>
  <c r="G5" i="39"/>
  <c r="G4" i="39"/>
  <c r="D7" i="42" l="1"/>
  <c r="D6" i="42"/>
  <c r="D5" i="42"/>
  <c r="D4" i="42"/>
  <c r="D7" i="41"/>
  <c r="D5" i="41"/>
  <c r="D6" i="41"/>
  <c r="D4" i="41"/>
  <c r="A7" i="40"/>
  <c r="E4" i="40"/>
  <c r="D22" i="36"/>
  <c r="D20" i="36"/>
  <c r="D18" i="36"/>
  <c r="D16" i="36"/>
  <c r="C3" i="36"/>
  <c r="G4" i="43"/>
  <c r="E4" i="41"/>
  <c r="E7" i="41"/>
  <c r="E6" i="41"/>
  <c r="G5" i="43"/>
  <c r="E5" i="41"/>
  <c r="A7" i="42" l="1"/>
  <c r="J11" i="42" s="1"/>
  <c r="J10" i="42"/>
  <c r="B7" i="41"/>
  <c r="A7" i="41"/>
  <c r="D24" i="36"/>
  <c r="E1" i="36"/>
  <c r="A3" i="36"/>
  <c r="D10" i="36"/>
  <c r="D12" i="36"/>
  <c r="D14" i="36"/>
  <c r="E6" i="42"/>
  <c r="G5" i="44"/>
  <c r="E7" i="42"/>
  <c r="E4" i="42"/>
  <c r="G4" i="44"/>
  <c r="E5" i="42"/>
  <c r="G6" i="36" l="1"/>
  <c r="B7" i="42"/>
  <c r="J5" i="36"/>
  <c r="G3" i="36"/>
  <c r="G4" i="45"/>
  <c r="G3" i="39"/>
  <c r="G5" i="45"/>
  <c r="G6" i="39"/>
  <c r="J3" i="36" l="1"/>
  <c r="C6" i="39"/>
  <c r="C6" i="36"/>
  <c r="G3" i="43"/>
  <c r="G4" i="46"/>
  <c r="G6" i="43"/>
  <c r="G5" i="46"/>
  <c r="C6" i="43" l="1"/>
  <c r="G5" i="47"/>
  <c r="G4" i="47"/>
  <c r="G6" i="44"/>
  <c r="G3" i="44"/>
  <c r="C6" i="44" l="1"/>
  <c r="G5" i="49"/>
  <c r="G3" i="45"/>
  <c r="G4" i="49"/>
  <c r="G5" i="50"/>
  <c r="G6" i="45"/>
  <c r="C6" i="45" l="1"/>
  <c r="G6" i="46"/>
  <c r="G4" i="50"/>
  <c r="G5" i="52"/>
  <c r="G4" i="52"/>
  <c r="G3" i="46"/>
  <c r="C6" i="46" l="1"/>
  <c r="G5" i="53"/>
  <c r="G3" i="47"/>
  <c r="G4" i="53"/>
  <c r="G6" i="47"/>
  <c r="G5" i="54"/>
  <c r="C6" i="47" l="1"/>
  <c r="G6" i="49"/>
  <c r="G3" i="49"/>
  <c r="G4" i="54"/>
  <c r="G5" i="55"/>
  <c r="C6" i="49" l="1"/>
  <c r="G5" i="58"/>
  <c r="G6" i="50"/>
  <c r="G4" i="55"/>
  <c r="G3" i="50"/>
  <c r="C6" i="50" l="1"/>
  <c r="G6" i="52"/>
  <c r="G3" i="52"/>
  <c r="G3" i="53"/>
  <c r="G4" i="58"/>
  <c r="C6" i="52" l="1"/>
  <c r="G3" i="54"/>
  <c r="G6" i="53"/>
  <c r="C6" i="53" l="1"/>
  <c r="G3" i="55"/>
  <c r="G6" i="54"/>
  <c r="C6" i="54" l="1"/>
  <c r="G3" i="58"/>
  <c r="G6" i="55"/>
  <c r="C6" i="55" l="1"/>
  <c r="G6" i="58"/>
  <c r="C6" i="58" l="1"/>
</calcChain>
</file>

<file path=xl/sharedStrings.xml><?xml version="1.0" encoding="utf-8"?>
<sst xmlns="http://schemas.openxmlformats.org/spreadsheetml/2006/main" count="586" uniqueCount="200">
  <si>
    <t>Fra dato</t>
  </si>
  <si>
    <t>Til dato</t>
  </si>
  <si>
    <t>Kategorier</t>
  </si>
  <si>
    <t>Timer denne uken</t>
  </si>
  <si>
    <t>Timer brukt totalt</t>
  </si>
  <si>
    <t>Teori</t>
  </si>
  <si>
    <t>Totalt tid brukt denne 
uken:</t>
  </si>
  <si>
    <t>Utvikling</t>
  </si>
  <si>
    <t>Administrativt</t>
  </si>
  <si>
    <t>Logg/Oppgaver</t>
  </si>
  <si>
    <t>Dato</t>
  </si>
  <si>
    <t>Start</t>
  </si>
  <si>
    <t>Stopp</t>
  </si>
  <si>
    <t>Timer</t>
  </si>
  <si>
    <t>Kategori/notat</t>
  </si>
  <si>
    <t>Backlog item#</t>
  </si>
  <si>
    <t>Oppsummering</t>
  </si>
  <si>
    <t>Years</t>
  </si>
  <si>
    <t>Months</t>
  </si>
  <si>
    <t>Days</t>
  </si>
  <si>
    <t>Weekend</t>
  </si>
  <si>
    <t>Check Box</t>
  </si>
  <si>
    <t>January</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</si>
  <si>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</si>
  <si>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</si>
  <si>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</si>
  <si>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</si>
  <si>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</si>
  <si>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</si>
  <si>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</si>
  <si>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</si>
  <si>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</si>
  <si>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</si>
  <si>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</si>
  <si>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</si>
  <si>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</si>
  <si>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</si>
  <si>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</si>
  <si>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</si>
  <si>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</si>
  <si>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</si>
  <si>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</si>
  <si>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</si>
  <si>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</si>
  <si>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</si>
  <si>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</si>
  <si>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</si>
  <si>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</si>
  <si>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</si>
  <si>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t>Timeliste - Chirita Adrian - Uke</t>
  </si>
  <si>
    <t>Totalt antall tid brukt på prosjektet:</t>
  </si>
  <si>
    <t>Rette små feil i min gamle timeliste</t>
  </si>
  <si>
    <t>Leste om PERT diagrammer og så på
en del videoer.</t>
  </si>
  <si>
    <t>Løsning av PERT diagram oppgaven</t>
  </si>
  <si>
    <t>Risikoanalyse forelesning</t>
  </si>
  <si>
    <t>Prosjektstyring del 2 forelesning</t>
  </si>
  <si>
    <t>Gruppe møte</t>
  </si>
  <si>
    <t>Gruppe møte og jobbet med noen utkast</t>
  </si>
  <si>
    <t xml:space="preserve">Var ikke klar over at alle i gruppa skal levere samme format på timelista i individuelle innleveringer fra og med uke 6. Synes det er bra uansett fordi alle lager egen timeliste og kan komme med tips videre når gruppe medlemmer viser frem sin timeliste. Den 06.02 jobbet jeg med utkast av aktivitetstabel, rapportering tabell, storypoints per dag tabell og burndown chart tabell. Chart tabellen lages automatisk ifra input data i storypoints per dag tabellen. Alle tabellene var en del av prosjektstyring del 2 forelesningen. Alle medlemmer i gruppa jobbet også bra, med forprosjekt utkast. </t>
  </si>
  <si>
    <t>lage denne lista + oppsumering</t>
  </si>
  <si>
    <t>Endringer den nye timelisten,</t>
  </si>
  <si>
    <t>Lage denne tabellen</t>
  </si>
  <si>
    <t>G5. Utviklingsprosesser</t>
  </si>
  <si>
    <t>G3. Kravspesifikasjon</t>
  </si>
  <si>
    <t>G2. Systemtenking og BPMN</t>
  </si>
  <si>
    <t>G1. Introduksjon</t>
  </si>
  <si>
    <t>Kategori/ stikkord</t>
  </si>
  <si>
    <t>Antall timer</t>
  </si>
  <si>
    <t>Sluttidspunkt</t>
  </si>
  <si>
    <t>Starttidspunkt</t>
  </si>
  <si>
    <t>Logg/Oppg.</t>
  </si>
  <si>
    <t>Selvstudie</t>
  </si>
  <si>
    <t>Prosjekt</t>
  </si>
  <si>
    <t>Totalt antall tid brukt på prosjekt:</t>
  </si>
  <si>
    <t>Totalt tid brukt denne uken:</t>
  </si>
  <si>
    <t>Teori - forelesning</t>
  </si>
  <si>
    <t>Timer totalt brukt</t>
  </si>
  <si>
    <t>Timer denne uka</t>
  </si>
  <si>
    <t>Timeliste - Adrian Chirita - Uke 3</t>
  </si>
  <si>
    <t>S2. Scrum</t>
  </si>
  <si>
    <t>V2. Design Patterns</t>
  </si>
  <si>
    <t>V1. UML</t>
  </si>
  <si>
    <t>G4. Utviklingsfilosofi</t>
  </si>
  <si>
    <t>Timeliste - Adrian Chirita - Uke 4</t>
  </si>
  <si>
    <t>Sette inn verdier i timelisten</t>
  </si>
  <si>
    <t>Prosjektstyring</t>
  </si>
  <si>
    <t>Prosjektpresentasjon</t>
  </si>
  <si>
    <t>Interfaces, arv, agile api</t>
  </si>
  <si>
    <t>S3.XP</t>
  </si>
  <si>
    <t>Product backlog, tom utkast</t>
  </si>
  <si>
    <t>sum timer denne uka = totalt tid brukt denne uken</t>
  </si>
  <si>
    <t>S2.Scrum del 2</t>
  </si>
  <si>
    <t xml:space="preserve">sum timer denne uka = sum antall timer </t>
  </si>
  <si>
    <t>Forbedret utgave av timelisten</t>
  </si>
  <si>
    <t>Tester</t>
  </si>
  <si>
    <t>Timeliste - Adrian Chirita - Uke 5</t>
  </si>
  <si>
    <t>Tester og andre totaler</t>
  </si>
  <si>
    <t>Test: totalt denne uka + timer totalt fra før = timer brukt totalt</t>
  </si>
  <si>
    <t>Totalt timer fra før</t>
  </si>
  <si>
    <r>
      <rPr>
        <b/>
        <sz val="10"/>
        <color theme="1"/>
        <rFont val="Calibri"/>
        <family val="2"/>
        <scheme val="minor"/>
      </rPr>
      <t>Administrativt:</t>
    </r>
    <r>
      <rPr>
        <sz val="10"/>
        <color theme="1"/>
        <rFont val="Calibri"/>
        <family val="2"/>
        <scheme val="minor"/>
      </rPr>
      <t xml:space="preserve"> Team møte, scrum møte</t>
    </r>
  </si>
  <si>
    <r>
      <rPr>
        <b/>
        <sz val="10"/>
        <color theme="1"/>
        <rFont val="Calibri"/>
        <family val="2"/>
        <scheme val="minor"/>
      </rPr>
      <t>Administrativt:</t>
    </r>
    <r>
      <rPr>
        <sz val="10"/>
        <color theme="1"/>
        <rFont val="Calibri"/>
        <family val="2"/>
        <scheme val="minor"/>
      </rPr>
      <t xml:space="preserve"> Scrum møte</t>
    </r>
  </si>
  <si>
    <r>
      <rPr>
        <b/>
        <sz val="10"/>
        <color theme="1"/>
        <rFont val="Calibri"/>
        <family val="2"/>
        <scheme val="minor"/>
      </rPr>
      <t>Administrativt:</t>
    </r>
    <r>
      <rPr>
        <sz val="10"/>
        <color theme="1"/>
        <rFont val="Calibri"/>
        <family val="2"/>
        <scheme val="minor"/>
      </rPr>
      <t xml:space="preserve"> Team møte, jobb med produktbacklog</t>
    </r>
  </si>
  <si>
    <r>
      <rPr>
        <b/>
        <sz val="10"/>
        <color theme="1"/>
        <rFont val="Calibri"/>
        <family val="2"/>
        <scheme val="minor"/>
      </rPr>
      <t>Administrativt:</t>
    </r>
    <r>
      <rPr>
        <sz val="10"/>
        <color theme="1"/>
        <rFont val="Calibri"/>
        <family val="2"/>
        <scheme val="minor"/>
      </rPr>
      <t xml:space="preserve"> Scrum møte, planning poker, team møte</t>
    </r>
  </si>
  <si>
    <r>
      <rPr>
        <b/>
        <sz val="10"/>
        <color theme="1"/>
        <rFont val="Calibri"/>
        <family val="2"/>
        <scheme val="minor"/>
      </rPr>
      <t>Administrativt:</t>
    </r>
    <r>
      <rPr>
        <sz val="10"/>
        <color theme="1"/>
        <rFont val="Calibri"/>
        <family val="2"/>
        <scheme val="minor"/>
      </rPr>
      <t xml:space="preserve"> Team møte</t>
    </r>
  </si>
  <si>
    <r>
      <rPr>
        <b/>
        <sz val="10"/>
        <color theme="1"/>
        <rFont val="Calibri"/>
        <family val="2"/>
        <scheme val="minor"/>
      </rPr>
      <t xml:space="preserve">Logg/Oppgaver: </t>
    </r>
    <r>
      <rPr>
        <sz val="10"/>
        <color theme="1"/>
        <rFont val="Calibri"/>
        <family val="2"/>
        <scheme val="minor"/>
      </rPr>
      <t>Jobb med produktbacklog</t>
    </r>
  </si>
  <si>
    <r>
      <rPr>
        <b/>
        <sz val="10"/>
        <color theme="1"/>
        <rFont val="Calibri"/>
        <family val="2"/>
        <scheme val="minor"/>
      </rPr>
      <t>Logg/Oppgaver:</t>
    </r>
    <r>
      <rPr>
        <sz val="10"/>
        <color theme="1"/>
        <rFont val="Calibri"/>
        <family val="2"/>
        <scheme val="minor"/>
      </rPr>
      <t xml:space="preserve"> Jobb med risikoanalyse, små endringer i tabeller laget fra før </t>
    </r>
  </si>
  <si>
    <r>
      <rPr>
        <b/>
        <sz val="10"/>
        <color theme="1"/>
        <rFont val="Calibri"/>
        <family val="2"/>
        <scheme val="minor"/>
      </rPr>
      <t>Logg/Oppgaver:</t>
    </r>
    <r>
      <rPr>
        <sz val="10"/>
        <color theme="1"/>
        <rFont val="Calibri"/>
        <family val="2"/>
        <scheme val="minor"/>
      </rPr>
      <t xml:space="preserve"> Jobb med produktbacklog</t>
    </r>
  </si>
  <si>
    <r>
      <rPr>
        <b/>
        <sz val="10"/>
        <color theme="1"/>
        <rFont val="Calibri"/>
        <family val="2"/>
        <scheme val="minor"/>
      </rPr>
      <t>Logg/Oppgaver:</t>
    </r>
    <r>
      <rPr>
        <sz val="10"/>
        <color theme="1"/>
        <rFont val="Calibri"/>
        <family val="2"/>
        <scheme val="minor"/>
      </rPr>
      <t xml:space="preserve"> Jobb med risikoanalyse og Sprint tabell</t>
    </r>
  </si>
  <si>
    <r>
      <rPr>
        <b/>
        <sz val="10"/>
        <color theme="1"/>
        <rFont val="Calibri"/>
        <family val="2"/>
        <scheme val="minor"/>
      </rPr>
      <t>Logg/Oppgaver:</t>
    </r>
    <r>
      <rPr>
        <sz val="10"/>
        <color theme="1"/>
        <rFont val="Calibri"/>
        <family val="2"/>
        <scheme val="minor"/>
      </rPr>
      <t xml:space="preserve"> Jobbe med timelister, Slå sammen timelister, Oppsumering </t>
    </r>
  </si>
  <si>
    <r>
      <rPr>
        <b/>
        <sz val="10"/>
        <color theme="1"/>
        <rFont val="Calibri"/>
        <family val="2"/>
        <scheme val="minor"/>
      </rPr>
      <t>Logg/Oppgaver:</t>
    </r>
    <r>
      <rPr>
        <sz val="10"/>
        <color theme="1"/>
        <rFont val="Calibri"/>
        <family val="2"/>
        <scheme val="minor"/>
      </rPr>
      <t xml:space="preserve"> gjøre ferdig Oppsummeringen, endret timelisten litt(formel i fra-dato til-dato felt)</t>
    </r>
  </si>
  <si>
    <r>
      <rPr>
        <b/>
        <sz val="10"/>
        <color theme="1"/>
        <rFont val="Calibri"/>
        <family val="2"/>
        <scheme val="minor"/>
      </rPr>
      <t xml:space="preserve">Utvikling: </t>
    </r>
    <r>
      <rPr>
        <sz val="10"/>
        <color theme="1"/>
        <rFont val="Calibri"/>
        <family val="2"/>
        <scheme val="minor"/>
      </rPr>
      <t>Git oppsett</t>
    </r>
  </si>
  <si>
    <r>
      <rPr>
        <b/>
        <sz val="10"/>
        <color theme="1"/>
        <rFont val="Calibri"/>
        <family val="2"/>
        <scheme val="minor"/>
      </rPr>
      <t>Teori:</t>
    </r>
    <r>
      <rPr>
        <sz val="10"/>
        <color theme="1"/>
        <rFont val="Calibri"/>
        <family val="2"/>
        <scheme val="minor"/>
      </rPr>
      <t xml:space="preserve"> HTML, w3Schools.com</t>
    </r>
  </si>
  <si>
    <r>
      <rPr>
        <b/>
        <sz val="10"/>
        <color theme="1"/>
        <rFont val="Calibri"/>
        <family val="2"/>
        <scheme val="minor"/>
      </rPr>
      <t xml:space="preserve">Utvikling: </t>
    </r>
    <r>
      <rPr>
        <sz val="10"/>
        <color theme="1"/>
        <rFont val="Calibri"/>
        <family val="2"/>
        <scheme val="minor"/>
      </rPr>
      <t>Xdebug, Mysql, XAMPP</t>
    </r>
  </si>
  <si>
    <r>
      <rPr>
        <b/>
        <sz val="10"/>
        <color theme="1"/>
        <rFont val="Calibri"/>
        <family val="2"/>
        <scheme val="minor"/>
      </rPr>
      <t>Logg/Oppgaver:</t>
    </r>
    <r>
      <rPr>
        <sz val="10"/>
        <color theme="1"/>
        <rFont val="Calibri"/>
        <family val="2"/>
        <scheme val="minor"/>
      </rPr>
      <t xml:space="preserve"> Jobb med timelister</t>
    </r>
  </si>
  <si>
    <r>
      <rPr>
        <b/>
        <sz val="10"/>
        <color theme="1"/>
        <rFont val="Calibri"/>
        <family val="2"/>
        <scheme val="minor"/>
      </rPr>
      <t>Logg/Oppgaver:</t>
    </r>
    <r>
      <rPr>
        <sz val="10"/>
        <color theme="1"/>
        <rFont val="Calibri"/>
        <family val="2"/>
        <scheme val="minor"/>
      </rPr>
      <t xml:space="preserve"> Jobb med Burndown og Burnup charts</t>
    </r>
  </si>
  <si>
    <r>
      <rPr>
        <b/>
        <sz val="10"/>
        <color theme="1"/>
        <rFont val="Calibri"/>
        <family val="2"/>
        <scheme val="minor"/>
      </rPr>
      <t xml:space="preserve">Logg/Oppgaver: </t>
    </r>
    <r>
      <rPr>
        <sz val="10"/>
        <color theme="1"/>
        <rFont val="Calibri"/>
        <family val="2"/>
        <scheme val="minor"/>
      </rPr>
      <t>gjøre ferdig Oppsummering</t>
    </r>
  </si>
  <si>
    <r>
      <rPr>
        <b/>
        <sz val="10"/>
        <color theme="1"/>
        <rFont val="Calibri"/>
        <family val="2"/>
        <scheme val="minor"/>
      </rPr>
      <t>Teori:</t>
    </r>
    <r>
      <rPr>
        <sz val="10"/>
        <color theme="1"/>
        <rFont val="Calibri"/>
        <family val="2"/>
        <scheme val="minor"/>
      </rPr>
      <t xml:space="preserve"> CSS</t>
    </r>
  </si>
  <si>
    <r>
      <rPr>
        <b/>
        <sz val="10"/>
        <color theme="1"/>
        <rFont val="Calibri"/>
        <family val="2"/>
        <scheme val="minor"/>
      </rPr>
      <t>Teori:</t>
    </r>
    <r>
      <rPr>
        <sz val="10"/>
        <color theme="1"/>
        <rFont val="Calibri"/>
        <family val="2"/>
        <scheme val="minor"/>
      </rPr>
      <t xml:space="preserve"> PHP og oppgaver</t>
    </r>
  </si>
  <si>
    <r>
      <rPr>
        <b/>
        <sz val="10"/>
        <color theme="1"/>
        <rFont val="Calibri"/>
        <family val="2"/>
        <scheme val="minor"/>
      </rPr>
      <t xml:space="preserve">Utvikling: </t>
    </r>
    <r>
      <rPr>
        <sz val="10"/>
        <color theme="1"/>
        <rFont val="Calibri"/>
        <family val="2"/>
        <scheme val="minor"/>
      </rPr>
      <t>Excel</t>
    </r>
  </si>
  <si>
    <r>
      <rPr>
        <b/>
        <sz val="10"/>
        <color theme="1"/>
        <rFont val="Calibri"/>
        <family val="2"/>
        <scheme val="minor"/>
      </rPr>
      <t>Teori:</t>
    </r>
    <r>
      <rPr>
        <sz val="10"/>
        <color theme="1"/>
        <rFont val="Calibri"/>
        <family val="2"/>
        <scheme val="minor"/>
      </rPr>
      <t xml:space="preserve"> PHP</t>
    </r>
  </si>
  <si>
    <r>
      <rPr>
        <b/>
        <sz val="10"/>
        <color theme="1"/>
        <rFont val="Calibri"/>
        <family val="2"/>
        <scheme val="minor"/>
      </rPr>
      <t>Administrativt:</t>
    </r>
    <r>
      <rPr>
        <sz val="10"/>
        <color theme="1"/>
        <rFont val="Calibri"/>
        <family val="2"/>
        <scheme val="minor"/>
      </rPr>
      <t xml:space="preserve"> Sprint review møte med PO</t>
    </r>
  </si>
  <si>
    <r>
      <rPr>
        <b/>
        <sz val="10"/>
        <color theme="1"/>
        <rFont val="Calibri"/>
        <family val="2"/>
        <scheme val="minor"/>
      </rPr>
      <t>Administrativt:</t>
    </r>
    <r>
      <rPr>
        <sz val="10"/>
        <color theme="1"/>
        <rFont val="Calibri"/>
        <family val="2"/>
        <scheme val="minor"/>
      </rPr>
      <t xml:space="preserve"> Vi gikk gjennom hva som skal gjøres i Sprint 2.</t>
    </r>
  </si>
  <si>
    <r>
      <rPr>
        <b/>
        <sz val="10"/>
        <color theme="1"/>
        <rFont val="Calibri"/>
        <family val="2"/>
        <scheme val="minor"/>
      </rPr>
      <t xml:space="preserve">Utvikling: </t>
    </r>
    <r>
      <rPr>
        <sz val="10"/>
        <color theme="1"/>
        <rFont val="Calibri"/>
        <family val="2"/>
        <scheme val="minor"/>
      </rPr>
      <t>PHPStorm prosjekt oppsett</t>
    </r>
  </si>
  <si>
    <r>
      <rPr>
        <b/>
        <sz val="10"/>
        <color theme="1"/>
        <rFont val="Calibri"/>
        <family val="2"/>
        <scheme val="minor"/>
      </rPr>
      <t>Logg/Oppgaver:</t>
    </r>
    <r>
      <rPr>
        <sz val="10"/>
        <color theme="1"/>
        <rFont val="Calibri"/>
        <family val="2"/>
        <scheme val="minor"/>
      </rPr>
      <t xml:space="preserve"> Planning poker for Sprint 2</t>
    </r>
  </si>
  <si>
    <r>
      <rPr>
        <b/>
        <sz val="10"/>
        <color theme="1"/>
        <rFont val="Calibri"/>
        <family val="2"/>
        <scheme val="minor"/>
      </rPr>
      <t>Logg/Oppgaver:</t>
    </r>
    <r>
      <rPr>
        <sz val="10"/>
        <color theme="1"/>
        <rFont val="Calibri"/>
        <family val="2"/>
        <scheme val="minor"/>
      </rPr>
      <t xml:space="preserve"> Avhengighetstabell for Sprint 2</t>
    </r>
  </si>
  <si>
    <r>
      <rPr>
        <b/>
        <sz val="10"/>
        <color theme="1"/>
        <rFont val="Calibri"/>
        <family val="2"/>
        <scheme val="minor"/>
      </rPr>
      <t xml:space="preserve">Logg/Oppgaver: </t>
    </r>
    <r>
      <rPr>
        <sz val="10"/>
        <color theme="1"/>
        <rFont val="Calibri"/>
        <family val="2"/>
        <scheme val="minor"/>
      </rPr>
      <t>Gjøre ferdig Sprint 1 (Sprint Retrospective)</t>
    </r>
  </si>
  <si>
    <r>
      <rPr>
        <b/>
        <sz val="10"/>
        <color theme="1"/>
        <rFont val="Calibri"/>
        <family val="2"/>
        <scheme val="minor"/>
      </rPr>
      <t xml:space="preserve">Logg/Oppgaver: </t>
    </r>
    <r>
      <rPr>
        <sz val="10"/>
        <color theme="1"/>
        <rFont val="Calibri"/>
        <family val="2"/>
        <scheme val="minor"/>
      </rPr>
      <t>gjøre ferdig Oppsummering/timeliste</t>
    </r>
  </si>
  <si>
    <r>
      <rPr>
        <b/>
        <sz val="10"/>
        <color theme="1"/>
        <rFont val="Calibri"/>
        <family val="2"/>
        <scheme val="minor"/>
      </rPr>
      <t xml:space="preserve">Logg/Oppgaver: </t>
    </r>
    <r>
      <rPr>
        <sz val="10"/>
        <color theme="1"/>
        <rFont val="Calibri"/>
        <family val="2"/>
        <scheme val="minor"/>
      </rPr>
      <t>.bat fil / Eclipse windows oppsett</t>
    </r>
  </si>
  <si>
    <r>
      <rPr>
        <b/>
        <sz val="10"/>
        <color theme="1"/>
        <rFont val="Calibri"/>
        <family val="2"/>
        <scheme val="minor"/>
      </rPr>
      <t>Administrativt:</t>
    </r>
    <r>
      <rPr>
        <sz val="10"/>
        <color theme="1"/>
        <rFont val="Calibri"/>
        <family val="2"/>
        <scheme val="minor"/>
      </rPr>
      <t xml:space="preserve"> Restrukturering mappestruktur </t>
    </r>
  </si>
  <si>
    <r>
      <rPr>
        <b/>
        <sz val="10"/>
        <color theme="1"/>
        <rFont val="Calibri"/>
        <family val="2"/>
        <scheme val="minor"/>
      </rPr>
      <t>Administrativt:</t>
    </r>
    <r>
      <rPr>
        <sz val="10"/>
        <color theme="1"/>
        <rFont val="Calibri"/>
        <family val="2"/>
        <scheme val="minor"/>
      </rPr>
      <t xml:space="preserve"> Sprint 0 rette feil</t>
    </r>
  </si>
  <si>
    <r>
      <rPr>
        <b/>
        <sz val="10"/>
        <color theme="1"/>
        <rFont val="Calibri"/>
        <family val="2"/>
        <scheme val="minor"/>
      </rPr>
      <t>Administrativt:</t>
    </r>
    <r>
      <rPr>
        <sz val="10"/>
        <color theme="1"/>
        <rFont val="Calibri"/>
        <family val="2"/>
        <scheme val="minor"/>
      </rPr>
      <t xml:space="preserve"> Gjøre ferdig Sprint 0</t>
    </r>
  </si>
  <si>
    <r>
      <rPr>
        <b/>
        <sz val="10"/>
        <color theme="1"/>
        <rFont val="Calibri"/>
        <family val="2"/>
        <scheme val="minor"/>
      </rPr>
      <t>Utvikling</t>
    </r>
    <r>
      <rPr>
        <sz val="10"/>
        <color theme="1"/>
        <rFont val="Calibri"/>
        <family val="2"/>
        <scheme val="minor"/>
      </rPr>
      <t>: Jobb med Excel</t>
    </r>
  </si>
  <si>
    <r>
      <rPr>
        <b/>
        <sz val="10"/>
        <color theme="1"/>
        <rFont val="Calibri"/>
        <family val="2"/>
        <scheme val="minor"/>
      </rPr>
      <t>Teori:</t>
    </r>
    <r>
      <rPr>
        <sz val="10"/>
        <color theme="1"/>
        <rFont val="Calibri"/>
        <family val="2"/>
        <scheme val="minor"/>
      </rPr>
      <t xml:space="preserve"> PHP </t>
    </r>
  </si>
  <si>
    <r>
      <rPr>
        <b/>
        <sz val="10"/>
        <color theme="1"/>
        <rFont val="Calibri"/>
        <family val="2"/>
        <scheme val="minor"/>
      </rPr>
      <t>Utvikling</t>
    </r>
    <r>
      <rPr>
        <sz val="10"/>
        <color theme="1"/>
        <rFont val="Calibri"/>
        <family val="2"/>
        <scheme val="minor"/>
      </rPr>
      <t>: PHPStorm oppsett</t>
    </r>
  </si>
  <si>
    <r>
      <rPr>
        <b/>
        <sz val="10"/>
        <color theme="1"/>
        <rFont val="Calibri"/>
        <family val="2"/>
        <scheme val="minor"/>
      </rPr>
      <t>Utvikling</t>
    </r>
    <r>
      <rPr>
        <sz val="10"/>
        <color theme="1"/>
        <rFont val="Calibri"/>
        <family val="2"/>
        <scheme val="minor"/>
      </rPr>
      <t>: Feide login dokumenter</t>
    </r>
  </si>
  <si>
    <r>
      <rPr>
        <b/>
        <sz val="10"/>
        <color theme="1"/>
        <rFont val="Calibri"/>
        <family val="2"/>
        <scheme val="minor"/>
      </rPr>
      <t>Utvikling</t>
    </r>
    <r>
      <rPr>
        <sz val="10"/>
        <color theme="1"/>
        <rFont val="Calibri"/>
        <family val="2"/>
        <scheme val="minor"/>
      </rPr>
      <t>: Finne en løsning for koden til Vegard i plenum</t>
    </r>
  </si>
  <si>
    <r>
      <rPr>
        <b/>
        <sz val="10"/>
        <color theme="1"/>
        <rFont val="Calibri"/>
        <family val="2"/>
        <scheme val="minor"/>
      </rPr>
      <t>Logg/Oppgaver</t>
    </r>
    <r>
      <rPr>
        <sz val="10"/>
        <color theme="1"/>
        <rFont val="Calibri"/>
        <family val="2"/>
        <scheme val="minor"/>
      </rPr>
      <t>: Mappe struktur Sprint 2 , noen endringer</t>
    </r>
  </si>
  <si>
    <r>
      <t xml:space="preserve">Logg/Oppgaver: </t>
    </r>
    <r>
      <rPr>
        <sz val="10"/>
        <color theme="1"/>
        <rFont val="Calibri"/>
        <family val="2"/>
        <scheme val="minor"/>
      </rPr>
      <t>Ferdigstilling av fremdriftsplan og sprint backlog 3.</t>
    </r>
  </si>
  <si>
    <r>
      <rPr>
        <b/>
        <sz val="10"/>
        <color theme="1"/>
        <rFont val="Calibri"/>
        <family val="2"/>
        <scheme val="minor"/>
      </rPr>
      <t>Teori</t>
    </r>
    <r>
      <rPr>
        <sz val="10"/>
        <color theme="1"/>
        <rFont val="Calibri"/>
        <family val="2"/>
        <scheme val="minor"/>
      </rPr>
      <t>: PHP</t>
    </r>
  </si>
  <si>
    <r>
      <t xml:space="preserve">Utvikling: </t>
    </r>
    <r>
      <rPr>
        <sz val="10"/>
        <color theme="1"/>
        <rFont val="Calibri"/>
        <family val="2"/>
        <scheme val="minor"/>
      </rPr>
      <t>Arkiver emne</t>
    </r>
  </si>
  <si>
    <r>
      <rPr>
        <b/>
        <sz val="10"/>
        <color theme="1"/>
        <rFont val="Calibri"/>
        <family val="2"/>
        <scheme val="minor"/>
      </rPr>
      <t>Administrativt:</t>
    </r>
    <r>
      <rPr>
        <sz val="10"/>
        <color theme="1"/>
        <rFont val="Calibri"/>
        <family val="2"/>
        <scheme val="minor"/>
      </rPr>
      <t xml:space="preserve"> Scrum-review</t>
    </r>
  </si>
  <si>
    <r>
      <rPr>
        <b/>
        <sz val="10"/>
        <color theme="1"/>
        <rFont val="Calibri"/>
        <family val="2"/>
        <scheme val="minor"/>
      </rPr>
      <t>Utvikling</t>
    </r>
    <r>
      <rPr>
        <sz val="10"/>
        <color theme="1"/>
        <rFont val="Calibri"/>
        <family val="2"/>
        <scheme val="minor"/>
      </rPr>
      <t>: Excel</t>
    </r>
  </si>
  <si>
    <r>
      <rPr>
        <b/>
        <sz val="10"/>
        <color theme="1"/>
        <rFont val="Calibri"/>
        <family val="2"/>
        <scheme val="minor"/>
      </rPr>
      <t>Utvikling</t>
    </r>
    <r>
      <rPr>
        <sz val="10"/>
        <color theme="1"/>
        <rFont val="Calibri"/>
        <family val="2"/>
        <scheme val="minor"/>
      </rPr>
      <t>: Applikasjon registrering FEIDE</t>
    </r>
  </si>
  <si>
    <t>16.1</t>
  </si>
  <si>
    <t>16.4</t>
  </si>
  <si>
    <r>
      <rPr>
        <b/>
        <sz val="10"/>
        <color theme="1"/>
        <rFont val="Calibri"/>
        <family val="2"/>
        <scheme val="minor"/>
      </rPr>
      <t>Utvikling</t>
    </r>
    <r>
      <rPr>
        <sz val="10"/>
        <color theme="1"/>
        <rFont val="Calibri"/>
        <family val="2"/>
        <scheme val="minor"/>
      </rPr>
      <t>: Admin kan søke etter brukere</t>
    </r>
  </si>
  <si>
    <r>
      <rPr>
        <b/>
        <sz val="10"/>
        <color theme="1"/>
        <rFont val="Calibri"/>
        <family val="2"/>
        <scheme val="minor"/>
      </rPr>
      <t>Utvikling</t>
    </r>
    <r>
      <rPr>
        <sz val="10"/>
        <color theme="1"/>
        <rFont val="Calibri"/>
        <family val="2"/>
        <scheme val="minor"/>
      </rPr>
      <t>: Web scraping</t>
    </r>
  </si>
  <si>
    <r>
      <rPr>
        <b/>
        <sz val="10"/>
        <color theme="1"/>
        <rFont val="Calibri"/>
        <family val="2"/>
        <scheme val="minor"/>
      </rPr>
      <t>Utvikling</t>
    </r>
    <r>
      <rPr>
        <sz val="10"/>
        <color theme="1"/>
        <rFont val="Calibri"/>
        <family val="2"/>
        <scheme val="minor"/>
      </rPr>
      <t>: Endre rettigheter til brukere</t>
    </r>
  </si>
  <si>
    <r>
      <rPr>
        <b/>
        <sz val="10"/>
        <color theme="1"/>
        <rFont val="Calibri"/>
        <family val="2"/>
        <scheme val="minor"/>
      </rPr>
      <t>Utvikling</t>
    </r>
    <r>
      <rPr>
        <sz val="10"/>
        <color theme="1"/>
        <rFont val="Calibri"/>
        <family val="2"/>
        <scheme val="minor"/>
      </rPr>
      <t>: Design administrativ side</t>
    </r>
  </si>
  <si>
    <t>16.5</t>
  </si>
  <si>
    <t>Logg/Oppgaver: Avehengighets tabell, PERT diagram</t>
  </si>
  <si>
    <t>Logg/Oppgaver: endringer før Sprint 2 innlevering</t>
  </si>
  <si>
    <t>Logg/Oppgaver: Sprint 4 backlog user stories</t>
  </si>
  <si>
    <t>Logg/Oppgaver: Sprint 3 dokumenter</t>
  </si>
  <si>
    <t>Teori: PHP</t>
  </si>
  <si>
    <r>
      <rPr>
        <b/>
        <sz val="10"/>
        <color theme="1"/>
        <rFont val="Calibri"/>
        <family val="2"/>
        <scheme val="minor"/>
      </rPr>
      <t>Utvikling</t>
    </r>
    <r>
      <rPr>
        <sz val="10"/>
        <color theme="1"/>
        <rFont val="Calibri"/>
        <family val="2"/>
        <scheme val="minor"/>
      </rPr>
      <t>: Knapper til endring av rettigheter</t>
    </r>
  </si>
  <si>
    <t>16.6</t>
  </si>
  <si>
    <t>11.1</t>
  </si>
  <si>
    <t>9.3</t>
  </si>
  <si>
    <r>
      <rPr>
        <b/>
        <sz val="10"/>
        <color theme="1"/>
        <rFont val="Calibri"/>
        <family val="2"/>
        <scheme val="minor"/>
      </rPr>
      <t>Administrativt</t>
    </r>
    <r>
      <rPr>
        <sz val="10"/>
        <color theme="1"/>
        <rFont val="Calibri"/>
        <family val="2"/>
        <scheme val="minor"/>
      </rPr>
      <t>: Scrum møte</t>
    </r>
  </si>
  <si>
    <r>
      <rPr>
        <b/>
        <sz val="10"/>
        <color theme="1"/>
        <rFont val="Calibri"/>
        <family val="2"/>
        <scheme val="minor"/>
      </rPr>
      <t>Logg/Oppgaver</t>
    </r>
    <r>
      <rPr>
        <sz val="10"/>
        <color theme="1"/>
        <rFont val="Calibri"/>
        <family val="2"/>
        <scheme val="minor"/>
      </rPr>
      <t>: Gruppe innlevering 31. mars</t>
    </r>
  </si>
  <si>
    <t>22.2</t>
  </si>
  <si>
    <r>
      <rPr>
        <b/>
        <sz val="10"/>
        <color theme="1"/>
        <rFont val="Calibri"/>
        <family val="2"/>
        <scheme val="minor"/>
      </rPr>
      <t>Teori</t>
    </r>
    <r>
      <rPr>
        <sz val="10"/>
        <color theme="1"/>
        <rFont val="Calibri"/>
        <family val="2"/>
        <scheme val="minor"/>
      </rPr>
      <t>: MYSQL</t>
    </r>
  </si>
  <si>
    <r>
      <rPr>
        <b/>
        <sz val="10"/>
        <color theme="1"/>
        <rFont val="Calibri"/>
        <family val="2"/>
        <scheme val="minor"/>
      </rPr>
      <t>Utvikling</t>
    </r>
    <r>
      <rPr>
        <sz val="10"/>
        <color theme="1"/>
        <rFont val="Calibri"/>
        <family val="2"/>
        <scheme val="minor"/>
      </rPr>
      <t>: Lagring og markering av endringer i emne</t>
    </r>
  </si>
  <si>
    <r>
      <rPr>
        <b/>
        <sz val="10"/>
        <color theme="1"/>
        <rFont val="Calibri"/>
        <family val="2"/>
        <scheme val="minor"/>
      </rPr>
      <t>Utvikling</t>
    </r>
    <r>
      <rPr>
        <sz val="10"/>
        <color theme="1"/>
        <rFont val="Calibri"/>
        <family val="2"/>
        <scheme val="minor"/>
      </rPr>
      <t>: Ny database ER modell</t>
    </r>
  </si>
  <si>
    <r>
      <rPr>
        <b/>
        <sz val="10"/>
        <color theme="1"/>
        <rFont val="Calibri"/>
        <family val="2"/>
        <scheme val="minor"/>
      </rPr>
      <t>Utvikling</t>
    </r>
    <r>
      <rPr>
        <sz val="10"/>
        <color theme="1"/>
        <rFont val="Calibri"/>
        <family val="2"/>
        <scheme val="minor"/>
      </rPr>
      <t>: Vis forrige emne versjon</t>
    </r>
  </si>
  <si>
    <t>22.1</t>
  </si>
  <si>
    <r>
      <rPr>
        <b/>
        <sz val="10"/>
        <color theme="1"/>
        <rFont val="Calibri"/>
        <family val="2"/>
        <scheme val="minor"/>
      </rPr>
      <t>Teori</t>
    </r>
    <r>
      <rPr>
        <sz val="10"/>
        <color theme="1"/>
        <rFont val="Calibri"/>
        <family val="2"/>
        <scheme val="minor"/>
      </rPr>
      <t>: HTML/ PHP/ JS</t>
    </r>
  </si>
  <si>
    <r>
      <rPr>
        <b/>
        <sz val="10"/>
        <color theme="1"/>
        <rFont val="Calibri"/>
        <family val="2"/>
        <scheme val="minor"/>
      </rPr>
      <t>Utvikling</t>
    </r>
    <r>
      <rPr>
        <sz val="10"/>
        <color theme="1"/>
        <rFont val="Calibri"/>
        <family val="2"/>
        <scheme val="minor"/>
      </rPr>
      <t>: Markering av endringer i emne</t>
    </r>
  </si>
  <si>
    <r>
      <rPr>
        <b/>
        <sz val="10"/>
        <color theme="1"/>
        <rFont val="Calibri"/>
        <family val="2"/>
        <scheme val="minor"/>
      </rPr>
      <t>Teori</t>
    </r>
    <r>
      <rPr>
        <sz val="10"/>
        <color theme="1"/>
        <rFont val="Calibri"/>
        <family val="2"/>
        <scheme val="minor"/>
      </rPr>
      <t>: Twig</t>
    </r>
  </si>
  <si>
    <r>
      <t xml:space="preserve">Utvikling: </t>
    </r>
    <r>
      <rPr>
        <sz val="10"/>
        <color theme="1"/>
        <rFont val="Calibri"/>
        <family val="2"/>
        <scheme val="minor"/>
      </rPr>
      <t>Visning av eldre og ny emne versjon</t>
    </r>
  </si>
  <si>
    <r>
      <rPr>
        <b/>
        <sz val="10"/>
        <color theme="1"/>
        <rFont val="Calibri"/>
        <family val="2"/>
        <scheme val="minor"/>
      </rPr>
      <t>Teori</t>
    </r>
    <r>
      <rPr>
        <sz val="10"/>
        <color theme="1"/>
        <rFont val="Calibri"/>
        <family val="2"/>
        <scheme val="minor"/>
      </rPr>
      <t>: PHP/ Twig / MYSQL</t>
    </r>
  </si>
  <si>
    <r>
      <rPr>
        <b/>
        <sz val="10"/>
        <color theme="1"/>
        <rFont val="Calibri"/>
        <family val="2"/>
        <scheme val="minor"/>
      </rPr>
      <t>Logg/Oppgaver:</t>
    </r>
    <r>
      <rPr>
        <sz val="10"/>
        <color theme="1"/>
        <rFont val="Calibri"/>
        <family val="2"/>
        <scheme val="minor"/>
      </rPr>
      <t xml:space="preserve"> gjøre ferdig Sprint 5</t>
    </r>
  </si>
  <si>
    <r>
      <rPr>
        <b/>
        <sz val="10"/>
        <color theme="1"/>
        <rFont val="Calibri"/>
        <family val="2"/>
        <scheme val="minor"/>
      </rPr>
      <t>Utvikling</t>
    </r>
    <r>
      <rPr>
        <sz val="10"/>
        <color theme="1"/>
        <rFont val="Calibri"/>
        <family val="2"/>
        <scheme val="minor"/>
      </rPr>
      <t>: Forrige emne/ ny emne versjoner</t>
    </r>
  </si>
  <si>
    <r>
      <rPr>
        <b/>
        <sz val="10"/>
        <color theme="1"/>
        <rFont val="Calibri"/>
        <family val="2"/>
        <scheme val="minor"/>
      </rPr>
      <t>Utvikling</t>
    </r>
    <r>
      <rPr>
        <sz val="10"/>
        <color theme="1"/>
        <rFont val="Calibri"/>
        <family val="2"/>
        <scheme val="minor"/>
      </rPr>
      <t>: Grunnleggende design admin side</t>
    </r>
  </si>
  <si>
    <t>16.2</t>
  </si>
  <si>
    <r>
      <rPr>
        <b/>
        <sz val="10"/>
        <color theme="1"/>
        <rFont val="Calibri"/>
        <family val="2"/>
        <scheme val="minor"/>
      </rPr>
      <t>Utvikling</t>
    </r>
    <r>
      <rPr>
        <sz val="10"/>
        <color theme="1"/>
        <rFont val="Calibri"/>
        <family val="2"/>
        <scheme val="minor"/>
      </rPr>
      <t>: Admin kan endre fakultet til bruker</t>
    </r>
  </si>
  <si>
    <r>
      <rPr>
        <b/>
        <sz val="10"/>
        <color theme="1"/>
        <rFont val="Calibri"/>
        <family val="2"/>
        <scheme val="minor"/>
      </rPr>
      <t>Teori</t>
    </r>
    <r>
      <rPr>
        <sz val="10"/>
        <color theme="1"/>
        <rFont val="Calibri"/>
        <family val="2"/>
        <scheme val="minor"/>
      </rPr>
      <t>: PHP / Ajax / JS / MYSQL</t>
    </r>
  </si>
  <si>
    <r>
      <rPr>
        <b/>
        <sz val="10"/>
        <color theme="1"/>
        <rFont val="Calibri"/>
        <family val="2"/>
        <scheme val="minor"/>
      </rPr>
      <t>Utvikling</t>
    </r>
    <r>
      <rPr>
        <sz val="10"/>
        <color theme="1"/>
        <rFont val="Calibri"/>
        <family val="2"/>
        <scheme val="minor"/>
      </rPr>
      <t>: Database tabeller/ triggers</t>
    </r>
  </si>
  <si>
    <r>
      <rPr>
        <b/>
        <sz val="10"/>
        <color theme="1"/>
        <rFont val="Calibri"/>
        <family val="2"/>
        <scheme val="minor"/>
      </rPr>
      <t>Utvikling</t>
    </r>
    <r>
      <rPr>
        <sz val="10"/>
        <color theme="1"/>
        <rFont val="Calibri"/>
        <family val="2"/>
        <scheme val="minor"/>
      </rPr>
      <t>: Ajax live search Forkunnskap i Opprette emne</t>
    </r>
  </si>
  <si>
    <r>
      <rPr>
        <b/>
        <sz val="10"/>
        <color theme="1"/>
        <rFont val="Calibri"/>
        <family val="2"/>
        <scheme val="minor"/>
      </rPr>
      <t>Utvikling</t>
    </r>
    <r>
      <rPr>
        <sz val="10"/>
        <color theme="1"/>
        <rFont val="Calibri"/>
        <family val="2"/>
        <scheme val="minor"/>
      </rPr>
      <t>: Database tabell StudieRetning</t>
    </r>
  </si>
  <si>
    <r>
      <rPr>
        <b/>
        <sz val="10"/>
        <color theme="1"/>
        <rFont val="Calibri"/>
        <family val="2"/>
        <scheme val="minor"/>
      </rPr>
      <t>Teori</t>
    </r>
    <r>
      <rPr>
        <sz val="10"/>
        <color theme="1"/>
        <rFont val="Calibri"/>
        <family val="2"/>
        <scheme val="minor"/>
      </rPr>
      <t>: PHP / Ajax / JS</t>
    </r>
  </si>
  <si>
    <r>
      <rPr>
        <b/>
        <sz val="10"/>
        <color theme="1"/>
        <rFont val="Calibri"/>
        <family val="2"/>
        <scheme val="minor"/>
      </rPr>
      <t>Logg/Oppgaver:</t>
    </r>
    <r>
      <rPr>
        <sz val="10"/>
        <color theme="1"/>
        <rFont val="Calibri"/>
        <family val="2"/>
        <scheme val="minor"/>
      </rPr>
      <t xml:space="preserve"> innlevering</t>
    </r>
  </si>
  <si>
    <r>
      <rPr>
        <b/>
        <sz val="10"/>
        <color theme="1"/>
        <rFont val="Calibri"/>
        <family val="2"/>
        <scheme val="minor"/>
      </rPr>
      <t>Administrativt</t>
    </r>
    <r>
      <rPr>
        <sz val="10"/>
        <color theme="1"/>
        <rFont val="Calibri"/>
        <family val="2"/>
        <scheme val="minor"/>
      </rPr>
      <t>: Sprint review</t>
    </r>
  </si>
  <si>
    <r>
      <rPr>
        <b/>
        <sz val="10"/>
        <color theme="1"/>
        <rFont val="Calibri"/>
        <family val="2"/>
        <scheme val="minor"/>
      </rPr>
      <t>Utvikling</t>
    </r>
    <r>
      <rPr>
        <sz val="10"/>
        <color theme="1"/>
        <rFont val="Calibri"/>
        <family val="2"/>
        <scheme val="minor"/>
      </rPr>
      <t>: team arbeid</t>
    </r>
  </si>
  <si>
    <r>
      <rPr>
        <b/>
        <sz val="10"/>
        <color theme="1"/>
        <rFont val="Calibri"/>
        <family val="2"/>
        <scheme val="minor"/>
      </rPr>
      <t>Teori</t>
    </r>
    <r>
      <rPr>
        <sz val="10"/>
        <color theme="1"/>
        <rFont val="Calibri"/>
        <family val="2"/>
        <scheme val="minor"/>
      </rPr>
      <t>: jQuery/ JS</t>
    </r>
  </si>
  <si>
    <r>
      <rPr>
        <b/>
        <sz val="10"/>
        <color theme="1"/>
        <rFont val="Calibri"/>
        <family val="2"/>
        <scheme val="minor"/>
      </rPr>
      <t>Utvikling</t>
    </r>
    <r>
      <rPr>
        <sz val="10"/>
        <color theme="1"/>
        <rFont val="Calibri"/>
        <family val="2"/>
        <scheme val="minor"/>
      </rPr>
      <t>: Fikset ajax live search sammen med Alex.</t>
    </r>
  </si>
  <si>
    <t>37.2</t>
  </si>
  <si>
    <r>
      <rPr>
        <b/>
        <sz val="10"/>
        <color theme="1"/>
        <rFont val="Calibri"/>
        <family val="2"/>
        <scheme val="minor"/>
      </rPr>
      <t>Utvikling</t>
    </r>
    <r>
      <rPr>
        <sz val="10"/>
        <color theme="1"/>
        <rFont val="Calibri"/>
        <family val="2"/>
        <scheme val="minor"/>
      </rPr>
      <t>: En del endringer i design sammen med Alex.</t>
    </r>
  </si>
  <si>
    <t>40.1</t>
  </si>
  <si>
    <r>
      <rPr>
        <b/>
        <sz val="10"/>
        <color theme="1"/>
        <rFont val="Calibri"/>
        <family val="2"/>
        <scheme val="minor"/>
      </rPr>
      <t>Utvikling</t>
    </r>
    <r>
      <rPr>
        <sz val="10"/>
        <color theme="1"/>
        <rFont val="Calibri"/>
        <family val="2"/>
        <scheme val="minor"/>
      </rPr>
      <t>: Git prosjekt debugging</t>
    </r>
  </si>
  <si>
    <r>
      <rPr>
        <b/>
        <sz val="10"/>
        <color theme="1"/>
        <rFont val="Calibri"/>
        <family val="2"/>
        <scheme val="minor"/>
      </rPr>
      <t>Administrativt</t>
    </r>
    <r>
      <rPr>
        <sz val="10"/>
        <color theme="1"/>
        <rFont val="Calibri"/>
        <family val="2"/>
        <scheme val="minor"/>
      </rPr>
      <t>: Møte sprint 5 innlevering</t>
    </r>
  </si>
  <si>
    <r>
      <rPr>
        <b/>
        <sz val="10"/>
        <color theme="1"/>
        <rFont val="Calibri"/>
        <family val="2"/>
        <scheme val="minor"/>
      </rPr>
      <t>Logg/ Oppgaver</t>
    </r>
    <r>
      <rPr>
        <sz val="10"/>
        <color theme="1"/>
        <rFont val="Calibri"/>
        <family val="2"/>
        <scheme val="minor"/>
      </rPr>
      <t>: Sprint 5 innlevering</t>
    </r>
  </si>
  <si>
    <r>
      <rPr>
        <b/>
        <sz val="10"/>
        <color theme="1"/>
        <rFont val="Calibri"/>
        <family val="2"/>
        <scheme val="minor"/>
      </rPr>
      <t>Utvikling</t>
    </r>
    <r>
      <rPr>
        <sz val="10"/>
        <color theme="1"/>
        <rFont val="Calibri"/>
        <family val="2"/>
        <scheme val="minor"/>
      </rPr>
      <t>: Sende json input array til oppretteEmne.php</t>
    </r>
  </si>
  <si>
    <t>32.1</t>
  </si>
  <si>
    <r>
      <rPr>
        <b/>
        <sz val="10"/>
        <color theme="1"/>
        <rFont val="Calibri"/>
        <family val="2"/>
        <scheme val="minor"/>
      </rPr>
      <t xml:space="preserve">Logg/Oppgaver: </t>
    </r>
    <r>
      <rPr>
        <sz val="10"/>
        <color theme="1"/>
        <rFont val="Calibri"/>
        <family val="2"/>
        <scheme val="minor"/>
      </rPr>
      <t>oppdatert timeliste</t>
    </r>
  </si>
  <si>
    <r>
      <rPr>
        <b/>
        <sz val="10"/>
        <color theme="1"/>
        <rFont val="Calibri"/>
        <family val="2"/>
        <scheme val="minor"/>
      </rPr>
      <t>Utvikling</t>
    </r>
    <r>
      <rPr>
        <sz val="10"/>
        <color theme="1"/>
        <rFont val="Calibri"/>
        <family val="2"/>
        <scheme val="minor"/>
      </rPr>
      <t>: Fikset lagring av valgte emner fra JS array til HTML json input felt sammen med Alex</t>
    </r>
  </si>
  <si>
    <r>
      <rPr>
        <b/>
        <sz val="10"/>
        <color theme="1"/>
        <rFont val="Calibri"/>
        <family val="2"/>
        <scheme val="minor"/>
      </rPr>
      <t>Utvikling</t>
    </r>
    <r>
      <rPr>
        <sz val="10"/>
        <color theme="1"/>
        <rFont val="Calibri"/>
        <family val="2"/>
        <scheme val="minor"/>
      </rPr>
      <t>: Fikset Ajax live search til visAlleEmner</t>
    </r>
  </si>
  <si>
    <t>37.3</t>
  </si>
  <si>
    <r>
      <rPr>
        <b/>
        <sz val="10"/>
        <color theme="1"/>
        <rFont val="Calibri"/>
        <family val="2"/>
        <scheme val="minor"/>
      </rPr>
      <t>Utvikling</t>
    </r>
    <r>
      <rPr>
        <sz val="10"/>
        <color theme="1"/>
        <rFont val="Calibri"/>
        <family val="2"/>
        <scheme val="minor"/>
      </rPr>
      <t>: Valgte emner fra forkunnskaps- og anbefaltforkunnskaps- tabeller kan nå fjernes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</si>
</sst>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hh:mm;@"/>
    <numFmt numFmtId="166" formatCode="[h]:mm"/>
    <numFmt numFmtId="167" formatCode="yyyy\-mm\-dd;@"/>
    <numFmt numFmtId="168" formatCode="dd/mm/yy;@"/>
    <numFmt numFmtId="169" formatCode="hh&quot;:&quot;mm"/>
    <numFmt numFmtId="170" formatCode="[hh]:mm"/>
  </numFmts>
  <fonts count="33" x14ac:knownFonts="1">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i/>
      <sz val="10"/>
      <color theme="1"/>
      <name val="Verdana"/>
      <family val="2"/>
    </font>
    <font>
      <sz val="9"/>
      <color theme="1"/>
      <name val="Verdana"/>
      <family val="2"/>
    </font>
    <font>
      <sz val="8"/>
      <color theme="1"/>
      <name val="Verdana"/>
      <family val="2"/>
    </font>
    <font>
      <b/>
      <sz val="10"/>
      <color theme="8" tint="-0.249977111117893"/>
      <name val="Verdana"/>
      <family val="2"/>
    </font>
    <font>
      <sz val="11"/>
      <color theme="1"/>
      <name val="Verdana"/>
      <family val="2"/>
    </font>
    <font>
      <sz val="10"/>
      <color theme="1"/>
      <name val="Verdana"/>
      <family val="2"/>
    </font>
    <font>
      <sz val="20"/>
      <color theme="1"/>
      <name val="Verdana"/>
      <family val="2"/>
    </font>
    <font>
      <sz val="10"/>
      <color theme="1"/>
      <name val="Calibri"/>
      <family val="2"/>
      <scheme val="minor"/>
    </font>
    <font>
      <sz val="20"/>
      <color theme="1"/>
      <name val="Calibri"/>
      <family val="2"/>
      <scheme val="minor"/>
    </font>
    <font>
      <b/>
      <sz val="10"/>
      <color theme="8" tint="-0.249977111117893"/>
      <name val="Calibri"/>
      <family val="2"/>
      <scheme val="minor"/>
    </font>
    <font>
      <b/>
      <sz val="10"/>
      <color theme="1"/>
      <name val="Calibri"/>
      <family val="2"/>
      <scheme val="minor"/>
    </font>
    <font>
      <b/>
      <sz val="10"/>
      <color rgb="FF305496"/>
      <name val="Calibri"/>
      <family val="2"/>
    </font>
    <font>
      <b/>
      <sz val="10"/>
      <color theme="1"/>
      <name val="Calibri Light"/>
      <family val="2"/>
      <scheme val="major"/>
    </font>
    <font>
      <sz val="16"/>
      <color theme="1"/>
      <name val="Calibri"/>
      <family val="2"/>
      <scheme val="minor"/>
    </font>
    <font>
      <b/>
      <sz val="14"/>
      <color theme="1"/>
      <name val="Calibri Light"/>
      <family val="2"/>
      <scheme val="major"/>
    </font>
    <font>
      <b/>
      <sz val="11"/>
      <color theme="1"/>
      <name val="Calibri"/>
      <family val="2"/>
      <scheme val="minor"/>
    </font>
    <font>
      <b/>
      <sz val="10"/>
      <color theme="1"/>
      <name val="Calibri"/>
      <family val="2"/>
      <charset val="204"/>
      <scheme val="minor"/>
    </font>
    <font>
      <b/>
      <sz val="16"/>
      <color theme="1"/>
      <name val="Calibri"/>
      <family val="2"/>
      <charset val="204"/>
      <scheme val="minor"/>
    </font>
    <font>
      <b/>
      <sz val="10"/>
      <name val="Calibri"/>
      <family val="2"/>
      <scheme val="minor"/>
    </font>
    <font>
      <b/>
      <sz val="10"/>
      <color theme="1" tint="0.499984740745262"/>
      <name val="Calibri"/>
      <family val="2"/>
      <scheme val="minor"/>
    </font>
    <font>
      <b/>
      <sz val="10"/>
      <color theme="1"/>
      <name val="Verdana"/>
      <family val="2"/>
    </font>
    <font>
      <u/>
      <sz val="10"/>
      <color theme="1"/>
      <name val="Verdana"/>
      <family val="2"/>
    </font>
    <font>
      <sz val="10"/>
      <name val="Verdana"/>
      <family val="2"/>
    </font>
    <font>
      <b/>
      <sz val="10"/>
      <name val="Verdana"/>
      <family val="2"/>
    </font>
  </fonts>
  <fills count="21">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theme="4" tint="0.59996337778862885"/>
        <bgColor indexed="64"/>
      </patternFill>
    </fill>
    <fill>
      <patternFill patternType="solid">
        <fgColor theme="9" tint="0.59996337778862885"/>
        <bgColor indexed="64"/>
      </patternFill>
    </fill>
    <fill>
      <patternFill patternType="solid">
        <fgColor theme="5"/>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bgColor indexed="64"/>
      </patternFill>
    </fill>
    <fill>
      <patternFill patternType="solid">
        <fgColor theme="7"/>
        <bgColor indexed="64"/>
      </patternFill>
    </fill>
    <fill>
      <patternFill patternType="solid">
        <fgColor theme="8"/>
        <bgColor indexed="64"/>
      </patternFill>
    </fill>
    <fill>
      <patternFill patternType="solid">
        <fgColor theme="2"/>
        <bgColor indexed="64"/>
      </patternFill>
    </fill>
    <fill>
      <patternFill patternType="solid">
        <fgColor rgb="FFFF0000"/>
        <bgColor indexed="64"/>
      </patternFill>
    </fill>
    <fill>
      <patternFill patternType="solid">
        <fgColor theme="7" tint="0.59999389629810485"/>
        <bgColor indexed="64"/>
      </patternFill>
    </fill>
  </fills>
  <borders count="6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ck">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auto="1"/>
      </top>
      <bottom/>
      <diagonal/>
    </border>
    <border>
      <left/>
      <right style="medium">
        <color rgb="FF000000"/>
      </right>
      <top/>
      <bottom style="medium">
        <color indexed="64"/>
      </bottom>
      <diagonal/>
    </border>
    <border>
      <left/>
      <right/>
      <top style="medium">
        <color theme="4" tint="0.39994506668294322"/>
      </top>
      <bottom/>
      <diagonal/>
    </border>
    <border>
      <left style="medium">
        <color theme="4" tint="0.39994506668294322"/>
      </left>
      <right style="medium">
        <color theme="4" tint="0.39994506668294322"/>
      </right>
      <top style="medium">
        <color theme="4" tint="0.39994506668294322"/>
      </top>
      <bottom style="medium">
        <color theme="4" tint="0.39994506668294322"/>
      </bottom>
      <diagonal/>
    </border>
    <border>
      <left/>
      <right style="medium">
        <color theme="4" tint="0.39994506668294322"/>
      </right>
      <top/>
      <bottom style="medium">
        <color auto="1"/>
      </bottom>
      <diagonal/>
    </border>
    <border>
      <left style="medium">
        <color theme="4" tint="0.39994506668294322"/>
      </left>
      <right style="medium">
        <color theme="4" tint="0.39994506668294322"/>
      </right>
      <top/>
      <bottom style="medium">
        <color theme="4" tint="0.39994506668294322"/>
      </bottom>
      <diagonal/>
    </border>
    <border>
      <left/>
      <right/>
      <top/>
      <bottom style="medium">
        <color rgb="FF000000"/>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rgb="FF000000"/>
      </left>
      <right/>
      <top style="medium">
        <color rgb="FF000000"/>
      </top>
      <bottom/>
      <diagonal/>
    </border>
    <border>
      <left/>
      <right/>
      <top style="medium">
        <color rgb="FF000000"/>
      </top>
      <bottom/>
      <diagonal/>
    </border>
    <border>
      <left/>
      <right style="medium">
        <color auto="1"/>
      </right>
      <top style="medium">
        <color rgb="FF000000"/>
      </top>
      <bottom/>
      <diagonal/>
    </border>
    <border>
      <left style="medium">
        <color rgb="FF000000"/>
      </left>
      <right/>
      <top/>
      <bottom style="thin">
        <color indexed="64"/>
      </bottom>
      <diagonal/>
    </border>
    <border>
      <left style="medium">
        <color rgb="FF000000"/>
      </left>
      <right/>
      <top style="thin">
        <color indexed="64"/>
      </top>
      <bottom/>
      <diagonal/>
    </border>
    <border>
      <left style="medium">
        <color rgb="FF000000"/>
      </left>
      <right/>
      <top/>
      <bottom/>
      <diagonal/>
    </border>
    <border>
      <left style="medium">
        <color rgb="FF000000"/>
      </left>
      <right/>
      <top/>
      <bottom style="medium">
        <color rgb="FF000000"/>
      </bottom>
      <diagonal/>
    </border>
    <border>
      <left/>
      <right style="medium">
        <color indexed="64"/>
      </right>
      <top/>
      <bottom style="medium">
        <color rgb="FF000000"/>
      </bottom>
      <diagonal/>
    </border>
    <border>
      <left style="medium">
        <color rgb="FF000000"/>
      </left>
      <right/>
      <top style="thin">
        <color rgb="FF000000"/>
      </top>
      <bottom/>
      <diagonal/>
    </border>
    <border>
      <left/>
      <right/>
      <top style="thin">
        <color rgb="FF000000"/>
      </top>
      <bottom/>
      <diagonal/>
    </border>
    <border>
      <left/>
      <right style="medium">
        <color indexed="64"/>
      </right>
      <top style="thin">
        <color rgb="FF000000"/>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thin">
        <color rgb="FF000000"/>
      </bottom>
      <diagonal/>
    </border>
    <border>
      <left/>
      <right style="medium">
        <color indexed="64"/>
      </right>
      <top/>
      <bottom style="thin">
        <color rgb="FF000000"/>
      </bottom>
      <diagonal/>
    </border>
    <border>
      <left style="medium">
        <color indexed="64"/>
      </left>
      <right style="medium">
        <color indexed="64"/>
      </right>
      <top/>
      <bottom style="medium">
        <color rgb="FF000000"/>
      </bottom>
      <diagonal/>
    </border>
    <border>
      <left style="medium">
        <color rgb="FF000000"/>
      </left>
      <right/>
      <top/>
      <bottom style="thin">
        <color rgb="FF000000"/>
      </bottom>
      <diagonal/>
    </border>
    <border>
      <left style="medium">
        <color indexed="64"/>
      </left>
      <right style="medium">
        <color indexed="64"/>
      </right>
      <top/>
      <bottom style="medium">
        <color indexed="64"/>
      </bottom>
      <diagonal/>
    </border>
    <border>
      <left style="medium">
        <color rgb="FF000000"/>
      </left>
      <right/>
      <top style="thin">
        <color rgb="FF000000"/>
      </top>
      <bottom style="thin">
        <color rgb="FF000000"/>
      </bottom>
      <diagonal/>
    </border>
    <border>
      <left style="medium">
        <color rgb="FF000000"/>
      </left>
      <right/>
      <top style="medium">
        <color rgb="FF000000"/>
      </top>
      <bottom style="thin">
        <color rgb="FF000000"/>
      </bottom>
      <diagonal/>
    </border>
    <border>
      <left style="medium">
        <color rgb="FF000000"/>
      </left>
      <right/>
      <top style="thin">
        <color rgb="FF000000"/>
      </top>
      <bottom style="thin">
        <color indexed="64"/>
      </bottom>
      <diagonal/>
    </border>
    <border>
      <left/>
      <right/>
      <top style="thin">
        <color rgb="FF000000"/>
      </top>
      <bottom style="thin">
        <color rgb="FF000000"/>
      </bottom>
      <diagonal/>
    </border>
    <border>
      <left/>
      <right style="medium">
        <color indexed="64"/>
      </right>
      <top style="thin">
        <color rgb="FF000000"/>
      </top>
      <bottom style="thin">
        <color rgb="FF000000"/>
      </bottom>
      <diagonal/>
    </border>
    <border>
      <left/>
      <right/>
      <top style="medium">
        <color rgb="FF000000"/>
      </top>
      <bottom style="thin">
        <color rgb="FF000000"/>
      </bottom>
      <diagonal/>
    </border>
    <border>
      <left/>
      <right style="medium">
        <color indexed="64"/>
      </right>
      <top style="medium">
        <color rgb="FF000000"/>
      </top>
      <bottom style="thin">
        <color rgb="FF000000"/>
      </bottom>
      <diagonal/>
    </border>
    <border>
      <left style="medium">
        <color rgb="FF000000"/>
      </left>
      <right/>
      <top style="medium">
        <color rgb="FF000000"/>
      </top>
      <bottom style="thin">
        <color indexed="64"/>
      </bottom>
      <diagonal/>
    </border>
    <border>
      <left/>
      <right/>
      <top style="medium">
        <color rgb="FF000000"/>
      </top>
      <bottom style="thin">
        <color indexed="64"/>
      </bottom>
      <diagonal/>
    </border>
    <border>
      <left/>
      <right/>
      <top style="thin">
        <color indexed="64"/>
      </top>
      <bottom style="thin">
        <color indexed="64"/>
      </bottom>
      <diagonal/>
    </border>
    <border>
      <left style="medium">
        <color rgb="FF000000"/>
      </left>
      <right/>
      <top/>
      <bottom style="medium">
        <color indexed="64"/>
      </bottom>
      <diagonal/>
    </border>
    <border>
      <left style="medium">
        <color indexed="64"/>
      </left>
      <right/>
      <top style="thin">
        <color rgb="FF000000"/>
      </top>
      <bottom style="thin">
        <color rgb="FF000000"/>
      </bottom>
      <diagonal/>
    </border>
    <border>
      <left style="medium">
        <color indexed="64"/>
      </left>
      <right/>
      <top/>
      <bottom style="thin">
        <color rgb="FF000000"/>
      </bottom>
      <diagonal/>
    </border>
    <border>
      <left/>
      <right style="medium">
        <color indexed="64"/>
      </right>
      <top style="medium">
        <color indexed="64"/>
      </top>
      <bottom style="thin">
        <color rgb="FF000000"/>
      </bottom>
      <diagonal/>
    </border>
    <border>
      <left/>
      <right/>
      <top style="medium">
        <color indexed="64"/>
      </top>
      <bottom style="thin">
        <color rgb="FF000000"/>
      </bottom>
      <diagonal/>
    </border>
    <border>
      <left style="medium">
        <color indexed="64"/>
      </left>
      <right/>
      <top style="medium">
        <color indexed="64"/>
      </top>
      <bottom style="thin">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style="thin">
        <color indexed="64"/>
      </bottom>
      <diagonal/>
    </border>
    <border>
      <left/>
      <right/>
      <top style="thin">
        <color indexed="64"/>
      </top>
      <bottom style="thin">
        <color rgb="FF000000"/>
      </bottom>
      <diagonal/>
    </border>
    <border>
      <left style="medium">
        <color auto="1"/>
      </left>
      <right/>
      <top style="thin">
        <color rgb="FF000000"/>
      </top>
      <bottom style="thin">
        <color indexed="64"/>
      </bottom>
      <diagonal/>
    </border>
    <border>
      <left/>
      <right/>
      <top style="thin">
        <color rgb="FF000000"/>
      </top>
      <bottom style="thin">
        <color indexed="64"/>
      </bottom>
      <diagonal/>
    </border>
    <border>
      <left style="medium">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43">
    <xf numFmtId="0" fontId="0" fillId="0" borderId="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7" fillId="5" borderId="0" applyNumberFormat="0" applyBorder="0" applyAlignment="0" applyProtection="0"/>
    <xf numFmtId="0" fontId="14" fillId="0" borderId="0"/>
    <xf numFmtId="0" fontId="7" fillId="4" borderId="0" applyNumberFormat="0" applyBorder="0" applyAlignment="0" applyProtection="0"/>
    <xf numFmtId="0" fontId="7" fillId="7" borderId="0" applyNumberFormat="0" applyBorder="0" applyAlignment="0" applyProtection="0"/>
    <xf numFmtId="0" fontId="7" fillId="6" borderId="0" applyNumberFormat="0" applyBorder="0" applyAlignment="0" applyProtection="0"/>
    <xf numFmtId="0" fontId="7" fillId="8" borderId="0" applyNumberFormat="0" applyBorder="0" applyAlignment="0" applyProtection="0"/>
    <xf numFmtId="0" fontId="7" fillId="0" borderId="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5" fillId="5" borderId="0" applyNumberFormat="0" applyBorder="0" applyAlignment="0" applyProtection="0"/>
    <xf numFmtId="0" fontId="5" fillId="4"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8" borderId="0" applyNumberFormat="0" applyBorder="0" applyAlignment="0" applyProtection="0"/>
    <xf numFmtId="0" fontId="4" fillId="5" borderId="0" applyNumberFormat="0" applyBorder="0" applyAlignment="0" applyProtection="0"/>
    <xf numFmtId="0" fontId="4" fillId="4"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8" borderId="0" applyNumberFormat="0" applyBorder="0" applyAlignment="0" applyProtection="0"/>
    <xf numFmtId="0" fontId="3" fillId="6" borderId="0" applyNumberFormat="0" applyBorder="0" applyAlignment="0" applyProtection="0"/>
    <xf numFmtId="0" fontId="3" fillId="8" borderId="0" applyNumberFormat="0" applyBorder="0" applyAlignment="0" applyProtection="0"/>
    <xf numFmtId="0" fontId="3" fillId="5" borderId="0" applyNumberFormat="0" applyBorder="0" applyAlignment="0" applyProtection="0"/>
    <xf numFmtId="0" fontId="3" fillId="4" borderId="0" applyNumberFormat="0" applyBorder="0" applyAlignment="0" applyProtection="0"/>
    <xf numFmtId="0" fontId="3" fillId="7" borderId="0" applyNumberFormat="0" applyBorder="0" applyAlignment="0" applyProtection="0"/>
    <xf numFmtId="0" fontId="2" fillId="5" borderId="0" applyNumberFormat="0" applyBorder="0" applyAlignment="0" applyProtection="0"/>
    <xf numFmtId="0" fontId="2" fillId="4" borderId="0" applyNumberFormat="0" applyBorder="0" applyAlignment="0" applyProtection="0"/>
    <xf numFmtId="0" fontId="2" fillId="7"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4" borderId="0" applyNumberFormat="0" applyBorder="0" applyAlignment="0" applyProtection="0"/>
    <xf numFmtId="0" fontId="1" fillId="7" borderId="0" applyNumberFormat="0" applyBorder="0" applyAlignment="0" applyProtection="0"/>
  </cellStyleXfs>
  <cellXfs count="608">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9" fillId="2" borderId="1" xfId="0" applyFont="1" applyFill="1" applyBorder="1"/>
    <xf numFmtId="164" fontId="10" fillId="3" borderId="0" xfId="0" applyNumberFormat="1" applyFont="1" applyFill="1" applyBorder="1" applyAlignment="1">
      <alignment horizontal="center"/>
    </xf>
    <xf numFmtId="0" fontId="11" fillId="3" borderId="0" xfId="0" applyFont="1" applyFill="1" applyBorder="1"/>
    <xf numFmtId="164" fontId="12" fillId="3" borderId="0" xfId="0" applyNumberFormat="1" applyFont="1" applyFill="1" applyBorder="1" applyAlignment="1">
      <alignment horizontal="center"/>
    </xf>
    <xf numFmtId="0" fontId="12" fillId="0" borderId="0" xfId="0" applyFont="1" applyBorder="1" applyAlignment="1">
      <alignment horizontal="center"/>
    </xf>
    <xf numFmtId="0" fontId="12" fillId="0" borderId="0" xfId="0" applyFont="1" applyBorder="1" applyAlignment="1">
      <alignment horizontal="right"/>
    </xf>
    <xf numFmtId="0" fontId="13" fillId="0" borderId="0" xfId="0" applyFont="1" applyAlignment="1">
      <alignment vertical="center"/>
    </xf>
    <xf numFmtId="165" fontId="0" fillId="0" borderId="0" xfId="0" applyNumberFormat="1"/>
    <xf numFmtId="165" fontId="14" fillId="0" borderId="0" xfId="0" applyNumberFormat="1" applyFont="1" applyBorder="1" applyAlignment="1"/>
    <xf numFmtId="0" fontId="14" fillId="0" borderId="0" xfId="0" applyFont="1"/>
    <xf numFmtId="0" fontId="15" fillId="3" borderId="0" xfId="2" applyFont="1" applyFill="1" applyBorder="1" applyAlignment="1">
      <alignment horizontal="centerContinuous" vertical="center"/>
    </xf>
    <xf numFmtId="0" fontId="0" fillId="0" borderId="0" xfId="0" applyBorder="1" applyAlignment="1">
      <alignment vertical="top"/>
    </xf>
    <xf numFmtId="0" fontId="17" fillId="5" borderId="6" xfId="2" applyFont="1" applyBorder="1" applyAlignment="1"/>
    <xf numFmtId="0" fontId="17" fillId="5" borderId="6" xfId="2" applyFont="1" applyBorder="1" applyAlignment="1">
      <alignment horizontal="center" vertical="center"/>
    </xf>
    <xf numFmtId="165" fontId="0" fillId="0" borderId="0" xfId="0" applyNumberFormat="1" applyFont="1" applyAlignment="1">
      <alignment vertical="top"/>
    </xf>
    <xf numFmtId="0" fontId="0" fillId="0" borderId="0" xfId="0" applyFont="1" applyAlignment="1">
      <alignment vertical="top"/>
    </xf>
    <xf numFmtId="0" fontId="0" fillId="0" borderId="0" xfId="0" applyFont="1" applyAlignment="1">
      <alignment vertical="top" wrapText="1"/>
    </xf>
    <xf numFmtId="0" fontId="9" fillId="0" borderId="0" xfId="0" applyFont="1" applyAlignment="1"/>
    <xf numFmtId="0" fontId="0" fillId="0" borderId="0" xfId="0" applyFont="1"/>
    <xf numFmtId="165" fontId="21" fillId="3" borderId="0" xfId="3" applyNumberFormat="1" applyFont="1" applyFill="1" applyBorder="1" applyAlignment="1">
      <alignment horizontal="left" vertical="top"/>
    </xf>
    <xf numFmtId="165" fontId="21" fillId="3" borderId="0" xfId="1" applyNumberFormat="1" applyFont="1" applyFill="1" applyBorder="1" applyAlignment="1">
      <alignment horizontal="left" vertical="top"/>
    </xf>
    <xf numFmtId="165" fontId="21" fillId="3" borderId="2" xfId="5" applyNumberFormat="1" applyFont="1" applyFill="1" applyBorder="1" applyAlignment="1">
      <alignment horizontal="left" vertical="top"/>
    </xf>
    <xf numFmtId="0" fontId="0" fillId="0" borderId="2" xfId="0" applyFont="1" applyBorder="1"/>
    <xf numFmtId="0" fontId="0" fillId="0" borderId="0" xfId="0" applyFont="1" applyBorder="1"/>
    <xf numFmtId="0" fontId="0" fillId="0" borderId="0" xfId="0" applyFont="1" applyBorder="1" applyAlignment="1">
      <alignment horizontal="right"/>
    </xf>
    <xf numFmtId="165" fontId="12" fillId="0" borderId="0" xfId="0" applyNumberFormat="1" applyFont="1" applyFill="1" applyBorder="1" applyAlignment="1">
      <alignment horizontal="center"/>
    </xf>
    <xf numFmtId="0" fontId="0" fillId="0" borderId="0" xfId="0" applyFont="1" applyBorder="1" applyAlignment="1">
      <alignment vertical="top" wrapText="1"/>
    </xf>
    <xf numFmtId="0" fontId="22" fillId="5" borderId="6" xfId="2" applyFont="1" applyBorder="1" applyAlignment="1">
      <alignment horizontal="left"/>
    </xf>
    <xf numFmtId="0" fontId="18" fillId="0" borderId="0" xfId="0" applyFont="1" applyBorder="1" applyAlignment="1">
      <alignment horizontal="left" vertical="top"/>
    </xf>
    <xf numFmtId="0" fontId="16" fillId="3" borderId="11" xfId="5" applyFont="1" applyFill="1" applyBorder="1" applyAlignment="1">
      <alignment horizontal="left" vertical="top" wrapText="1"/>
    </xf>
    <xf numFmtId="0" fontId="16" fillId="3" borderId="16" xfId="5" applyFont="1" applyFill="1" applyBorder="1" applyAlignment="1">
      <alignment horizontal="left" vertical="top" wrapText="1"/>
    </xf>
    <xf numFmtId="165" fontId="21" fillId="9" borderId="0" xfId="1" applyNumberFormat="1" applyFont="1" applyFill="1" applyBorder="1" applyAlignment="1">
      <alignment horizontal="left" vertical="top"/>
    </xf>
    <xf numFmtId="165" fontId="21" fillId="10" borderId="0" xfId="5" applyNumberFormat="1" applyFont="1" applyFill="1" applyBorder="1" applyAlignment="1">
      <alignment horizontal="left" vertical="top"/>
    </xf>
    <xf numFmtId="165" fontId="21" fillId="10" borderId="0" xfId="1" applyNumberFormat="1" applyFont="1" applyFill="1" applyBorder="1" applyAlignment="1">
      <alignment horizontal="left" vertical="top"/>
    </xf>
    <xf numFmtId="165" fontId="21" fillId="11" borderId="0" xfId="1" applyNumberFormat="1" applyFont="1" applyFill="1" applyBorder="1" applyAlignment="1">
      <alignment horizontal="left" vertical="top"/>
    </xf>
    <xf numFmtId="165" fontId="21" fillId="10" borderId="8" xfId="1" applyNumberFormat="1" applyFont="1" applyFill="1" applyBorder="1" applyAlignment="1">
      <alignment horizontal="left" vertical="top"/>
    </xf>
    <xf numFmtId="0" fontId="23" fillId="0" borderId="2" xfId="0" applyFont="1" applyBorder="1" applyAlignment="1">
      <alignment horizontal="left" vertical="top"/>
    </xf>
    <xf numFmtId="14" fontId="16" fillId="5" borderId="7" xfId="2" applyNumberFormat="1" applyFont="1" applyBorder="1" applyAlignment="1">
      <alignment horizontal="left" vertical="top"/>
    </xf>
    <xf numFmtId="165" fontId="16" fillId="5" borderId="8" xfId="2" applyNumberFormat="1" applyFont="1" applyBorder="1" applyAlignment="1">
      <alignment horizontal="left" vertical="top"/>
    </xf>
    <xf numFmtId="14" fontId="16" fillId="0" borderId="3" xfId="0" applyNumberFormat="1" applyFont="1" applyBorder="1" applyAlignment="1">
      <alignment horizontal="left" vertical="top"/>
    </xf>
    <xf numFmtId="165" fontId="16" fillId="0" borderId="0" xfId="0" applyNumberFormat="1" applyFont="1" applyBorder="1" applyAlignment="1">
      <alignment horizontal="left" vertical="top"/>
    </xf>
    <xf numFmtId="14" fontId="16" fillId="5" borderId="3" xfId="2" applyNumberFormat="1" applyFont="1" applyBorder="1" applyAlignment="1">
      <alignment horizontal="left" vertical="top"/>
    </xf>
    <xf numFmtId="165" fontId="16" fillId="5" borderId="0" xfId="2" applyNumberFormat="1" applyFont="1" applyBorder="1" applyAlignment="1">
      <alignment horizontal="left" vertical="top"/>
    </xf>
    <xf numFmtId="14" fontId="16" fillId="3" borderId="3" xfId="2" applyNumberFormat="1" applyFont="1" applyFill="1" applyBorder="1" applyAlignment="1">
      <alignment horizontal="left" vertical="top"/>
    </xf>
    <xf numFmtId="165" fontId="16" fillId="3" borderId="0" xfId="2" applyNumberFormat="1" applyFont="1" applyFill="1" applyBorder="1" applyAlignment="1">
      <alignment horizontal="left" vertical="top"/>
    </xf>
    <xf numFmtId="14" fontId="16" fillId="0" borderId="3" xfId="2" applyNumberFormat="1" applyFont="1" applyFill="1" applyBorder="1" applyAlignment="1">
      <alignment horizontal="left" vertical="top"/>
    </xf>
    <xf numFmtId="165" fontId="16" fillId="0" borderId="0" xfId="2" applyNumberFormat="1" applyFont="1" applyFill="1" applyBorder="1" applyAlignment="1">
      <alignment horizontal="left" vertical="top"/>
    </xf>
    <xf numFmtId="14" fontId="16" fillId="0" borderId="10" xfId="0" applyNumberFormat="1" applyFont="1" applyBorder="1" applyAlignment="1">
      <alignment horizontal="left" vertical="top"/>
    </xf>
    <xf numFmtId="20" fontId="16" fillId="0" borderId="2" xfId="0" applyNumberFormat="1" applyFont="1" applyBorder="1" applyAlignment="1">
      <alignment horizontal="left" vertical="top"/>
    </xf>
    <xf numFmtId="0" fontId="20" fillId="0" borderId="0" xfId="0" applyFont="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horizontal="left" vertical="top"/>
    </xf>
    <xf numFmtId="0" fontId="0" fillId="0" borderId="14" xfId="0" applyFont="1" applyBorder="1" applyAlignment="1">
      <alignment horizontal="left" vertical="top"/>
    </xf>
    <xf numFmtId="0" fontId="21" fillId="0" borderId="2" xfId="0" applyFont="1" applyBorder="1" applyAlignment="1">
      <alignment vertical="top"/>
    </xf>
    <xf numFmtId="0" fontId="0" fillId="0" borderId="2" xfId="0" applyFont="1" applyBorder="1" applyAlignment="1">
      <alignment vertical="top"/>
    </xf>
    <xf numFmtId="0" fontId="18" fillId="0" borderId="0" xfId="0" applyFont="1" applyAlignment="1">
      <alignment horizontal="left" vertical="top"/>
    </xf>
    <xf numFmtId="0" fontId="18" fillId="0" borderId="0" xfId="0" applyFont="1" applyAlignment="1">
      <alignment horizontal="center" vertical="top"/>
    </xf>
    <xf numFmtId="14" fontId="19" fillId="0" borderId="2" xfId="0" applyNumberFormat="1" applyFont="1" applyBorder="1" applyAlignment="1">
      <alignment horizontal="left" vertical="top"/>
    </xf>
    <xf numFmtId="0" fontId="16" fillId="0" borderId="2" xfId="0" applyFont="1" applyBorder="1" applyAlignment="1">
      <alignment vertical="top"/>
    </xf>
    <xf numFmtId="0" fontId="19" fillId="4" borderId="0" xfId="1" applyFont="1" applyAlignment="1">
      <alignment horizontal="center" vertical="top"/>
    </xf>
    <xf numFmtId="165" fontId="19" fillId="0" borderId="0" xfId="0" applyNumberFormat="1" applyFont="1" applyAlignment="1">
      <alignment horizontal="center" vertical="top"/>
    </xf>
    <xf numFmtId="165" fontId="19" fillId="0" borderId="0" xfId="0" applyNumberFormat="1" applyFont="1" applyBorder="1" applyAlignment="1">
      <alignment horizontal="center" vertical="top"/>
    </xf>
    <xf numFmtId="0" fontId="19" fillId="7" borderId="0" xfId="4" applyFont="1" applyAlignment="1">
      <alignment horizontal="center" vertical="top"/>
    </xf>
    <xf numFmtId="0" fontId="19" fillId="11" borderId="0" xfId="3" applyFont="1" applyFill="1" applyAlignment="1">
      <alignment horizontal="center" vertical="top"/>
    </xf>
    <xf numFmtId="165" fontId="19" fillId="0" borderId="2" xfId="0" applyNumberFormat="1" applyFont="1" applyBorder="1" applyAlignment="1">
      <alignment horizontal="left" vertical="top"/>
    </xf>
    <xf numFmtId="165" fontId="19" fillId="0" borderId="2" xfId="0" applyNumberFormat="1" applyFont="1" applyBorder="1" applyAlignment="1">
      <alignment vertical="top"/>
    </xf>
    <xf numFmtId="0" fontId="16" fillId="0" borderId="2" xfId="0" applyFont="1" applyBorder="1" applyAlignment="1">
      <alignment vertical="top" wrapText="1"/>
    </xf>
    <xf numFmtId="0" fontId="19" fillId="8" borderId="2" xfId="5" applyFont="1" applyBorder="1" applyAlignment="1">
      <alignment horizontal="center" vertical="top"/>
    </xf>
    <xf numFmtId="165" fontId="19" fillId="0" borderId="2" xfId="0" applyNumberFormat="1" applyFont="1" applyBorder="1" applyAlignment="1" applyProtection="1">
      <alignment horizontal="center" vertical="top"/>
    </xf>
    <xf numFmtId="0" fontId="9" fillId="0" borderId="0" xfId="0" applyFont="1" applyAlignment="1">
      <alignment vertical="top"/>
    </xf>
    <xf numFmtId="20" fontId="0" fillId="0" borderId="0" xfId="0" applyNumberFormat="1"/>
    <xf numFmtId="166" fontId="19" fillId="0" borderId="2" xfId="0" applyNumberFormat="1" applyFont="1" applyBorder="1" applyAlignment="1">
      <alignment horizontal="left" vertical="top" wrapText="1"/>
    </xf>
    <xf numFmtId="0" fontId="22" fillId="5" borderId="6" xfId="6" applyFont="1" applyBorder="1" applyAlignment="1">
      <alignment horizontal="left"/>
    </xf>
    <xf numFmtId="0" fontId="17" fillId="5" borderId="6" xfId="6" applyFont="1" applyBorder="1"/>
    <xf numFmtId="0" fontId="17" fillId="5" borderId="6" xfId="6" applyFont="1" applyBorder="1" applyAlignment="1">
      <alignment horizontal="center" vertical="center"/>
    </xf>
    <xf numFmtId="0" fontId="14" fillId="0" borderId="0" xfId="7"/>
    <xf numFmtId="0" fontId="18" fillId="0" borderId="0" xfId="7" applyFont="1" applyAlignment="1">
      <alignment horizontal="left" vertical="top"/>
    </xf>
    <xf numFmtId="0" fontId="18" fillId="0" borderId="0" xfId="7" applyFont="1" applyAlignment="1">
      <alignment horizontal="center" vertical="top"/>
    </xf>
    <xf numFmtId="0" fontId="14" fillId="0" borderId="0" xfId="7" applyAlignment="1">
      <alignment vertical="center"/>
    </xf>
    <xf numFmtId="167" fontId="19" fillId="0" borderId="2" xfId="7" applyNumberFormat="1" applyFont="1" applyBorder="1" applyAlignment="1">
      <alignment horizontal="left" vertical="top"/>
    </xf>
    <xf numFmtId="0" fontId="16" fillId="0" borderId="2" xfId="7" applyFont="1" applyBorder="1" applyAlignment="1">
      <alignment vertical="top"/>
    </xf>
    <xf numFmtId="0" fontId="19" fillId="4" borderId="0" xfId="8" applyFont="1" applyAlignment="1">
      <alignment horizontal="center" vertical="top"/>
    </xf>
    <xf numFmtId="165" fontId="19" fillId="0" borderId="0" xfId="7" applyNumberFormat="1" applyFont="1" applyAlignment="1">
      <alignment horizontal="center" vertical="top"/>
    </xf>
    <xf numFmtId="0" fontId="19" fillId="7" borderId="0" xfId="9" applyFont="1" applyAlignment="1">
      <alignment horizontal="center" vertical="top"/>
    </xf>
    <xf numFmtId="0" fontId="19" fillId="11" borderId="0" xfId="10" applyFont="1" applyFill="1" applyAlignment="1">
      <alignment horizontal="center" vertical="top"/>
    </xf>
    <xf numFmtId="165" fontId="19" fillId="0" borderId="2" xfId="7" applyNumberFormat="1" applyFont="1" applyBorder="1" applyAlignment="1">
      <alignment horizontal="left" vertical="top"/>
    </xf>
    <xf numFmtId="165" fontId="19" fillId="0" borderId="2" xfId="7" applyNumberFormat="1" applyFont="1" applyBorder="1" applyAlignment="1">
      <alignment vertical="top"/>
    </xf>
    <xf numFmtId="166" fontId="19" fillId="0" borderId="2" xfId="7" applyNumberFormat="1" applyFont="1" applyBorder="1" applyAlignment="1">
      <alignment horizontal="left" vertical="top" wrapText="1"/>
    </xf>
    <xf numFmtId="0" fontId="16" fillId="0" borderId="2" xfId="7" applyFont="1" applyBorder="1" applyAlignment="1">
      <alignment vertical="top" wrapText="1"/>
    </xf>
    <xf numFmtId="0" fontId="19" fillId="8" borderId="2" xfId="11" applyFont="1" applyBorder="1" applyAlignment="1">
      <alignment horizontal="center" vertical="top"/>
    </xf>
    <xf numFmtId="165" fontId="19" fillId="0" borderId="2" xfId="7" applyNumberFormat="1" applyFont="1" applyBorder="1" applyAlignment="1">
      <alignment horizontal="center" vertical="top"/>
    </xf>
    <xf numFmtId="165" fontId="14" fillId="0" borderId="0" xfId="7" applyNumberFormat="1" applyAlignment="1">
      <alignment vertical="top"/>
    </xf>
    <xf numFmtId="0" fontId="14" fillId="0" borderId="0" xfId="7" applyAlignment="1">
      <alignment vertical="top"/>
    </xf>
    <xf numFmtId="0" fontId="14" fillId="0" borderId="0" xfId="7" applyAlignment="1">
      <alignment vertical="top" wrapText="1"/>
    </xf>
    <xf numFmtId="0" fontId="9" fillId="0" borderId="0" xfId="7" applyFont="1" applyAlignment="1">
      <alignment vertical="top"/>
    </xf>
    <xf numFmtId="0" fontId="9" fillId="0" borderId="0" xfId="7" applyFont="1"/>
    <xf numFmtId="0" fontId="20" fillId="0" borderId="0" xfId="7" applyFont="1" applyAlignment="1">
      <alignment horizontal="left" vertical="top"/>
    </xf>
    <xf numFmtId="0" fontId="23" fillId="0" borderId="2" xfId="7" applyFont="1" applyBorder="1" applyAlignment="1">
      <alignment horizontal="left" vertical="top"/>
    </xf>
    <xf numFmtId="0" fontId="21" fillId="0" borderId="2" xfId="7" applyFont="1" applyBorder="1" applyAlignment="1">
      <alignment vertical="top"/>
    </xf>
    <xf numFmtId="0" fontId="14" fillId="0" borderId="2" xfId="7" applyBorder="1" applyAlignment="1">
      <alignment vertical="top"/>
    </xf>
    <xf numFmtId="0" fontId="14" fillId="0" borderId="2" xfId="7" applyBorder="1"/>
    <xf numFmtId="0" fontId="14" fillId="0" borderId="0" xfId="7" applyAlignment="1">
      <alignment horizontal="right"/>
    </xf>
    <xf numFmtId="0" fontId="12" fillId="0" borderId="0" xfId="7" applyFont="1" applyAlignment="1">
      <alignment horizontal="center"/>
    </xf>
    <xf numFmtId="0" fontId="12" fillId="0" borderId="0" xfId="7" applyFont="1" applyAlignment="1">
      <alignment horizontal="right"/>
    </xf>
    <xf numFmtId="165" fontId="12" fillId="0" borderId="0" xfId="7" applyNumberFormat="1" applyFont="1" applyAlignment="1">
      <alignment horizontal="center"/>
    </xf>
    <xf numFmtId="0" fontId="7" fillId="0" borderId="0" xfId="12"/>
    <xf numFmtId="0" fontId="25" fillId="0" borderId="0" xfId="12" applyFont="1" applyAlignment="1">
      <alignment vertical="center" wrapText="1"/>
    </xf>
    <xf numFmtId="2" fontId="16" fillId="0" borderId="0" xfId="12" applyNumberFormat="1" applyFont="1" applyAlignment="1">
      <alignment horizontal="left" vertical="center"/>
    </xf>
    <xf numFmtId="165" fontId="16" fillId="0" borderId="0" xfId="12" applyNumberFormat="1" applyFont="1" applyAlignment="1">
      <alignment horizontal="left" vertical="center"/>
    </xf>
    <xf numFmtId="168" fontId="16" fillId="0" borderId="0" xfId="12" applyNumberFormat="1" applyFont="1" applyAlignment="1">
      <alignment horizontal="left" vertical="center"/>
    </xf>
    <xf numFmtId="0" fontId="25" fillId="0" borderId="17" xfId="12" applyFont="1" applyBorder="1" applyAlignment="1">
      <alignment vertical="center" wrapText="1"/>
    </xf>
    <xf numFmtId="0" fontId="25" fillId="13" borderId="18" xfId="12" applyFont="1" applyFill="1" applyBorder="1" applyAlignment="1">
      <alignment vertical="center" wrapText="1"/>
    </xf>
    <xf numFmtId="165" fontId="16" fillId="0" borderId="19" xfId="12" applyNumberFormat="1" applyFont="1" applyBorder="1" applyAlignment="1">
      <alignment horizontal="left" vertical="center"/>
    </xf>
    <xf numFmtId="165" fontId="16" fillId="0" borderId="2" xfId="12" applyNumberFormat="1" applyFont="1" applyBorder="1" applyAlignment="1">
      <alignment horizontal="left" vertical="center"/>
    </xf>
    <xf numFmtId="167" fontId="16" fillId="0" borderId="2" xfId="12" applyNumberFormat="1" applyFont="1" applyBorder="1" applyAlignment="1">
      <alignment horizontal="left" vertical="center"/>
    </xf>
    <xf numFmtId="165" fontId="16" fillId="14" borderId="0" xfId="12" applyNumberFormat="1" applyFont="1" applyFill="1" applyAlignment="1">
      <alignment horizontal="left" vertical="center"/>
    </xf>
    <xf numFmtId="167" fontId="16" fillId="14" borderId="0" xfId="12" applyNumberFormat="1" applyFont="1" applyFill="1" applyAlignment="1">
      <alignment horizontal="left" vertical="center"/>
    </xf>
    <xf numFmtId="0" fontId="25" fillId="15" borderId="20" xfId="12" applyFont="1" applyFill="1" applyBorder="1" applyAlignment="1">
      <alignment vertical="center" wrapText="1"/>
    </xf>
    <xf numFmtId="167" fontId="16" fillId="0" borderId="0" xfId="12" applyNumberFormat="1" applyFont="1" applyAlignment="1">
      <alignment horizontal="left" vertical="center"/>
    </xf>
    <xf numFmtId="169" fontId="16" fillId="14" borderId="0" xfId="12" applyNumberFormat="1" applyFont="1" applyFill="1" applyAlignment="1">
      <alignment horizontal="left" vertical="center"/>
    </xf>
    <xf numFmtId="0" fontId="25" fillId="0" borderId="0" xfId="12" applyFont="1"/>
    <xf numFmtId="0" fontId="25" fillId="0" borderId="2" xfId="12" applyFont="1" applyBorder="1"/>
    <xf numFmtId="165" fontId="25" fillId="0" borderId="2" xfId="12" applyNumberFormat="1" applyFont="1" applyBorder="1" applyAlignment="1">
      <alignment horizontal="center"/>
    </xf>
    <xf numFmtId="0" fontId="19" fillId="13" borderId="2" xfId="12" applyFont="1" applyFill="1" applyBorder="1" applyAlignment="1">
      <alignment horizontal="center"/>
    </xf>
    <xf numFmtId="165" fontId="26" fillId="0" borderId="2" xfId="12" applyNumberFormat="1" applyFont="1" applyBorder="1" applyAlignment="1">
      <alignment horizontal="left"/>
    </xf>
    <xf numFmtId="165" fontId="25" fillId="0" borderId="0" xfId="12" applyNumberFormat="1" applyFont="1" applyAlignment="1">
      <alignment horizontal="center"/>
    </xf>
    <xf numFmtId="0" fontId="27" fillId="16" borderId="0" xfId="12" applyFont="1" applyFill="1" applyAlignment="1">
      <alignment horizontal="center"/>
    </xf>
    <xf numFmtId="0" fontId="19" fillId="17" borderId="0" xfId="12" applyFont="1" applyFill="1" applyAlignment="1">
      <alignment horizontal="center"/>
    </xf>
    <xf numFmtId="0" fontId="19" fillId="15" borderId="0" xfId="12" applyFont="1" applyFill="1" applyAlignment="1">
      <alignment horizontal="center"/>
    </xf>
    <xf numFmtId="167" fontId="19" fillId="0" borderId="2" xfId="12" applyNumberFormat="1" applyFont="1" applyBorder="1" applyAlignment="1">
      <alignment horizontal="left"/>
    </xf>
    <xf numFmtId="165" fontId="7" fillId="0" borderId="0" xfId="12" applyNumberFormat="1"/>
    <xf numFmtId="0" fontId="28" fillId="0" borderId="0" xfId="12" applyFont="1" applyAlignment="1">
      <alignment horizontal="center" wrapText="1"/>
    </xf>
    <xf numFmtId="0" fontId="28" fillId="0" borderId="0" xfId="12" applyFont="1" applyAlignment="1">
      <alignment wrapText="1"/>
    </xf>
    <xf numFmtId="165" fontId="16" fillId="0" borderId="19" xfId="12" applyNumberFormat="1" applyFont="1" applyBorder="1" applyAlignment="1">
      <alignment horizontal="center" vertical="center"/>
    </xf>
    <xf numFmtId="165" fontId="16" fillId="0" borderId="2" xfId="12" applyNumberFormat="1" applyFont="1" applyBorder="1" applyAlignment="1">
      <alignment horizontal="center" vertical="center"/>
    </xf>
    <xf numFmtId="165" fontId="16" fillId="14" borderId="0" xfId="12" applyNumberFormat="1" applyFont="1" applyFill="1" applyAlignment="1">
      <alignment horizontal="center" vertical="center"/>
    </xf>
    <xf numFmtId="165" fontId="16" fillId="0" borderId="0" xfId="12" applyNumberFormat="1" applyFont="1" applyAlignment="1">
      <alignment horizontal="center" vertical="center"/>
    </xf>
    <xf numFmtId="0" fontId="25" fillId="16" borderId="20" xfId="12" applyFont="1" applyFill="1" applyBorder="1" applyAlignment="1">
      <alignment vertical="center" wrapText="1"/>
    </xf>
    <xf numFmtId="0" fontId="25" fillId="18" borderId="20" xfId="12" applyFont="1" applyFill="1" applyBorder="1" applyAlignment="1">
      <alignment vertical="center" wrapText="1"/>
    </xf>
    <xf numFmtId="0" fontId="24" fillId="0" borderId="0" xfId="12" applyFont="1" applyAlignment="1">
      <alignment horizontal="center"/>
    </xf>
    <xf numFmtId="169" fontId="16" fillId="14" borderId="0" xfId="12" applyNumberFormat="1" applyFont="1" applyFill="1" applyAlignment="1">
      <alignment horizontal="center" vertical="center"/>
    </xf>
    <xf numFmtId="0" fontId="25" fillId="13" borderId="0" xfId="12" applyFont="1" applyFill="1"/>
    <xf numFmtId="169" fontId="16" fillId="0" borderId="0" xfId="12" applyNumberFormat="1" applyFont="1" applyAlignment="1">
      <alignment horizontal="center" vertical="center"/>
    </xf>
    <xf numFmtId="0" fontId="25" fillId="0" borderId="0" xfId="12" applyFont="1" applyAlignment="1">
      <alignment horizontal="center"/>
    </xf>
    <xf numFmtId="0" fontId="19" fillId="18" borderId="0" xfId="12" applyFont="1" applyFill="1" applyAlignment="1">
      <alignment horizontal="center"/>
    </xf>
    <xf numFmtId="165" fontId="21" fillId="2" borderId="0" xfId="1" applyNumberFormat="1" applyFont="1" applyFill="1" applyBorder="1" applyAlignment="1">
      <alignment horizontal="left" vertical="top"/>
    </xf>
    <xf numFmtId="166" fontId="0" fillId="0" borderId="0" xfId="0" applyNumberFormat="1"/>
    <xf numFmtId="0" fontId="29" fillId="0" borderId="0" xfId="0" applyFont="1" applyAlignment="1">
      <alignment vertical="center"/>
    </xf>
    <xf numFmtId="166" fontId="0" fillId="0" borderId="0" xfId="0" applyNumberFormat="1" applyAlignment="1">
      <alignment horizontal="left"/>
    </xf>
    <xf numFmtId="0" fontId="29" fillId="0" borderId="0" xfId="0" applyFont="1"/>
    <xf numFmtId="0" fontId="30" fillId="0" borderId="0" xfId="0" applyFont="1" applyAlignment="1">
      <alignment vertical="center"/>
    </xf>
    <xf numFmtId="0" fontId="14" fillId="0" borderId="38" xfId="7" applyNumberFormat="1" applyBorder="1" applyAlignment="1">
      <alignment vertical="top"/>
    </xf>
    <xf numFmtId="0" fontId="14" fillId="0" borderId="41" xfId="7" applyNumberFormat="1" applyBorder="1" applyAlignment="1">
      <alignment vertical="top"/>
    </xf>
    <xf numFmtId="14" fontId="0" fillId="0" borderId="0" xfId="0" applyNumberFormat="1"/>
    <xf numFmtId="0" fontId="19" fillId="19" borderId="0" xfId="10" applyFont="1" applyFill="1" applyAlignment="1">
      <alignment horizontal="center" vertical="top"/>
    </xf>
    <xf numFmtId="170" fontId="19" fillId="0" borderId="0" xfId="7" applyNumberFormat="1" applyFont="1" applyAlignment="1">
      <alignment horizontal="center" vertical="top"/>
    </xf>
    <xf numFmtId="170" fontId="19" fillId="0" borderId="2" xfId="7" applyNumberFormat="1" applyFont="1" applyBorder="1" applyAlignment="1">
      <alignment horizontal="center" vertical="top"/>
    </xf>
    <xf numFmtId="0" fontId="0" fillId="0" borderId="0" xfId="0"/>
    <xf numFmtId="0" fontId="16" fillId="12" borderId="39" xfId="10" applyFont="1" applyFill="1" applyBorder="1" applyAlignment="1">
      <alignment horizontal="left" vertical="top" wrapText="1"/>
    </xf>
    <xf numFmtId="0" fontId="16" fillId="12" borderId="40" xfId="10" applyFont="1" applyFill="1" applyBorder="1" applyAlignment="1">
      <alignment horizontal="left" vertical="top" wrapText="1"/>
    </xf>
    <xf numFmtId="167" fontId="19" fillId="12" borderId="42" xfId="6" applyNumberFormat="1" applyFont="1" applyFill="1" applyBorder="1" applyAlignment="1">
      <alignment horizontal="left" vertical="top"/>
    </xf>
    <xf numFmtId="165" fontId="16" fillId="12" borderId="39" xfId="6" applyNumberFormat="1" applyFont="1" applyFill="1" applyBorder="1" applyAlignment="1">
      <alignment horizontal="left" vertical="top"/>
    </xf>
    <xf numFmtId="165" fontId="21" fillId="12" borderId="39" xfId="11" applyNumberFormat="1" applyFont="1" applyFill="1" applyBorder="1" applyAlignment="1">
      <alignment horizontal="left" vertical="top"/>
    </xf>
    <xf numFmtId="167" fontId="19" fillId="12" borderId="44" xfId="6" applyNumberFormat="1" applyFont="1" applyFill="1" applyBorder="1" applyAlignment="1">
      <alignment horizontal="left" vertical="top"/>
    </xf>
    <xf numFmtId="165" fontId="16" fillId="12" borderId="47" xfId="6" applyNumberFormat="1" applyFont="1" applyFill="1" applyBorder="1" applyAlignment="1">
      <alignment horizontal="left" vertical="top"/>
    </xf>
    <xf numFmtId="165" fontId="21" fillId="12" borderId="47" xfId="11" applyNumberFormat="1" applyFont="1" applyFill="1" applyBorder="1" applyAlignment="1">
      <alignment horizontal="left" vertical="top"/>
    </xf>
    <xf numFmtId="0" fontId="16" fillId="12" borderId="47" xfId="10" applyFont="1" applyFill="1" applyBorder="1" applyAlignment="1">
      <alignment horizontal="left" vertical="top" wrapText="1"/>
    </xf>
    <xf numFmtId="0" fontId="16" fillId="12" borderId="48" xfId="10" applyFont="1" applyFill="1" applyBorder="1" applyAlignment="1">
      <alignment horizontal="left" vertical="top" wrapText="1"/>
    </xf>
    <xf numFmtId="0" fontId="14" fillId="0" borderId="37" xfId="7" applyNumberFormat="1" applyBorder="1" applyAlignment="1">
      <alignment horizontal="center" vertical="top"/>
    </xf>
    <xf numFmtId="0" fontId="14" fillId="0" borderId="38" xfId="7" applyNumberFormat="1" applyBorder="1" applyAlignment="1">
      <alignment horizontal="center" vertical="top"/>
    </xf>
    <xf numFmtId="167" fontId="19" fillId="19" borderId="45" xfId="6" applyNumberFormat="1" applyFont="1" applyFill="1" applyBorder="1" applyAlignment="1">
      <alignment horizontal="left" vertical="top"/>
    </xf>
    <xf numFmtId="167" fontId="19" fillId="19" borderId="44" xfId="6" applyNumberFormat="1" applyFont="1" applyFill="1" applyBorder="1" applyAlignment="1">
      <alignment horizontal="left" vertical="top"/>
    </xf>
    <xf numFmtId="167" fontId="19" fillId="20" borderId="44" xfId="6" applyNumberFormat="1" applyFont="1" applyFill="1" applyBorder="1" applyAlignment="1">
      <alignment horizontal="left" vertical="top"/>
    </xf>
    <xf numFmtId="167" fontId="19" fillId="2" borderId="44" xfId="6" applyNumberFormat="1" applyFont="1" applyFill="1" applyBorder="1" applyAlignment="1">
      <alignment horizontal="left" vertical="top"/>
    </xf>
    <xf numFmtId="49" fontId="14" fillId="0" borderId="38" xfId="7" applyNumberFormat="1" applyBorder="1" applyAlignment="1">
      <alignment horizontal="center" vertical="top"/>
    </xf>
    <xf numFmtId="49" fontId="0" fillId="0" borderId="38" xfId="7" applyNumberFormat="1" applyFont="1" applyBorder="1" applyAlignment="1">
      <alignment horizontal="center" vertical="top"/>
    </xf>
    <xf numFmtId="165" fontId="16" fillId="20" borderId="47" xfId="6" applyNumberFormat="1" applyFont="1" applyFill="1" applyBorder="1" applyAlignment="1">
      <alignment horizontal="left" vertical="top"/>
    </xf>
    <xf numFmtId="165" fontId="21" fillId="20" borderId="47" xfId="5" applyNumberFormat="1" applyFont="1" applyFill="1" applyBorder="1" applyAlignment="1">
      <alignment horizontal="left" vertical="top"/>
    </xf>
    <xf numFmtId="165" fontId="16" fillId="19" borderId="49" xfId="6" applyNumberFormat="1" applyFont="1" applyFill="1" applyBorder="1" applyAlignment="1">
      <alignment horizontal="left" vertical="top"/>
    </xf>
    <xf numFmtId="165" fontId="21" fillId="19" borderId="49" xfId="8" applyNumberFormat="1" applyFont="1" applyFill="1" applyBorder="1" applyAlignment="1">
      <alignment horizontal="left" vertical="top"/>
    </xf>
    <xf numFmtId="165" fontId="21" fillId="20" borderId="47" xfId="8" applyNumberFormat="1" applyFont="1" applyFill="1" applyBorder="1" applyAlignment="1">
      <alignment horizontal="left" vertical="top"/>
    </xf>
    <xf numFmtId="165" fontId="16" fillId="19" borderId="47" xfId="6" applyNumberFormat="1" applyFont="1" applyFill="1" applyBorder="1" applyAlignment="1">
      <alignment horizontal="left" vertical="top"/>
    </xf>
    <xf numFmtId="165" fontId="21" fillId="19" borderId="47" xfId="8" applyNumberFormat="1" applyFont="1" applyFill="1" applyBorder="1" applyAlignment="1">
      <alignment horizontal="left" vertical="top"/>
    </xf>
    <xf numFmtId="165" fontId="16" fillId="2" borderId="47" xfId="6" applyNumberFormat="1" applyFont="1" applyFill="1" applyBorder="1" applyAlignment="1">
      <alignment horizontal="left" vertical="top"/>
    </xf>
    <xf numFmtId="165" fontId="21" fillId="2" borderId="47" xfId="8" applyNumberFormat="1" applyFont="1" applyFill="1" applyBorder="1" applyAlignment="1">
      <alignment horizontal="left" vertical="top"/>
    </xf>
    <xf numFmtId="0" fontId="22" fillId="5" borderId="6" xfId="18" applyFont="1" applyBorder="1" applyAlignment="1">
      <alignment horizontal="left"/>
    </xf>
    <xf numFmtId="0" fontId="17" fillId="5" borderId="6" xfId="18" applyFont="1" applyBorder="1"/>
    <xf numFmtId="0" fontId="17" fillId="5" borderId="6" xfId="18" applyFont="1" applyBorder="1" applyAlignment="1">
      <alignment horizontal="center" vertical="center"/>
    </xf>
    <xf numFmtId="0" fontId="19" fillId="4" borderId="0" xfId="19" applyFont="1" applyAlignment="1">
      <alignment horizontal="center" vertical="top"/>
    </xf>
    <xf numFmtId="0" fontId="19" fillId="7" borderId="0" xfId="20" applyFont="1" applyAlignment="1">
      <alignment horizontal="center" vertical="top"/>
    </xf>
    <xf numFmtId="0" fontId="19" fillId="19" borderId="0" xfId="21" applyFont="1" applyFill="1" applyAlignment="1">
      <alignment horizontal="center" vertical="top"/>
    </xf>
    <xf numFmtId="0" fontId="19" fillId="8" borderId="2" xfId="22" applyFont="1" applyBorder="1" applyAlignment="1">
      <alignment horizontal="center" vertical="top"/>
    </xf>
    <xf numFmtId="167" fontId="19" fillId="19" borderId="51" xfId="18" applyNumberFormat="1" applyFont="1" applyFill="1" applyBorder="1" applyAlignment="1">
      <alignment horizontal="left" vertical="top"/>
    </xf>
    <xf numFmtId="165" fontId="16" fillId="19" borderId="49" xfId="18" applyNumberFormat="1" applyFont="1" applyFill="1" applyBorder="1" applyAlignment="1">
      <alignment horizontal="left" vertical="top"/>
    </xf>
    <xf numFmtId="165" fontId="21" fillId="19" borderId="52" xfId="19" applyNumberFormat="1" applyFont="1" applyFill="1" applyBorder="1" applyAlignment="1">
      <alignment horizontal="left" vertical="top"/>
    </xf>
    <xf numFmtId="0" fontId="14" fillId="0" borderId="37" xfId="7" applyBorder="1" applyAlignment="1">
      <alignment horizontal="center" vertical="top"/>
    </xf>
    <xf numFmtId="167" fontId="19" fillId="12" borderId="42" xfId="18" applyNumberFormat="1" applyFont="1" applyFill="1" applyBorder="1" applyAlignment="1">
      <alignment horizontal="left" vertical="top"/>
    </xf>
    <xf numFmtId="165" fontId="16" fillId="12" borderId="47" xfId="18" applyNumberFormat="1" applyFont="1" applyFill="1" applyBorder="1" applyAlignment="1">
      <alignment horizontal="left" vertical="top"/>
    </xf>
    <xf numFmtId="165" fontId="16" fillId="12" borderId="35" xfId="18" applyNumberFormat="1" applyFont="1" applyFill="1" applyBorder="1" applyAlignment="1">
      <alignment horizontal="left" vertical="top"/>
    </xf>
    <xf numFmtId="165" fontId="21" fillId="12" borderId="39" xfId="19" applyNumberFormat="1" applyFont="1" applyFill="1" applyBorder="1" applyAlignment="1">
      <alignment horizontal="left" vertical="top"/>
    </xf>
    <xf numFmtId="0" fontId="14" fillId="0" borderId="38" xfId="7" applyBorder="1" applyAlignment="1">
      <alignment horizontal="center" vertical="top"/>
    </xf>
    <xf numFmtId="167" fontId="19" fillId="19" borderId="44" xfId="18" applyNumberFormat="1" applyFont="1" applyFill="1" applyBorder="1" applyAlignment="1">
      <alignment horizontal="left" vertical="top"/>
    </xf>
    <xf numFmtId="165" fontId="16" fillId="19" borderId="47" xfId="18" applyNumberFormat="1" applyFont="1" applyFill="1" applyBorder="1" applyAlignment="1">
      <alignment horizontal="left" vertical="top"/>
    </xf>
    <xf numFmtId="165" fontId="16" fillId="19" borderId="53" xfId="18" applyNumberFormat="1" applyFont="1" applyFill="1" applyBorder="1" applyAlignment="1">
      <alignment horizontal="left" vertical="top"/>
    </xf>
    <xf numFmtId="165" fontId="21" fillId="19" borderId="47" xfId="19" applyNumberFormat="1" applyFont="1" applyFill="1" applyBorder="1" applyAlignment="1">
      <alignment horizontal="left" vertical="top"/>
    </xf>
    <xf numFmtId="167" fontId="19" fillId="2" borderId="44" xfId="18" applyNumberFormat="1" applyFont="1" applyFill="1" applyBorder="1" applyAlignment="1">
      <alignment horizontal="left" vertical="top"/>
    </xf>
    <xf numFmtId="165" fontId="16" fillId="2" borderId="47" xfId="18" applyNumberFormat="1" applyFont="1" applyFill="1" applyBorder="1" applyAlignment="1">
      <alignment horizontal="left" vertical="top"/>
    </xf>
    <xf numFmtId="165" fontId="16" fillId="2" borderId="39" xfId="18" applyNumberFormat="1" applyFont="1" applyFill="1" applyBorder="1" applyAlignment="1">
      <alignment horizontal="left" vertical="top"/>
    </xf>
    <xf numFmtId="165" fontId="21" fillId="2" borderId="47" xfId="19" applyNumberFormat="1" applyFont="1" applyFill="1" applyBorder="1" applyAlignment="1">
      <alignment horizontal="left" vertical="top"/>
    </xf>
    <xf numFmtId="167" fontId="19" fillId="20" borderId="44" xfId="18" applyNumberFormat="1" applyFont="1" applyFill="1" applyBorder="1" applyAlignment="1">
      <alignment horizontal="left" vertical="top"/>
    </xf>
    <xf numFmtId="165" fontId="16" fillId="20" borderId="47" xfId="18" applyNumberFormat="1" applyFont="1" applyFill="1" applyBorder="1" applyAlignment="1">
      <alignment horizontal="left" vertical="top"/>
    </xf>
    <xf numFmtId="165" fontId="21" fillId="20" borderId="47" xfId="19" applyNumberFormat="1" applyFont="1" applyFill="1" applyBorder="1" applyAlignment="1">
      <alignment horizontal="left" vertical="top"/>
    </xf>
    <xf numFmtId="167" fontId="19" fillId="12" borderId="44" xfId="18" applyNumberFormat="1" applyFont="1" applyFill="1" applyBorder="1" applyAlignment="1">
      <alignment horizontal="left" vertical="top"/>
    </xf>
    <xf numFmtId="165" fontId="21" fillId="12" borderId="47" xfId="19" applyNumberFormat="1" applyFont="1" applyFill="1" applyBorder="1" applyAlignment="1">
      <alignment horizontal="left" vertical="top"/>
    </xf>
    <xf numFmtId="167" fontId="19" fillId="2" borderId="42" xfId="18" applyNumberFormat="1" applyFont="1" applyFill="1" applyBorder="1" applyAlignment="1">
      <alignment horizontal="left" vertical="top"/>
    </xf>
    <xf numFmtId="165" fontId="21" fillId="2" borderId="39" xfId="19" applyNumberFormat="1" applyFont="1" applyFill="1" applyBorder="1" applyAlignment="1">
      <alignment horizontal="left" vertical="top"/>
    </xf>
    <xf numFmtId="0" fontId="14" fillId="0" borderId="38" xfId="7" applyBorder="1"/>
    <xf numFmtId="165" fontId="21" fillId="20" borderId="47" xfId="22" applyNumberFormat="1" applyFont="1" applyFill="1" applyBorder="1" applyAlignment="1">
      <alignment horizontal="left" vertical="top"/>
    </xf>
    <xf numFmtId="167" fontId="19" fillId="12" borderId="54" xfId="18" applyNumberFormat="1" applyFont="1" applyFill="1" applyBorder="1" applyAlignment="1">
      <alignment horizontal="left" vertical="top"/>
    </xf>
    <xf numFmtId="165" fontId="16" fillId="12" borderId="2" xfId="18" applyNumberFormat="1" applyFont="1" applyFill="1" applyBorder="1" applyAlignment="1">
      <alignment horizontal="left" vertical="top"/>
    </xf>
    <xf numFmtId="165" fontId="21" fillId="12" borderId="2" xfId="22" applyNumberFormat="1" applyFont="1" applyFill="1" applyBorder="1" applyAlignment="1">
      <alignment horizontal="left" vertical="top"/>
    </xf>
    <xf numFmtId="0" fontId="14" fillId="0" borderId="43" xfId="7" applyBorder="1" applyAlignment="1">
      <alignment horizontal="center" vertical="top"/>
    </xf>
    <xf numFmtId="49" fontId="0" fillId="0" borderId="38" xfId="7" applyNumberFormat="1" applyFont="1" applyBorder="1" applyAlignment="1">
      <alignment horizontal="center" vertical="top"/>
    </xf>
    <xf numFmtId="49" fontId="0" fillId="0" borderId="38" xfId="7" applyNumberFormat="1" applyFont="1" applyBorder="1" applyAlignment="1">
      <alignment horizontal="center" vertical="top"/>
    </xf>
    <xf numFmtId="0" fontId="22" fillId="5" borderId="6" xfId="23" applyFont="1" applyBorder="1" applyAlignment="1">
      <alignment horizontal="left"/>
    </xf>
    <xf numFmtId="0" fontId="17" fillId="5" borderId="6" xfId="23" applyFont="1" applyBorder="1"/>
    <xf numFmtId="0" fontId="17" fillId="5" borderId="6" xfId="23" applyFont="1" applyBorder="1" applyAlignment="1">
      <alignment horizontal="center" vertical="center"/>
    </xf>
    <xf numFmtId="0" fontId="19" fillId="4" borderId="0" xfId="24" applyFont="1" applyAlignment="1">
      <alignment horizontal="center" vertical="top"/>
    </xf>
    <xf numFmtId="0" fontId="19" fillId="7" borderId="0" xfId="25" applyFont="1" applyAlignment="1">
      <alignment horizontal="center" vertical="top"/>
    </xf>
    <xf numFmtId="0" fontId="19" fillId="19" borderId="0" xfId="26" applyFont="1" applyFill="1" applyAlignment="1">
      <alignment horizontal="center" vertical="top"/>
    </xf>
    <xf numFmtId="0" fontId="19" fillId="8" borderId="2" xfId="27" applyFont="1" applyBorder="1" applyAlignment="1">
      <alignment horizontal="center" vertical="top"/>
    </xf>
    <xf numFmtId="0" fontId="18" fillId="0" borderId="2" xfId="7" applyFont="1" applyBorder="1" applyAlignment="1">
      <alignment horizontal="left" vertical="top"/>
    </xf>
    <xf numFmtId="0" fontId="20" fillId="0" borderId="2" xfId="7" applyFont="1" applyBorder="1" applyAlignment="1">
      <alignment horizontal="left" vertical="top"/>
    </xf>
    <xf numFmtId="167" fontId="19" fillId="20" borderId="44" xfId="23" applyNumberFormat="1" applyFont="1" applyFill="1" applyBorder="1" applyAlignment="1">
      <alignment horizontal="left" vertical="top"/>
    </xf>
    <xf numFmtId="165" fontId="16" fillId="20" borderId="47" xfId="23" applyNumberFormat="1" applyFont="1" applyFill="1" applyBorder="1" applyAlignment="1">
      <alignment horizontal="left" vertical="top"/>
    </xf>
    <xf numFmtId="165" fontId="21" fillId="20" borderId="47" xfId="24" applyNumberFormat="1" applyFont="1" applyFill="1" applyBorder="1" applyAlignment="1">
      <alignment horizontal="left" vertical="top"/>
    </xf>
    <xf numFmtId="49" fontId="31" fillId="0" borderId="37" xfId="7" applyNumberFormat="1" applyFont="1" applyBorder="1" applyAlignment="1">
      <alignment horizontal="center" vertical="top"/>
    </xf>
    <xf numFmtId="49" fontId="31" fillId="0" borderId="38" xfId="7" applyNumberFormat="1" applyFont="1" applyBorder="1" applyAlignment="1">
      <alignment horizontal="center" vertical="top"/>
    </xf>
    <xf numFmtId="167" fontId="19" fillId="2" borderId="44" xfId="23" applyNumberFormat="1" applyFont="1" applyFill="1" applyBorder="1" applyAlignment="1">
      <alignment horizontal="left" vertical="top"/>
    </xf>
    <xf numFmtId="165" fontId="16" fillId="2" borderId="47" xfId="23" applyNumberFormat="1" applyFont="1" applyFill="1" applyBorder="1" applyAlignment="1">
      <alignment horizontal="left" vertical="top"/>
    </xf>
    <xf numFmtId="165" fontId="16" fillId="2" borderId="39" xfId="23" applyNumberFormat="1" applyFont="1" applyFill="1" applyBorder="1" applyAlignment="1">
      <alignment horizontal="left" vertical="top"/>
    </xf>
    <xf numFmtId="165" fontId="21" fillId="2" borderId="47" xfId="24" applyNumberFormat="1" applyFont="1" applyFill="1" applyBorder="1" applyAlignment="1">
      <alignment horizontal="left" vertical="top"/>
    </xf>
    <xf numFmtId="49" fontId="32" fillId="0" borderId="38" xfId="7" applyNumberFormat="1" applyFont="1" applyBorder="1" applyAlignment="1">
      <alignment horizontal="center" vertical="top"/>
    </xf>
    <xf numFmtId="167" fontId="19" fillId="19" borderId="42" xfId="23" applyNumberFormat="1" applyFont="1" applyFill="1" applyBorder="1" applyAlignment="1">
      <alignment horizontal="left" vertical="top"/>
    </xf>
    <xf numFmtId="165" fontId="16" fillId="19" borderId="39" xfId="23" applyNumberFormat="1" applyFont="1" applyFill="1" applyBorder="1" applyAlignment="1">
      <alignment horizontal="left" vertical="top"/>
    </xf>
    <xf numFmtId="165" fontId="21" fillId="19" borderId="39" xfId="24" applyNumberFormat="1" applyFont="1" applyFill="1" applyBorder="1" applyAlignment="1">
      <alignment horizontal="left" vertical="top"/>
    </xf>
    <xf numFmtId="167" fontId="19" fillId="19" borderId="44" xfId="23" applyNumberFormat="1" applyFont="1" applyFill="1" applyBorder="1" applyAlignment="1">
      <alignment horizontal="left" vertical="top"/>
    </xf>
    <xf numFmtId="165" fontId="16" fillId="19" borderId="47" xfId="23" applyNumberFormat="1" applyFont="1" applyFill="1" applyBorder="1" applyAlignment="1">
      <alignment horizontal="left" vertical="top"/>
    </xf>
    <xf numFmtId="165" fontId="21" fillId="19" borderId="47" xfId="24" applyNumberFormat="1" applyFont="1" applyFill="1" applyBorder="1" applyAlignment="1">
      <alignment horizontal="left" vertical="top"/>
    </xf>
    <xf numFmtId="49" fontId="31" fillId="0" borderId="38" xfId="7" applyNumberFormat="1" applyFont="1" applyBorder="1" applyAlignment="1">
      <alignment horizontal="center"/>
    </xf>
    <xf numFmtId="165" fontId="21" fillId="20" borderId="47" xfId="27" applyNumberFormat="1" applyFont="1" applyFill="1" applyBorder="1" applyAlignment="1">
      <alignment horizontal="left" vertical="top"/>
    </xf>
    <xf numFmtId="167" fontId="19" fillId="12" borderId="54" xfId="23" applyNumberFormat="1" applyFont="1" applyFill="1" applyBorder="1" applyAlignment="1">
      <alignment horizontal="left" vertical="top"/>
    </xf>
    <xf numFmtId="165" fontId="16" fillId="12" borderId="2" xfId="23" applyNumberFormat="1" applyFont="1" applyFill="1" applyBorder="1" applyAlignment="1">
      <alignment horizontal="left" vertical="top"/>
    </xf>
    <xf numFmtId="165" fontId="21" fillId="12" borderId="2" xfId="27" applyNumberFormat="1" applyFont="1" applyFill="1" applyBorder="1" applyAlignment="1">
      <alignment horizontal="left" vertical="top"/>
    </xf>
    <xf numFmtId="49" fontId="31" fillId="0" borderId="43" xfId="7" applyNumberFormat="1" applyFont="1" applyBorder="1" applyAlignment="1">
      <alignment horizontal="center" vertical="top"/>
    </xf>
    <xf numFmtId="165" fontId="21" fillId="12" borderId="2" xfId="29" applyNumberFormat="1" applyFont="1" applyFill="1" applyBorder="1" applyAlignment="1">
      <alignment horizontal="left" vertical="top"/>
    </xf>
    <xf numFmtId="165" fontId="16" fillId="12" borderId="2" xfId="30" applyNumberFormat="1" applyFont="1" applyFill="1" applyBorder="1" applyAlignment="1">
      <alignment horizontal="left" vertical="top"/>
    </xf>
    <xf numFmtId="167" fontId="19" fillId="12" borderId="54" xfId="30" applyNumberFormat="1" applyFont="1" applyFill="1" applyBorder="1" applyAlignment="1">
      <alignment horizontal="left" vertical="top"/>
    </xf>
    <xf numFmtId="165" fontId="21" fillId="12" borderId="47" xfId="29" applyNumberFormat="1" applyFont="1" applyFill="1" applyBorder="1" applyAlignment="1">
      <alignment horizontal="left" vertical="top"/>
    </xf>
    <xf numFmtId="165" fontId="16" fillId="12" borderId="47" xfId="30" applyNumberFormat="1" applyFont="1" applyFill="1" applyBorder="1" applyAlignment="1">
      <alignment horizontal="left" vertical="top"/>
    </xf>
    <xf numFmtId="167" fontId="19" fillId="12" borderId="44" xfId="30" applyNumberFormat="1" applyFont="1" applyFill="1" applyBorder="1" applyAlignment="1">
      <alignment horizontal="left" vertical="top"/>
    </xf>
    <xf numFmtId="165" fontId="21" fillId="20" borderId="47" xfId="31" applyNumberFormat="1" applyFont="1" applyFill="1" applyBorder="1" applyAlignment="1">
      <alignment horizontal="left" vertical="top"/>
    </xf>
    <xf numFmtId="165" fontId="16" fillId="20" borderId="39" xfId="30" applyNumberFormat="1" applyFont="1" applyFill="1" applyBorder="1" applyAlignment="1">
      <alignment horizontal="left" vertical="top"/>
    </xf>
    <xf numFmtId="165" fontId="16" fillId="20" borderId="47" xfId="30" applyNumberFormat="1" applyFont="1" applyFill="1" applyBorder="1" applyAlignment="1">
      <alignment horizontal="left" vertical="top"/>
    </xf>
    <xf numFmtId="167" fontId="19" fillId="20" borderId="44" xfId="30" applyNumberFormat="1" applyFont="1" applyFill="1" applyBorder="1" applyAlignment="1">
      <alignment horizontal="left" vertical="top"/>
    </xf>
    <xf numFmtId="165" fontId="21" fillId="20" borderId="47" xfId="29" applyNumberFormat="1" applyFont="1" applyFill="1" applyBorder="1" applyAlignment="1">
      <alignment horizontal="left" vertical="top"/>
    </xf>
    <xf numFmtId="165" fontId="21" fillId="2" borderId="39" xfId="31" applyNumberFormat="1" applyFont="1" applyFill="1" applyBorder="1" applyAlignment="1">
      <alignment horizontal="left" vertical="top"/>
    </xf>
    <xf numFmtId="165" fontId="16" fillId="2" borderId="39" xfId="30" applyNumberFormat="1" applyFont="1" applyFill="1" applyBorder="1" applyAlignment="1">
      <alignment horizontal="left" vertical="top"/>
    </xf>
    <xf numFmtId="165" fontId="16" fillId="2" borderId="47" xfId="30" applyNumberFormat="1" applyFont="1" applyFill="1" applyBorder="1" applyAlignment="1">
      <alignment horizontal="left" vertical="top"/>
    </xf>
    <xf numFmtId="167" fontId="19" fillId="2" borderId="42" xfId="30" applyNumberFormat="1" applyFont="1" applyFill="1" applyBorder="1" applyAlignment="1">
      <alignment horizontal="left" vertical="top"/>
    </xf>
    <xf numFmtId="165" fontId="21" fillId="19" borderId="39" xfId="31" applyNumberFormat="1" applyFont="1" applyFill="1" applyBorder="1" applyAlignment="1">
      <alignment horizontal="left" vertical="top"/>
    </xf>
    <xf numFmtId="165" fontId="16" fillId="19" borderId="47" xfId="30" applyNumberFormat="1" applyFont="1" applyFill="1" applyBorder="1" applyAlignment="1">
      <alignment horizontal="left" vertical="top"/>
    </xf>
    <xf numFmtId="167" fontId="19" fillId="19" borderId="42" xfId="30" applyNumberFormat="1" applyFont="1" applyFill="1" applyBorder="1" applyAlignment="1">
      <alignment horizontal="left" vertical="top"/>
    </xf>
    <xf numFmtId="165" fontId="16" fillId="19" borderId="39" xfId="30" applyNumberFormat="1" applyFont="1" applyFill="1" applyBorder="1" applyAlignment="1">
      <alignment horizontal="left" vertical="top"/>
    </xf>
    <xf numFmtId="165" fontId="21" fillId="20" borderId="39" xfId="31" applyNumberFormat="1" applyFont="1" applyFill="1" applyBorder="1" applyAlignment="1">
      <alignment horizontal="left" vertical="top"/>
    </xf>
    <xf numFmtId="0" fontId="19" fillId="8" borderId="2" xfId="29" applyFont="1" applyBorder="1" applyAlignment="1">
      <alignment horizontal="center" vertical="top"/>
    </xf>
    <xf numFmtId="0" fontId="19" fillId="19" borderId="0" xfId="28" applyFont="1" applyFill="1" applyAlignment="1">
      <alignment horizontal="center" vertical="top"/>
    </xf>
    <xf numFmtId="0" fontId="19" fillId="7" borderId="0" xfId="32" applyFont="1" applyAlignment="1">
      <alignment horizontal="center" vertical="top"/>
    </xf>
    <xf numFmtId="0" fontId="19" fillId="4" borderId="0" xfId="31" applyFont="1" applyAlignment="1">
      <alignment horizontal="center" vertical="top"/>
    </xf>
    <xf numFmtId="0" fontId="17" fillId="5" borderId="6" xfId="30" applyFont="1" applyBorder="1" applyAlignment="1">
      <alignment horizontal="center" vertical="center"/>
    </xf>
    <xf numFmtId="0" fontId="17" fillId="5" borderId="6" xfId="30" applyFont="1" applyBorder="1"/>
    <xf numFmtId="0" fontId="22" fillId="5" borderId="6" xfId="30" applyFont="1" applyBorder="1" applyAlignment="1">
      <alignment horizontal="left"/>
    </xf>
    <xf numFmtId="167" fontId="19" fillId="12" borderId="10" xfId="30" applyNumberFormat="1" applyFont="1" applyFill="1" applyBorder="1" applyAlignment="1">
      <alignment horizontal="left" vertical="top"/>
    </xf>
    <xf numFmtId="167" fontId="19" fillId="20" borderId="55" xfId="30" applyNumberFormat="1" applyFont="1" applyFill="1" applyBorder="1" applyAlignment="1">
      <alignment horizontal="left" vertical="top"/>
    </xf>
    <xf numFmtId="167" fontId="19" fillId="19" borderId="56" xfId="30" applyNumberFormat="1" applyFont="1" applyFill="1" applyBorder="1" applyAlignment="1">
      <alignment horizontal="left" vertical="top"/>
    </xf>
    <xf numFmtId="167" fontId="19" fillId="2" borderId="56" xfId="30" applyNumberFormat="1" applyFont="1" applyFill="1" applyBorder="1" applyAlignment="1">
      <alignment horizontal="left" vertical="top"/>
    </xf>
    <xf numFmtId="167" fontId="19" fillId="12" borderId="55" xfId="30" applyNumberFormat="1" applyFont="1" applyFill="1" applyBorder="1" applyAlignment="1">
      <alignment horizontal="left" vertical="top"/>
    </xf>
    <xf numFmtId="165" fontId="21" fillId="19" borderId="58" xfId="31" applyNumberFormat="1" applyFont="1" applyFill="1" applyBorder="1" applyAlignment="1">
      <alignment horizontal="left" vertical="top"/>
    </xf>
    <xf numFmtId="165" fontId="16" fillId="19" borderId="58" xfId="30" applyNumberFormat="1" applyFont="1" applyFill="1" applyBorder="1" applyAlignment="1">
      <alignment horizontal="left" vertical="top"/>
    </xf>
    <xf numFmtId="167" fontId="19" fillId="19" borderId="59" xfId="30" applyNumberFormat="1" applyFont="1" applyFill="1" applyBorder="1" applyAlignment="1">
      <alignment horizontal="left" vertical="top"/>
    </xf>
    <xf numFmtId="170" fontId="19" fillId="0" borderId="2" xfId="7" applyNumberFormat="1" applyFont="1" applyBorder="1" applyAlignment="1">
      <alignment horizontal="left" vertical="top"/>
    </xf>
    <xf numFmtId="0" fontId="14" fillId="0" borderId="38" xfId="7" applyBorder="1" applyAlignment="1">
      <alignment horizontal="center"/>
    </xf>
    <xf numFmtId="165" fontId="21" fillId="12" borderId="2" xfId="39" applyNumberFormat="1" applyFont="1" applyFill="1" applyBorder="1" applyAlignment="1">
      <alignment horizontal="left" vertical="top"/>
    </xf>
    <xf numFmtId="165" fontId="16" fillId="12" borderId="2" xfId="40" applyNumberFormat="1" applyFont="1" applyFill="1" applyBorder="1" applyAlignment="1">
      <alignment horizontal="left" vertical="top"/>
    </xf>
    <xf numFmtId="167" fontId="19" fillId="12" borderId="10" xfId="40" applyNumberFormat="1" applyFont="1" applyFill="1" applyBorder="1" applyAlignment="1">
      <alignment horizontal="left" vertical="top"/>
    </xf>
    <xf numFmtId="0" fontId="16" fillId="12" borderId="22" xfId="38" applyFont="1" applyFill="1" applyBorder="1" applyAlignment="1">
      <alignment horizontal="left" vertical="top" wrapText="1"/>
    </xf>
    <xf numFmtId="165" fontId="21" fillId="12" borderId="22" xfId="39" applyNumberFormat="1" applyFont="1" applyFill="1" applyBorder="1" applyAlignment="1">
      <alignment horizontal="left" vertical="top"/>
    </xf>
    <xf numFmtId="165" fontId="16" fillId="12" borderId="22" xfId="40" applyNumberFormat="1" applyFont="1" applyFill="1" applyBorder="1" applyAlignment="1">
      <alignment horizontal="left" vertical="top"/>
    </xf>
    <xf numFmtId="167" fontId="19" fillId="12" borderId="62" xfId="40" applyNumberFormat="1" applyFont="1" applyFill="1" applyBorder="1" applyAlignment="1">
      <alignment horizontal="left" vertical="top"/>
    </xf>
    <xf numFmtId="0" fontId="16" fillId="12" borderId="53" xfId="38" applyFont="1" applyFill="1" applyBorder="1" applyAlignment="1">
      <alignment horizontal="left" vertical="top" wrapText="1"/>
    </xf>
    <xf numFmtId="165" fontId="21" fillId="12" borderId="53" xfId="39" applyNumberFormat="1" applyFont="1" applyFill="1" applyBorder="1" applyAlignment="1">
      <alignment horizontal="left" vertical="top"/>
    </xf>
    <xf numFmtId="165" fontId="16" fillId="12" borderId="53" xfId="40" applyNumberFormat="1" applyFont="1" applyFill="1" applyBorder="1" applyAlignment="1">
      <alignment horizontal="left" vertical="top"/>
    </xf>
    <xf numFmtId="167" fontId="19" fillId="12" borderId="66" xfId="40" applyNumberFormat="1" applyFont="1" applyFill="1" applyBorder="1" applyAlignment="1">
      <alignment horizontal="left" vertical="top"/>
    </xf>
    <xf numFmtId="165" fontId="21" fillId="12" borderId="65" xfId="39" applyNumberFormat="1" applyFont="1" applyFill="1" applyBorder="1" applyAlignment="1">
      <alignment horizontal="left" vertical="top"/>
    </xf>
    <xf numFmtId="165" fontId="16" fillId="12" borderId="65" xfId="40" applyNumberFormat="1" applyFont="1" applyFill="1" applyBorder="1" applyAlignment="1">
      <alignment horizontal="left" vertical="top"/>
    </xf>
    <xf numFmtId="167" fontId="19" fillId="12" borderId="64" xfId="40" applyNumberFormat="1" applyFont="1" applyFill="1" applyBorder="1" applyAlignment="1">
      <alignment horizontal="left" vertical="top"/>
    </xf>
    <xf numFmtId="165" fontId="21" fillId="20" borderId="47" xfId="39" applyNumberFormat="1" applyFont="1" applyFill="1" applyBorder="1" applyAlignment="1">
      <alignment horizontal="left" vertical="top"/>
    </xf>
    <xf numFmtId="165" fontId="16" fillId="20" borderId="47" xfId="40" applyNumberFormat="1" applyFont="1" applyFill="1" applyBorder="1" applyAlignment="1">
      <alignment horizontal="left" vertical="top"/>
    </xf>
    <xf numFmtId="167" fontId="19" fillId="20" borderId="55" xfId="40" applyNumberFormat="1" applyFont="1" applyFill="1" applyBorder="1" applyAlignment="1">
      <alignment horizontal="left" vertical="top"/>
    </xf>
    <xf numFmtId="0" fontId="16" fillId="19" borderId="22" xfId="41" applyFont="1" applyFill="1" applyBorder="1" applyAlignment="1">
      <alignment horizontal="left" vertical="top" wrapText="1"/>
    </xf>
    <xf numFmtId="165" fontId="21" fillId="19" borderId="22" xfId="41" applyNumberFormat="1" applyFont="1" applyFill="1" applyBorder="1" applyAlignment="1">
      <alignment horizontal="left" vertical="top"/>
    </xf>
    <xf numFmtId="165" fontId="16" fillId="19" borderId="22" xfId="40" applyNumberFormat="1" applyFont="1" applyFill="1" applyBorder="1" applyAlignment="1">
      <alignment horizontal="left" vertical="top"/>
    </xf>
    <xf numFmtId="167" fontId="19" fillId="19" borderId="62" xfId="40" applyNumberFormat="1" applyFont="1" applyFill="1" applyBorder="1" applyAlignment="1">
      <alignment horizontal="left" vertical="top"/>
    </xf>
    <xf numFmtId="165" fontId="21" fillId="20" borderId="22" xfId="39" applyNumberFormat="1" applyFont="1" applyFill="1" applyBorder="1" applyAlignment="1">
      <alignment horizontal="left" vertical="top"/>
    </xf>
    <xf numFmtId="165" fontId="16" fillId="20" borderId="22" xfId="40" applyNumberFormat="1" applyFont="1" applyFill="1" applyBorder="1" applyAlignment="1">
      <alignment horizontal="left" vertical="top"/>
    </xf>
    <xf numFmtId="167" fontId="19" fillId="20" borderId="67" xfId="40" applyNumberFormat="1" applyFont="1" applyFill="1" applyBorder="1" applyAlignment="1">
      <alignment horizontal="left" vertical="top"/>
    </xf>
    <xf numFmtId="165" fontId="21" fillId="20" borderId="24" xfId="39" applyNumberFormat="1" applyFont="1" applyFill="1" applyBorder="1" applyAlignment="1">
      <alignment horizontal="left" vertical="top"/>
    </xf>
    <xf numFmtId="165" fontId="16" fillId="20" borderId="24" xfId="40" applyNumberFormat="1" applyFont="1" applyFill="1" applyBorder="1" applyAlignment="1">
      <alignment horizontal="left" vertical="top"/>
    </xf>
    <xf numFmtId="167" fontId="19" fillId="20" borderId="68" xfId="40" applyNumberFormat="1" applyFont="1" applyFill="1" applyBorder="1" applyAlignment="1">
      <alignment horizontal="left" vertical="top"/>
    </xf>
    <xf numFmtId="165" fontId="21" fillId="19" borderId="0" xfId="41" applyNumberFormat="1" applyFont="1" applyFill="1" applyAlignment="1">
      <alignment horizontal="left" vertical="top"/>
    </xf>
    <xf numFmtId="165" fontId="16" fillId="19" borderId="0" xfId="40" applyNumberFormat="1" applyFont="1" applyFill="1" applyAlignment="1">
      <alignment horizontal="left" vertical="top"/>
    </xf>
    <xf numFmtId="167" fontId="19" fillId="19" borderId="3" xfId="40" applyNumberFormat="1" applyFont="1" applyFill="1" applyBorder="1" applyAlignment="1">
      <alignment horizontal="left" vertical="top"/>
    </xf>
    <xf numFmtId="165" fontId="21" fillId="20" borderId="39" xfId="39" applyNumberFormat="1" applyFont="1" applyFill="1" applyBorder="1" applyAlignment="1">
      <alignment horizontal="left" vertical="top"/>
    </xf>
    <xf numFmtId="165" fontId="16" fillId="20" borderId="39" xfId="40" applyNumberFormat="1" applyFont="1" applyFill="1" applyBorder="1" applyAlignment="1">
      <alignment horizontal="left" vertical="top"/>
    </xf>
    <xf numFmtId="167" fontId="19" fillId="20" borderId="56" xfId="40" applyNumberFormat="1" applyFont="1" applyFill="1" applyBorder="1" applyAlignment="1">
      <alignment horizontal="left" vertical="top"/>
    </xf>
    <xf numFmtId="165" fontId="21" fillId="20" borderId="53" xfId="41" applyNumberFormat="1" applyFont="1" applyFill="1" applyBorder="1" applyAlignment="1">
      <alignment horizontal="left" vertical="top"/>
    </xf>
    <xf numFmtId="165" fontId="16" fillId="20" borderId="53" xfId="40" applyNumberFormat="1" applyFont="1" applyFill="1" applyBorder="1" applyAlignment="1">
      <alignment horizontal="left" vertical="top"/>
    </xf>
    <xf numFmtId="167" fontId="19" fillId="20" borderId="66" xfId="40" applyNumberFormat="1" applyFont="1" applyFill="1" applyBorder="1" applyAlignment="1">
      <alignment horizontal="left" vertical="top"/>
    </xf>
    <xf numFmtId="165" fontId="21" fillId="20" borderId="22" xfId="41" applyNumberFormat="1" applyFont="1" applyFill="1" applyBorder="1" applyAlignment="1">
      <alignment horizontal="left" vertical="top"/>
    </xf>
    <xf numFmtId="165" fontId="16" fillId="20" borderId="0" xfId="40" applyNumberFormat="1" applyFont="1" applyFill="1" applyAlignment="1">
      <alignment horizontal="left" vertical="top"/>
    </xf>
    <xf numFmtId="167" fontId="19" fillId="20" borderId="3" xfId="40" applyNumberFormat="1" applyFont="1" applyFill="1" applyBorder="1" applyAlignment="1">
      <alignment horizontal="left" vertical="top"/>
    </xf>
    <xf numFmtId="165" fontId="21" fillId="19" borderId="61" xfId="41" applyNumberFormat="1" applyFont="1" applyFill="1" applyBorder="1" applyAlignment="1">
      <alignment horizontal="left" vertical="top"/>
    </xf>
    <xf numFmtId="165" fontId="16" fillId="19" borderId="61" xfId="40" applyNumberFormat="1" applyFont="1" applyFill="1" applyBorder="1" applyAlignment="1">
      <alignment horizontal="left" vertical="top"/>
    </xf>
    <xf numFmtId="167" fontId="19" fillId="19" borderId="60" xfId="40" applyNumberFormat="1" applyFont="1" applyFill="1" applyBorder="1" applyAlignment="1">
      <alignment horizontal="left" vertical="top"/>
    </xf>
    <xf numFmtId="0" fontId="19" fillId="8" borderId="2" xfId="39" applyFont="1" applyBorder="1" applyAlignment="1">
      <alignment horizontal="center" vertical="top"/>
    </xf>
    <xf numFmtId="0" fontId="19" fillId="19" borderId="0" xfId="38" applyFont="1" applyFill="1" applyAlignment="1">
      <alignment horizontal="center" vertical="top"/>
    </xf>
    <xf numFmtId="0" fontId="19" fillId="7" borderId="0" xfId="42" applyFont="1" applyAlignment="1">
      <alignment horizontal="center" vertical="top"/>
    </xf>
    <xf numFmtId="0" fontId="19" fillId="4" borderId="0" xfId="41" applyFont="1" applyAlignment="1">
      <alignment horizontal="center" vertical="top"/>
    </xf>
    <xf numFmtId="0" fontId="17" fillId="5" borderId="6" xfId="40" applyFont="1" applyBorder="1" applyAlignment="1">
      <alignment horizontal="center" vertical="center"/>
    </xf>
    <xf numFmtId="0" fontId="17" fillId="5" borderId="6" xfId="40" applyFont="1" applyBorder="1"/>
    <xf numFmtId="0" fontId="22" fillId="5" borderId="6" xfId="40" applyFont="1" applyBorder="1" applyAlignment="1">
      <alignment horizontal="left"/>
    </xf>
    <xf numFmtId="0" fontId="26" fillId="14" borderId="6" xfId="12" applyFont="1" applyFill="1" applyBorder="1"/>
    <xf numFmtId="0" fontId="16" fillId="0" borderId="0" xfId="12" applyFont="1" applyAlignment="1">
      <alignment wrapText="1"/>
    </xf>
    <xf numFmtId="0" fontId="26" fillId="0" borderId="2" xfId="12" applyFont="1" applyBorder="1"/>
    <xf numFmtId="0" fontId="7" fillId="0" borderId="0" xfId="12" applyAlignment="1">
      <alignment horizontal="left"/>
    </xf>
    <xf numFmtId="0" fontId="16" fillId="3" borderId="11" xfId="3" applyFont="1" applyFill="1" applyBorder="1" applyAlignment="1">
      <alignment horizontal="left" vertical="top" wrapText="1"/>
    </xf>
    <xf numFmtId="0" fontId="16" fillId="3" borderId="11" xfId="3" applyFont="1" applyFill="1" applyBorder="1" applyAlignment="1">
      <alignment horizontal="left" vertical="top"/>
    </xf>
    <xf numFmtId="0" fontId="16" fillId="0" borderId="7" xfId="0" applyFont="1" applyBorder="1" applyAlignment="1">
      <alignment horizontal="left" vertical="top" wrapText="1"/>
    </xf>
    <xf numFmtId="0" fontId="16" fillId="0" borderId="8" xfId="0" applyFont="1" applyBorder="1" applyAlignment="1">
      <alignment horizontal="left" vertical="top" wrapText="1"/>
    </xf>
    <xf numFmtId="0" fontId="16" fillId="0" borderId="9" xfId="0" applyFont="1" applyBorder="1" applyAlignment="1">
      <alignment horizontal="left" vertical="top" wrapText="1"/>
    </xf>
    <xf numFmtId="0" fontId="16" fillId="0" borderId="3" xfId="0" applyFont="1" applyBorder="1" applyAlignment="1">
      <alignment horizontal="left" vertical="top" wrapText="1"/>
    </xf>
    <xf numFmtId="0" fontId="16" fillId="0" borderId="0" xfId="0" applyFont="1" applyBorder="1" applyAlignment="1">
      <alignment horizontal="left" vertical="top" wrapText="1"/>
    </xf>
    <xf numFmtId="0" fontId="16"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2" xfId="0" applyFont="1" applyBorder="1" applyAlignment="1">
      <alignment horizontal="left" vertical="top" wrapText="1"/>
    </xf>
    <xf numFmtId="0" fontId="16" fillId="0" borderId="5" xfId="0" applyFont="1" applyBorder="1" applyAlignment="1">
      <alignment horizontal="left" vertical="top" wrapText="1"/>
    </xf>
    <xf numFmtId="0" fontId="22" fillId="5" borderId="6" xfId="2" applyFont="1" applyBorder="1" applyAlignment="1">
      <alignment horizontal="center"/>
    </xf>
    <xf numFmtId="0" fontId="16" fillId="0" borderId="0" xfId="0" applyFont="1" applyAlignment="1">
      <alignment horizontal="left" vertical="top" wrapText="1"/>
    </xf>
    <xf numFmtId="0" fontId="16" fillId="3" borderId="15" xfId="1" applyFont="1" applyFill="1" applyBorder="1" applyAlignment="1">
      <alignment horizontal="left" vertical="top"/>
    </xf>
    <xf numFmtId="0" fontId="16" fillId="3" borderId="11" xfId="1" applyFont="1" applyFill="1" applyBorder="1" applyAlignment="1">
      <alignment horizontal="left" vertical="top"/>
    </xf>
    <xf numFmtId="0" fontId="22" fillId="5" borderId="6" xfId="6" applyFont="1" applyBorder="1" applyAlignment="1">
      <alignment horizontal="center"/>
    </xf>
    <xf numFmtId="0" fontId="16" fillId="0" borderId="8" xfId="7" applyFont="1" applyBorder="1" applyAlignment="1">
      <alignment horizontal="left" vertical="top" wrapText="1"/>
    </xf>
    <xf numFmtId="0" fontId="16" fillId="0" borderId="0" xfId="7" applyFont="1" applyAlignment="1">
      <alignment horizontal="left" vertical="top" wrapText="1"/>
    </xf>
    <xf numFmtId="167" fontId="19" fillId="11" borderId="26" xfId="6" applyNumberFormat="1" applyFont="1" applyFill="1" applyBorder="1" applyAlignment="1">
      <alignment horizontal="left" vertical="top"/>
    </xf>
    <xf numFmtId="167" fontId="19" fillId="11" borderId="29" xfId="6" applyNumberFormat="1" applyFont="1" applyFill="1" applyBorder="1" applyAlignment="1">
      <alignment horizontal="left" vertical="top"/>
    </xf>
    <xf numFmtId="165" fontId="16" fillId="11" borderId="27" xfId="6" applyNumberFormat="1" applyFont="1" applyFill="1" applyBorder="1" applyAlignment="1">
      <alignment horizontal="left" vertical="top"/>
    </xf>
    <xf numFmtId="165" fontId="16" fillId="11" borderId="22" xfId="6" applyNumberFormat="1" applyFont="1" applyFill="1" applyBorder="1" applyAlignment="1">
      <alignment horizontal="left" vertical="top"/>
    </xf>
    <xf numFmtId="0" fontId="14" fillId="0" borderId="37" xfId="7" applyNumberFormat="1" applyBorder="1" applyAlignment="1">
      <alignment horizontal="center" vertical="top"/>
    </xf>
    <xf numFmtId="0" fontId="14" fillId="0" borderId="38" xfId="7" applyNumberFormat="1" applyBorder="1" applyAlignment="1">
      <alignment horizontal="center" vertical="top"/>
    </xf>
    <xf numFmtId="167" fontId="19" fillId="12" borderId="30" xfId="6" applyNumberFormat="1" applyFont="1" applyFill="1" applyBorder="1" applyAlignment="1">
      <alignment horizontal="left" vertical="top"/>
    </xf>
    <xf numFmtId="167" fontId="19" fillId="12" borderId="29" xfId="6" applyNumberFormat="1" applyFont="1" applyFill="1" applyBorder="1" applyAlignment="1">
      <alignment horizontal="left" vertical="top"/>
    </xf>
    <xf numFmtId="165" fontId="16" fillId="12" borderId="24" xfId="6" applyNumberFormat="1" applyFont="1" applyFill="1" applyBorder="1" applyAlignment="1">
      <alignment horizontal="left" vertical="top"/>
    </xf>
    <xf numFmtId="165" fontId="16" fillId="12" borderId="22" xfId="6" applyNumberFormat="1" applyFont="1" applyFill="1" applyBorder="1" applyAlignment="1">
      <alignment horizontal="left" vertical="top"/>
    </xf>
    <xf numFmtId="165" fontId="21" fillId="11" borderId="27" xfId="8" applyNumberFormat="1" applyFont="1" applyFill="1" applyBorder="1" applyAlignment="1">
      <alignment horizontal="left" vertical="top"/>
    </xf>
    <xf numFmtId="165" fontId="21" fillId="11" borderId="22" xfId="8" applyNumberFormat="1" applyFont="1" applyFill="1" applyBorder="1" applyAlignment="1">
      <alignment horizontal="left" vertical="top"/>
    </xf>
    <xf numFmtId="165" fontId="21" fillId="12" borderId="24" xfId="8" applyNumberFormat="1" applyFont="1" applyFill="1" applyBorder="1" applyAlignment="1">
      <alignment horizontal="left" vertical="top"/>
    </xf>
    <xf numFmtId="165" fontId="21" fillId="12" borderId="22" xfId="8" applyNumberFormat="1" applyFont="1" applyFill="1" applyBorder="1" applyAlignment="1">
      <alignment horizontal="left" vertical="top"/>
    </xf>
    <xf numFmtId="0" fontId="16" fillId="11" borderId="27" xfId="8" applyFont="1" applyFill="1" applyBorder="1" applyAlignment="1">
      <alignment horizontal="left" vertical="top" wrapText="1"/>
    </xf>
    <xf numFmtId="0" fontId="16" fillId="11" borderId="28" xfId="8" applyFont="1" applyFill="1" applyBorder="1" applyAlignment="1">
      <alignment horizontal="left" vertical="top" wrapText="1"/>
    </xf>
    <xf numFmtId="0" fontId="16" fillId="11" borderId="22" xfId="8" applyFont="1" applyFill="1" applyBorder="1" applyAlignment="1">
      <alignment horizontal="left" vertical="top" wrapText="1"/>
    </xf>
    <xf numFmtId="0" fontId="16" fillId="11" borderId="23" xfId="8" applyFont="1" applyFill="1" applyBorder="1" applyAlignment="1">
      <alignment horizontal="left" vertical="top" wrapText="1"/>
    </xf>
    <xf numFmtId="0" fontId="16" fillId="12" borderId="24" xfId="10" applyFont="1" applyFill="1" applyBorder="1" applyAlignment="1">
      <alignment horizontal="left" vertical="top" wrapText="1"/>
    </xf>
    <xf numFmtId="0" fontId="16" fillId="12" borderId="25" xfId="10" applyFont="1" applyFill="1" applyBorder="1" applyAlignment="1">
      <alignment horizontal="left" vertical="top" wrapText="1"/>
    </xf>
    <xf numFmtId="0" fontId="16" fillId="12" borderId="22" xfId="10" applyFont="1" applyFill="1" applyBorder="1" applyAlignment="1">
      <alignment horizontal="left" vertical="top" wrapText="1"/>
    </xf>
    <xf numFmtId="0" fontId="16" fillId="12" borderId="23" xfId="10" applyFont="1" applyFill="1" applyBorder="1" applyAlignment="1">
      <alignment horizontal="left" vertical="top" wrapText="1"/>
    </xf>
    <xf numFmtId="167" fontId="19" fillId="11" borderId="30" xfId="6" applyNumberFormat="1" applyFont="1" applyFill="1" applyBorder="1" applyAlignment="1">
      <alignment horizontal="left" vertical="top"/>
    </xf>
    <xf numFmtId="165" fontId="16" fillId="11" borderId="24" xfId="6" applyNumberFormat="1" applyFont="1" applyFill="1" applyBorder="1" applyAlignment="1">
      <alignment horizontal="left" vertical="top"/>
    </xf>
    <xf numFmtId="0" fontId="16" fillId="11" borderId="24" xfId="10" applyFont="1" applyFill="1" applyBorder="1" applyAlignment="1">
      <alignment horizontal="left" vertical="top" wrapText="1"/>
    </xf>
    <xf numFmtId="0" fontId="16" fillId="11" borderId="25" xfId="10" applyFont="1" applyFill="1" applyBorder="1" applyAlignment="1">
      <alignment horizontal="left" vertical="top" wrapText="1"/>
    </xf>
    <xf numFmtId="0" fontId="16" fillId="11" borderId="22" xfId="10" applyFont="1" applyFill="1" applyBorder="1" applyAlignment="1">
      <alignment horizontal="left" vertical="top" wrapText="1"/>
    </xf>
    <xf numFmtId="0" fontId="16" fillId="11" borderId="23" xfId="10" applyFont="1" applyFill="1" applyBorder="1" applyAlignment="1">
      <alignment horizontal="left" vertical="top" wrapText="1"/>
    </xf>
    <xf numFmtId="165" fontId="21" fillId="11" borderId="24" xfId="8" applyNumberFormat="1" applyFont="1" applyFill="1" applyBorder="1" applyAlignment="1">
      <alignment horizontal="left" vertical="top"/>
    </xf>
    <xf numFmtId="167" fontId="19" fillId="11" borderId="34" xfId="6" applyNumberFormat="1" applyFont="1" applyFill="1" applyBorder="1" applyAlignment="1">
      <alignment horizontal="left" vertical="top"/>
    </xf>
    <xf numFmtId="167" fontId="19" fillId="11" borderId="32" xfId="6" applyNumberFormat="1" applyFont="1" applyFill="1" applyBorder="1" applyAlignment="1">
      <alignment horizontal="left" vertical="top"/>
    </xf>
    <xf numFmtId="165" fontId="16" fillId="11" borderId="35" xfId="6" applyNumberFormat="1" applyFont="1" applyFill="1" applyBorder="1" applyAlignment="1">
      <alignment horizontal="left" vertical="top"/>
    </xf>
    <xf numFmtId="165" fontId="16" fillId="11" borderId="21" xfId="6" applyNumberFormat="1" applyFont="1" applyFill="1" applyBorder="1" applyAlignment="1">
      <alignment horizontal="left" vertical="top"/>
    </xf>
    <xf numFmtId="165" fontId="21" fillId="11" borderId="35" xfId="11" applyNumberFormat="1" applyFont="1" applyFill="1" applyBorder="1" applyAlignment="1">
      <alignment horizontal="left" vertical="top"/>
    </xf>
    <xf numFmtId="165" fontId="21" fillId="11" borderId="21" xfId="11" applyNumberFormat="1" applyFont="1" applyFill="1" applyBorder="1" applyAlignment="1">
      <alignment horizontal="left" vertical="top"/>
    </xf>
    <xf numFmtId="165" fontId="21" fillId="11" borderId="24" xfId="11" applyNumberFormat="1" applyFont="1" applyFill="1" applyBorder="1" applyAlignment="1">
      <alignment horizontal="left" vertical="top"/>
    </xf>
    <xf numFmtId="165" fontId="21" fillId="11" borderId="22" xfId="11" applyNumberFormat="1" applyFont="1" applyFill="1" applyBorder="1" applyAlignment="1">
      <alignment horizontal="left" vertical="top"/>
    </xf>
    <xf numFmtId="165" fontId="21" fillId="12" borderId="24" xfId="11" applyNumberFormat="1" applyFont="1" applyFill="1" applyBorder="1" applyAlignment="1">
      <alignment horizontal="left" vertical="top"/>
    </xf>
    <xf numFmtId="165" fontId="21" fillId="12" borderId="22" xfId="11" applyNumberFormat="1" applyFont="1" applyFill="1" applyBorder="1" applyAlignment="1">
      <alignment horizontal="left" vertical="top"/>
    </xf>
    <xf numFmtId="165" fontId="21" fillId="12" borderId="0" xfId="11" applyNumberFormat="1" applyFont="1" applyFill="1" applyBorder="1" applyAlignment="1">
      <alignment horizontal="left" vertical="top"/>
    </xf>
    <xf numFmtId="165" fontId="16" fillId="12" borderId="0" xfId="6" applyNumberFormat="1" applyFont="1" applyFill="1" applyBorder="1" applyAlignment="1">
      <alignment horizontal="left" vertical="top"/>
    </xf>
    <xf numFmtId="167" fontId="19" fillId="12" borderId="31" xfId="6" applyNumberFormat="1" applyFont="1" applyFill="1" applyBorder="1" applyAlignment="1">
      <alignment horizontal="left" vertical="top"/>
    </xf>
    <xf numFmtId="0" fontId="16" fillId="12" borderId="39" xfId="10" applyFont="1" applyFill="1" applyBorder="1" applyAlignment="1">
      <alignment horizontal="left" vertical="top" wrapText="1"/>
    </xf>
    <xf numFmtId="0" fontId="16" fillId="12" borderId="40" xfId="10" applyFont="1" applyFill="1" applyBorder="1" applyAlignment="1">
      <alignment horizontal="left" vertical="top" wrapText="1"/>
    </xf>
    <xf numFmtId="0" fontId="16" fillId="11" borderId="35" xfId="10" applyFont="1" applyFill="1" applyBorder="1" applyAlignment="1">
      <alignment horizontal="left" vertical="top" wrapText="1"/>
    </xf>
    <xf numFmtId="0" fontId="16" fillId="11" borderId="36" xfId="10" applyFont="1" applyFill="1" applyBorder="1" applyAlignment="1">
      <alignment horizontal="left" vertical="top" wrapText="1"/>
    </xf>
    <xf numFmtId="0" fontId="16" fillId="11" borderId="21" xfId="10" applyFont="1" applyFill="1" applyBorder="1" applyAlignment="1">
      <alignment horizontal="left" vertical="top" wrapText="1"/>
    </xf>
    <xf numFmtId="0" fontId="16" fillId="11" borderId="33" xfId="10" applyFont="1" applyFill="1" applyBorder="1" applyAlignment="1">
      <alignment horizontal="left" vertical="top" wrapText="1"/>
    </xf>
    <xf numFmtId="167" fontId="19" fillId="12" borderId="32" xfId="6" applyNumberFormat="1" applyFont="1" applyFill="1" applyBorder="1" applyAlignment="1">
      <alignment horizontal="left" vertical="top"/>
    </xf>
    <xf numFmtId="165" fontId="16" fillId="12" borderId="21" xfId="6" applyNumberFormat="1" applyFont="1" applyFill="1" applyBorder="1" applyAlignment="1">
      <alignment horizontal="left" vertical="top"/>
    </xf>
    <xf numFmtId="165" fontId="21" fillId="12" borderId="21" xfId="11" applyNumberFormat="1" applyFont="1" applyFill="1" applyBorder="1" applyAlignment="1">
      <alignment horizontal="left" vertical="top"/>
    </xf>
    <xf numFmtId="0" fontId="16" fillId="12" borderId="21" xfId="10" applyFont="1" applyFill="1" applyBorder="1" applyAlignment="1">
      <alignment horizontal="left" vertical="top" wrapText="1"/>
    </xf>
    <xf numFmtId="0" fontId="16" fillId="12" borderId="33" xfId="10" applyFont="1" applyFill="1" applyBorder="1" applyAlignment="1">
      <alignment horizontal="left" vertical="top" wrapText="1"/>
    </xf>
    <xf numFmtId="167" fontId="19" fillId="12" borderId="26" xfId="6" applyNumberFormat="1" applyFont="1" applyFill="1" applyBorder="1" applyAlignment="1">
      <alignment horizontal="left" vertical="top"/>
    </xf>
    <xf numFmtId="165" fontId="16" fillId="12" borderId="27" xfId="6" applyNumberFormat="1" applyFont="1" applyFill="1" applyBorder="1" applyAlignment="1">
      <alignment horizontal="left" vertical="top"/>
    </xf>
    <xf numFmtId="165" fontId="21" fillId="12" borderId="27" xfId="11" applyNumberFormat="1" applyFont="1" applyFill="1" applyBorder="1" applyAlignment="1">
      <alignment horizontal="left" vertical="top"/>
    </xf>
    <xf numFmtId="0" fontId="16" fillId="12" borderId="27" xfId="10" applyFont="1" applyFill="1" applyBorder="1" applyAlignment="1">
      <alignment horizontal="left" vertical="top" wrapText="1"/>
    </xf>
    <xf numFmtId="0" fontId="16" fillId="12" borderId="28" xfId="10" applyFont="1" applyFill="1" applyBorder="1" applyAlignment="1">
      <alignment horizontal="left" vertical="top" wrapText="1"/>
    </xf>
    <xf numFmtId="167" fontId="19" fillId="12" borderId="42" xfId="6" applyNumberFormat="1" applyFont="1" applyFill="1" applyBorder="1" applyAlignment="1">
      <alignment horizontal="left" vertical="top"/>
    </xf>
    <xf numFmtId="165" fontId="16" fillId="12" borderId="39" xfId="6" applyNumberFormat="1" applyFont="1" applyFill="1" applyBorder="1" applyAlignment="1">
      <alignment horizontal="left" vertical="top"/>
    </xf>
    <xf numFmtId="165" fontId="21" fillId="12" borderId="39" xfId="11" applyNumberFormat="1" applyFont="1" applyFill="1" applyBorder="1" applyAlignment="1">
      <alignment horizontal="left" vertical="top"/>
    </xf>
    <xf numFmtId="167" fontId="19" fillId="2" borderId="30" xfId="6" applyNumberFormat="1" applyFont="1" applyFill="1" applyBorder="1" applyAlignment="1">
      <alignment horizontal="left" vertical="top"/>
    </xf>
    <xf numFmtId="167" fontId="19" fillId="2" borderId="29" xfId="6" applyNumberFormat="1" applyFont="1" applyFill="1" applyBorder="1" applyAlignment="1">
      <alignment horizontal="left" vertical="top"/>
    </xf>
    <xf numFmtId="165" fontId="16" fillId="2" borderId="24" xfId="6" applyNumberFormat="1" applyFont="1" applyFill="1" applyBorder="1" applyAlignment="1">
      <alignment horizontal="left" vertical="top"/>
    </xf>
    <xf numFmtId="165" fontId="16" fillId="2" borderId="22" xfId="6" applyNumberFormat="1" applyFont="1" applyFill="1" applyBorder="1" applyAlignment="1">
      <alignment horizontal="left" vertical="top"/>
    </xf>
    <xf numFmtId="165" fontId="21" fillId="2" borderId="24" xfId="11" applyNumberFormat="1" applyFont="1" applyFill="1" applyBorder="1" applyAlignment="1">
      <alignment horizontal="left" vertical="top"/>
    </xf>
    <xf numFmtId="165" fontId="21" fillId="2" borderId="22" xfId="11" applyNumberFormat="1" applyFont="1" applyFill="1" applyBorder="1" applyAlignment="1">
      <alignment horizontal="left" vertical="top"/>
    </xf>
    <xf numFmtId="0" fontId="16" fillId="2" borderId="24" xfId="10" applyFont="1" applyFill="1" applyBorder="1" applyAlignment="1">
      <alignment horizontal="left" vertical="top" wrapText="1"/>
    </xf>
    <xf numFmtId="0" fontId="16" fillId="2" borderId="25" xfId="10" applyFont="1" applyFill="1" applyBorder="1" applyAlignment="1">
      <alignment horizontal="left" vertical="top" wrapText="1"/>
    </xf>
    <xf numFmtId="0" fontId="16" fillId="2" borderId="22" xfId="10" applyFont="1" applyFill="1" applyBorder="1" applyAlignment="1">
      <alignment horizontal="left" vertical="top" wrapText="1"/>
    </xf>
    <xf numFmtId="0" fontId="16" fillId="2" borderId="23" xfId="10" applyFont="1" applyFill="1" applyBorder="1" applyAlignment="1">
      <alignment horizontal="left" vertical="top" wrapText="1"/>
    </xf>
    <xf numFmtId="167" fontId="19" fillId="19" borderId="30" xfId="6" applyNumberFormat="1" applyFont="1" applyFill="1" applyBorder="1" applyAlignment="1">
      <alignment horizontal="left" vertical="top"/>
    </xf>
    <xf numFmtId="167" fontId="19" fillId="19" borderId="29" xfId="6" applyNumberFormat="1" applyFont="1" applyFill="1" applyBorder="1" applyAlignment="1">
      <alignment horizontal="left" vertical="top"/>
    </xf>
    <xf numFmtId="165" fontId="16" fillId="19" borderId="24" xfId="6" applyNumberFormat="1" applyFont="1" applyFill="1" applyBorder="1" applyAlignment="1">
      <alignment horizontal="left" vertical="top"/>
    </xf>
    <xf numFmtId="165" fontId="16" fillId="19" borderId="22" xfId="6" applyNumberFormat="1" applyFont="1" applyFill="1" applyBorder="1" applyAlignment="1">
      <alignment horizontal="left" vertical="top"/>
    </xf>
    <xf numFmtId="165" fontId="21" fillId="19" borderId="24" xfId="8" applyNumberFormat="1" applyFont="1" applyFill="1" applyBorder="1" applyAlignment="1">
      <alignment horizontal="left" vertical="top"/>
    </xf>
    <xf numFmtId="165" fontId="21" fillId="19" borderId="22" xfId="8" applyNumberFormat="1" applyFont="1" applyFill="1" applyBorder="1" applyAlignment="1">
      <alignment horizontal="left" vertical="top"/>
    </xf>
    <xf numFmtId="0" fontId="16" fillId="19" borderId="24" xfId="10" applyFont="1" applyFill="1" applyBorder="1" applyAlignment="1">
      <alignment horizontal="left" vertical="top" wrapText="1"/>
    </xf>
    <xf numFmtId="0" fontId="16" fillId="19" borderId="25" xfId="10" applyFont="1" applyFill="1" applyBorder="1" applyAlignment="1">
      <alignment horizontal="left" vertical="top" wrapText="1"/>
    </xf>
    <xf numFmtId="0" fontId="16" fillId="19" borderId="22" xfId="10" applyFont="1" applyFill="1" applyBorder="1" applyAlignment="1">
      <alignment horizontal="left" vertical="top" wrapText="1"/>
    </xf>
    <xf numFmtId="0" fontId="16" fillId="19" borderId="23" xfId="10" applyFont="1" applyFill="1" applyBorder="1" applyAlignment="1">
      <alignment horizontal="left" vertical="top" wrapText="1"/>
    </xf>
    <xf numFmtId="165" fontId="21" fillId="2" borderId="24" xfId="8" applyNumberFormat="1" applyFont="1" applyFill="1" applyBorder="1" applyAlignment="1">
      <alignment horizontal="left" vertical="top"/>
    </xf>
    <xf numFmtId="165" fontId="21" fillId="2" borderId="22" xfId="8" applyNumberFormat="1" applyFont="1" applyFill="1" applyBorder="1" applyAlignment="1">
      <alignment horizontal="left" vertical="top"/>
    </xf>
    <xf numFmtId="167" fontId="19" fillId="20" borderId="30" xfId="6" applyNumberFormat="1" applyFont="1" applyFill="1" applyBorder="1" applyAlignment="1">
      <alignment horizontal="left" vertical="top"/>
    </xf>
    <xf numFmtId="167" fontId="19" fillId="20" borderId="29" xfId="6" applyNumberFormat="1" applyFont="1" applyFill="1" applyBorder="1" applyAlignment="1">
      <alignment horizontal="left" vertical="top"/>
    </xf>
    <xf numFmtId="165" fontId="16" fillId="20" borderId="24" xfId="6" applyNumberFormat="1" applyFont="1" applyFill="1" applyBorder="1" applyAlignment="1">
      <alignment horizontal="left" vertical="top"/>
    </xf>
    <xf numFmtId="165" fontId="16" fillId="20" borderId="22" xfId="6" applyNumberFormat="1" applyFont="1" applyFill="1" applyBorder="1" applyAlignment="1">
      <alignment horizontal="left" vertical="top"/>
    </xf>
    <xf numFmtId="165" fontId="21" fillId="20" borderId="24" xfId="8" applyNumberFormat="1" applyFont="1" applyFill="1" applyBorder="1" applyAlignment="1">
      <alignment horizontal="left" vertical="top"/>
    </xf>
    <xf numFmtId="165" fontId="21" fillId="20" borderId="22" xfId="8" applyNumberFormat="1" applyFont="1" applyFill="1" applyBorder="1" applyAlignment="1">
      <alignment horizontal="left" vertical="top"/>
    </xf>
    <xf numFmtId="0" fontId="16" fillId="20" borderId="24" xfId="10" applyFont="1" applyFill="1" applyBorder="1" applyAlignment="1">
      <alignment horizontal="left" vertical="top" wrapText="1"/>
    </xf>
    <xf numFmtId="0" fontId="16" fillId="20" borderId="25" xfId="10" applyFont="1" applyFill="1" applyBorder="1" applyAlignment="1">
      <alignment horizontal="left" vertical="top" wrapText="1"/>
    </xf>
    <xf numFmtId="0" fontId="16" fillId="20" borderId="22" xfId="10" applyFont="1" applyFill="1" applyBorder="1" applyAlignment="1">
      <alignment horizontal="left" vertical="top" wrapText="1"/>
    </xf>
    <xf numFmtId="0" fontId="16" fillId="20" borderId="23" xfId="10" applyFont="1" applyFill="1" applyBorder="1" applyAlignment="1">
      <alignment horizontal="left" vertical="top" wrapText="1"/>
    </xf>
    <xf numFmtId="0" fontId="16" fillId="19" borderId="27" xfId="8" applyFont="1" applyFill="1" applyBorder="1" applyAlignment="1">
      <alignment horizontal="left" vertical="top" wrapText="1"/>
    </xf>
    <xf numFmtId="0" fontId="16" fillId="19" borderId="28" xfId="8" applyFont="1" applyFill="1" applyBorder="1" applyAlignment="1">
      <alignment horizontal="left" vertical="top" wrapText="1"/>
    </xf>
    <xf numFmtId="0" fontId="16" fillId="19" borderId="22" xfId="8" applyFont="1" applyFill="1" applyBorder="1" applyAlignment="1">
      <alignment horizontal="left" vertical="top" wrapText="1"/>
    </xf>
    <xf numFmtId="0" fontId="16" fillId="19" borderId="23" xfId="8" applyFont="1" applyFill="1" applyBorder="1" applyAlignment="1">
      <alignment horizontal="left" vertical="top" wrapText="1"/>
    </xf>
    <xf numFmtId="167" fontId="19" fillId="19" borderId="26" xfId="6" applyNumberFormat="1" applyFont="1" applyFill="1" applyBorder="1" applyAlignment="1">
      <alignment horizontal="left" vertical="top"/>
    </xf>
    <xf numFmtId="165" fontId="16" fillId="19" borderId="27" xfId="6" applyNumberFormat="1" applyFont="1" applyFill="1" applyBorder="1" applyAlignment="1">
      <alignment horizontal="left" vertical="top"/>
    </xf>
    <xf numFmtId="165" fontId="21" fillId="19" borderId="27" xfId="8" applyNumberFormat="1" applyFont="1" applyFill="1" applyBorder="1" applyAlignment="1">
      <alignment horizontal="left" vertical="top"/>
    </xf>
    <xf numFmtId="167" fontId="19" fillId="20" borderId="42" xfId="6" applyNumberFormat="1" applyFont="1" applyFill="1" applyBorder="1" applyAlignment="1">
      <alignment horizontal="left" vertical="top"/>
    </xf>
    <xf numFmtId="165" fontId="16" fillId="20" borderId="39" xfId="6" applyNumberFormat="1" applyFont="1" applyFill="1" applyBorder="1" applyAlignment="1">
      <alignment horizontal="left" vertical="top"/>
    </xf>
    <xf numFmtId="165" fontId="21" fillId="20" borderId="39" xfId="8" applyNumberFormat="1" applyFont="1" applyFill="1" applyBorder="1" applyAlignment="1">
      <alignment horizontal="left" vertical="top"/>
    </xf>
    <xf numFmtId="0" fontId="16" fillId="20" borderId="39" xfId="10" applyFont="1" applyFill="1" applyBorder="1" applyAlignment="1">
      <alignment horizontal="left" vertical="top" wrapText="1"/>
    </xf>
    <xf numFmtId="0" fontId="16" fillId="20" borderId="40" xfId="10" applyFont="1" applyFill="1" applyBorder="1" applyAlignment="1">
      <alignment horizontal="left" vertical="top" wrapText="1"/>
    </xf>
    <xf numFmtId="167" fontId="19" fillId="19" borderId="31" xfId="6" applyNumberFormat="1" applyFont="1" applyFill="1" applyBorder="1" applyAlignment="1">
      <alignment horizontal="left" vertical="top"/>
    </xf>
    <xf numFmtId="167" fontId="19" fillId="19" borderId="42" xfId="6" applyNumberFormat="1" applyFont="1" applyFill="1" applyBorder="1" applyAlignment="1">
      <alignment horizontal="left" vertical="top"/>
    </xf>
    <xf numFmtId="165" fontId="16" fillId="19" borderId="0" xfId="6" applyNumberFormat="1" applyFont="1" applyFill="1" applyBorder="1" applyAlignment="1">
      <alignment horizontal="left" vertical="top"/>
    </xf>
    <xf numFmtId="165" fontId="16" fillId="19" borderId="39" xfId="6" applyNumberFormat="1" applyFont="1" applyFill="1" applyBorder="1" applyAlignment="1">
      <alignment horizontal="left" vertical="top"/>
    </xf>
    <xf numFmtId="165" fontId="21" fillId="19" borderId="0" xfId="8" applyNumberFormat="1" applyFont="1" applyFill="1" applyBorder="1" applyAlignment="1">
      <alignment horizontal="left" vertical="top"/>
    </xf>
    <xf numFmtId="165" fontId="21" fillId="19" borderId="39" xfId="8" applyNumberFormat="1" applyFont="1" applyFill="1" applyBorder="1" applyAlignment="1">
      <alignment horizontal="left" vertical="top"/>
    </xf>
    <xf numFmtId="0" fontId="16" fillId="19" borderId="0" xfId="8" applyFont="1" applyFill="1" applyBorder="1" applyAlignment="1">
      <alignment horizontal="left" vertical="top" wrapText="1"/>
    </xf>
    <xf numFmtId="0" fontId="16" fillId="19" borderId="4" xfId="8" applyFont="1" applyFill="1" applyBorder="1" applyAlignment="1">
      <alignment horizontal="left" vertical="top" wrapText="1"/>
    </xf>
    <xf numFmtId="0" fontId="16" fillId="19" borderId="39" xfId="8" applyFont="1" applyFill="1" applyBorder="1" applyAlignment="1">
      <alignment horizontal="left" vertical="top" wrapText="1"/>
    </xf>
    <xf numFmtId="0" fontId="16" fillId="19" borderId="40" xfId="8" applyFont="1" applyFill="1" applyBorder="1" applyAlignment="1">
      <alignment horizontal="left" vertical="top" wrapText="1"/>
    </xf>
    <xf numFmtId="0" fontId="16" fillId="2" borderId="39" xfId="10" applyFont="1" applyFill="1" applyBorder="1" applyAlignment="1">
      <alignment horizontal="left" vertical="top" wrapText="1"/>
    </xf>
    <xf numFmtId="0" fontId="16" fillId="2" borderId="40" xfId="10" applyFont="1" applyFill="1" applyBorder="1" applyAlignment="1">
      <alignment horizontal="left" vertical="top" wrapText="1"/>
    </xf>
    <xf numFmtId="167" fontId="19" fillId="2" borderId="42" xfId="6" applyNumberFormat="1" applyFont="1" applyFill="1" applyBorder="1" applyAlignment="1">
      <alignment horizontal="left" vertical="top"/>
    </xf>
    <xf numFmtId="165" fontId="16" fillId="2" borderId="39" xfId="6" applyNumberFormat="1" applyFont="1" applyFill="1" applyBorder="1" applyAlignment="1">
      <alignment horizontal="left" vertical="top"/>
    </xf>
    <xf numFmtId="165" fontId="21" fillId="2" borderId="39" xfId="11" applyNumberFormat="1" applyFont="1" applyFill="1" applyBorder="1" applyAlignment="1">
      <alignment horizontal="left" vertical="top"/>
    </xf>
    <xf numFmtId="167" fontId="19" fillId="12" borderId="34" xfId="6" applyNumberFormat="1" applyFont="1" applyFill="1" applyBorder="1" applyAlignment="1">
      <alignment horizontal="left" vertical="top"/>
    </xf>
    <xf numFmtId="165" fontId="16" fillId="12" borderId="35" xfId="6" applyNumberFormat="1" applyFont="1" applyFill="1" applyBorder="1" applyAlignment="1">
      <alignment horizontal="left" vertical="top"/>
    </xf>
    <xf numFmtId="165" fontId="21" fillId="12" borderId="35" xfId="11" applyNumberFormat="1" applyFont="1" applyFill="1" applyBorder="1" applyAlignment="1">
      <alignment horizontal="left" vertical="top"/>
    </xf>
    <xf numFmtId="0" fontId="16" fillId="12" borderId="35" xfId="10" applyFont="1" applyFill="1" applyBorder="1" applyAlignment="1">
      <alignment horizontal="left" vertical="top" wrapText="1"/>
    </xf>
    <xf numFmtId="0" fontId="16" fillId="12" borderId="36" xfId="10" applyFont="1" applyFill="1" applyBorder="1" applyAlignment="1">
      <alignment horizontal="left" vertical="top" wrapText="1"/>
    </xf>
    <xf numFmtId="0" fontId="16" fillId="12" borderId="0" xfId="10" applyFont="1" applyFill="1" applyBorder="1" applyAlignment="1">
      <alignment horizontal="left" vertical="top" wrapText="1"/>
    </xf>
    <xf numFmtId="0" fontId="16" fillId="12" borderId="4" xfId="10" applyFont="1" applyFill="1" applyBorder="1" applyAlignment="1">
      <alignment horizontal="left" vertical="top" wrapText="1"/>
    </xf>
    <xf numFmtId="167" fontId="19" fillId="2" borderId="31" xfId="6" applyNumberFormat="1" applyFont="1" applyFill="1" applyBorder="1" applyAlignment="1">
      <alignment horizontal="left" vertical="top"/>
    </xf>
    <xf numFmtId="165" fontId="16" fillId="2" borderId="0" xfId="6" applyNumberFormat="1" applyFont="1" applyFill="1" applyBorder="1" applyAlignment="1">
      <alignment horizontal="left" vertical="top"/>
    </xf>
    <xf numFmtId="165" fontId="21" fillId="2" borderId="0" xfId="11" applyNumberFormat="1" applyFont="1" applyFill="1" applyBorder="1" applyAlignment="1">
      <alignment horizontal="left" vertical="top"/>
    </xf>
    <xf numFmtId="0" fontId="16" fillId="2" borderId="0" xfId="10" applyFont="1" applyFill="1" applyBorder="1" applyAlignment="1">
      <alignment horizontal="left" vertical="top" wrapText="1"/>
    </xf>
    <xf numFmtId="0" fontId="16" fillId="2" borderId="4" xfId="10" applyFont="1" applyFill="1" applyBorder="1" applyAlignment="1">
      <alignment horizontal="left" vertical="top" wrapText="1"/>
    </xf>
    <xf numFmtId="167" fontId="19" fillId="19" borderId="45" xfId="6" applyNumberFormat="1" applyFont="1" applyFill="1" applyBorder="1" applyAlignment="1">
      <alignment horizontal="left" vertical="top"/>
    </xf>
    <xf numFmtId="167" fontId="19" fillId="19" borderId="44" xfId="6" applyNumberFormat="1" applyFont="1" applyFill="1" applyBorder="1" applyAlignment="1">
      <alignment horizontal="left" vertical="top"/>
    </xf>
    <xf numFmtId="49" fontId="14" fillId="0" borderId="37" xfId="7" applyNumberFormat="1" applyBorder="1" applyAlignment="1">
      <alignment horizontal="center" vertical="top"/>
    </xf>
    <xf numFmtId="49" fontId="14" fillId="0" borderId="38" xfId="7" applyNumberFormat="1" applyBorder="1" applyAlignment="1">
      <alignment horizontal="center" vertical="top"/>
    </xf>
    <xf numFmtId="167" fontId="19" fillId="20" borderId="44" xfId="6" applyNumberFormat="1" applyFont="1" applyFill="1" applyBorder="1" applyAlignment="1">
      <alignment horizontal="left" vertical="top"/>
    </xf>
    <xf numFmtId="165" fontId="21" fillId="20" borderId="35" xfId="8" applyNumberFormat="1" applyFont="1" applyFill="1" applyBorder="1" applyAlignment="1">
      <alignment horizontal="left" vertical="top"/>
    </xf>
    <xf numFmtId="0" fontId="16" fillId="20" borderId="0" xfId="10" applyFont="1" applyFill="1" applyBorder="1" applyAlignment="1">
      <alignment horizontal="left" vertical="top" wrapText="1"/>
    </xf>
    <xf numFmtId="0" fontId="16" fillId="20" borderId="4" xfId="10" applyFont="1" applyFill="1" applyBorder="1" applyAlignment="1">
      <alignment horizontal="left" vertical="top" wrapText="1"/>
    </xf>
    <xf numFmtId="0" fontId="16" fillId="19" borderId="35" xfId="8" applyFont="1" applyFill="1" applyBorder="1" applyAlignment="1">
      <alignment horizontal="left" vertical="top" wrapText="1"/>
    </xf>
    <xf numFmtId="0" fontId="16" fillId="19" borderId="36" xfId="8" applyFont="1" applyFill="1" applyBorder="1" applyAlignment="1">
      <alignment horizontal="left" vertical="top" wrapText="1"/>
    </xf>
    <xf numFmtId="165" fontId="21" fillId="19" borderId="35" xfId="8" applyNumberFormat="1" applyFont="1" applyFill="1" applyBorder="1" applyAlignment="1">
      <alignment horizontal="left" vertical="top"/>
    </xf>
    <xf numFmtId="165" fontId="16" fillId="19" borderId="35" xfId="6" applyNumberFormat="1" applyFont="1" applyFill="1" applyBorder="1" applyAlignment="1">
      <alignment horizontal="left" vertical="top"/>
    </xf>
    <xf numFmtId="167" fontId="19" fillId="19" borderId="46" xfId="6" applyNumberFormat="1" applyFont="1" applyFill="1" applyBorder="1" applyAlignment="1">
      <alignment horizontal="left" vertical="top"/>
    </xf>
    <xf numFmtId="49" fontId="14" fillId="0" borderId="43" xfId="7" applyNumberFormat="1" applyBorder="1" applyAlignment="1">
      <alignment horizontal="center" vertical="top"/>
    </xf>
    <xf numFmtId="165" fontId="16" fillId="20" borderId="35" xfId="6" applyNumberFormat="1" applyFont="1" applyFill="1" applyBorder="1" applyAlignment="1">
      <alignment horizontal="left" vertical="top"/>
    </xf>
    <xf numFmtId="167" fontId="19" fillId="20" borderId="34" xfId="6" applyNumberFormat="1" applyFont="1" applyFill="1" applyBorder="1" applyAlignment="1">
      <alignment horizontal="left" vertical="top"/>
    </xf>
    <xf numFmtId="49" fontId="0" fillId="0" borderId="38" xfId="7" applyNumberFormat="1" applyFont="1" applyBorder="1" applyAlignment="1">
      <alignment horizontal="center" vertical="top"/>
    </xf>
    <xf numFmtId="165" fontId="21" fillId="20" borderId="24" xfId="5" applyNumberFormat="1" applyFont="1" applyFill="1" applyBorder="1" applyAlignment="1">
      <alignment horizontal="left" vertical="top"/>
    </xf>
    <xf numFmtId="165" fontId="21" fillId="20" borderId="22" xfId="5" applyNumberFormat="1" applyFont="1" applyFill="1" applyBorder="1" applyAlignment="1">
      <alignment horizontal="left" vertical="top"/>
    </xf>
    <xf numFmtId="0" fontId="19" fillId="20" borderId="24" xfId="5" applyFont="1" applyFill="1" applyBorder="1" applyAlignment="1">
      <alignment horizontal="left" vertical="top" wrapText="1"/>
    </xf>
    <xf numFmtId="0" fontId="19" fillId="20" borderId="25" xfId="5" applyFont="1" applyFill="1" applyBorder="1" applyAlignment="1">
      <alignment horizontal="left" vertical="top" wrapText="1"/>
    </xf>
    <xf numFmtId="0" fontId="19" fillId="20" borderId="22" xfId="5" applyFont="1" applyFill="1" applyBorder="1" applyAlignment="1">
      <alignment horizontal="left" vertical="top" wrapText="1"/>
    </xf>
    <xf numFmtId="0" fontId="19" fillId="20" borderId="23" xfId="5" applyFont="1" applyFill="1" applyBorder="1" applyAlignment="1">
      <alignment horizontal="left" vertical="top" wrapText="1"/>
    </xf>
    <xf numFmtId="0" fontId="19" fillId="12" borderId="24" xfId="5" applyFont="1" applyFill="1" applyBorder="1" applyAlignment="1">
      <alignment horizontal="left" vertical="top" wrapText="1"/>
    </xf>
    <xf numFmtId="0" fontId="19" fillId="12" borderId="25" xfId="5" applyFont="1" applyFill="1" applyBorder="1" applyAlignment="1">
      <alignment horizontal="left" vertical="top" wrapText="1"/>
    </xf>
    <xf numFmtId="0" fontId="19" fillId="12" borderId="22" xfId="5" applyFont="1" applyFill="1" applyBorder="1" applyAlignment="1">
      <alignment horizontal="left" vertical="top" wrapText="1"/>
    </xf>
    <xf numFmtId="0" fontId="19" fillId="12" borderId="23" xfId="5" applyFont="1" applyFill="1" applyBorder="1" applyAlignment="1">
      <alignment horizontal="left" vertical="top" wrapText="1"/>
    </xf>
    <xf numFmtId="165" fontId="21" fillId="12" borderId="24" xfId="5" applyNumberFormat="1" applyFont="1" applyFill="1" applyBorder="1" applyAlignment="1">
      <alignment horizontal="left" vertical="top"/>
    </xf>
    <xf numFmtId="165" fontId="21" fillId="12" borderId="22" xfId="5" applyNumberFormat="1" applyFont="1" applyFill="1" applyBorder="1" applyAlignment="1">
      <alignment horizontal="left" vertical="top"/>
    </xf>
    <xf numFmtId="167" fontId="19" fillId="19" borderId="34" xfId="6" applyNumberFormat="1" applyFont="1" applyFill="1" applyBorder="1" applyAlignment="1">
      <alignment horizontal="left" vertical="top"/>
    </xf>
    <xf numFmtId="165" fontId="21" fillId="20" borderId="0" xfId="8" applyNumberFormat="1" applyFont="1" applyFill="1" applyBorder="1" applyAlignment="1">
      <alignment horizontal="left" vertical="top"/>
    </xf>
    <xf numFmtId="0" fontId="16" fillId="20" borderId="35" xfId="8" applyFont="1" applyFill="1" applyBorder="1" applyAlignment="1">
      <alignment horizontal="left" vertical="top" wrapText="1"/>
    </xf>
    <xf numFmtId="0" fontId="16" fillId="20" borderId="36" xfId="8" applyFont="1" applyFill="1" applyBorder="1" applyAlignment="1">
      <alignment horizontal="left" vertical="top" wrapText="1"/>
    </xf>
    <xf numFmtId="0" fontId="16" fillId="20" borderId="0" xfId="8" applyFont="1" applyFill="1" applyBorder="1" applyAlignment="1">
      <alignment horizontal="left" vertical="top" wrapText="1"/>
    </xf>
    <xf numFmtId="0" fontId="16" fillId="20" borderId="4" xfId="8" applyFont="1" applyFill="1" applyBorder="1" applyAlignment="1">
      <alignment horizontal="left" vertical="top" wrapText="1"/>
    </xf>
    <xf numFmtId="167" fontId="19" fillId="2" borderId="44" xfId="6" applyNumberFormat="1" applyFont="1" applyFill="1" applyBorder="1" applyAlignment="1">
      <alignment horizontal="left" vertical="top"/>
    </xf>
    <xf numFmtId="165" fontId="21" fillId="2" borderId="35" xfId="8" applyNumberFormat="1" applyFont="1" applyFill="1" applyBorder="1" applyAlignment="1">
      <alignment horizontal="left" vertical="top"/>
    </xf>
    <xf numFmtId="165" fontId="21" fillId="2" borderId="39" xfId="8" applyNumberFormat="1" applyFont="1" applyFill="1" applyBorder="1" applyAlignment="1">
      <alignment horizontal="left" vertical="top"/>
    </xf>
    <xf numFmtId="0" fontId="16" fillId="2" borderId="35" xfId="8" applyFont="1" applyFill="1" applyBorder="1" applyAlignment="1">
      <alignment horizontal="left" vertical="top" wrapText="1"/>
    </xf>
    <xf numFmtId="0" fontId="16" fillId="2" borderId="36" xfId="8" applyFont="1" applyFill="1" applyBorder="1" applyAlignment="1">
      <alignment horizontal="left" vertical="top" wrapText="1"/>
    </xf>
    <xf numFmtId="0" fontId="16" fillId="2" borderId="22" xfId="8" applyFont="1" applyFill="1" applyBorder="1" applyAlignment="1">
      <alignment horizontal="left" vertical="top" wrapText="1"/>
    </xf>
    <xf numFmtId="0" fontId="16" fillId="2" borderId="23" xfId="8" applyFont="1" applyFill="1" applyBorder="1" applyAlignment="1">
      <alignment horizontal="left" vertical="top" wrapText="1"/>
    </xf>
    <xf numFmtId="167" fontId="19" fillId="12" borderId="44" xfId="6" applyNumberFormat="1" applyFont="1" applyFill="1" applyBorder="1" applyAlignment="1">
      <alignment horizontal="left" vertical="top"/>
    </xf>
    <xf numFmtId="165" fontId="21" fillId="12" borderId="35" xfId="8" applyNumberFormat="1" applyFont="1" applyFill="1" applyBorder="1" applyAlignment="1">
      <alignment horizontal="left" vertical="top"/>
    </xf>
    <xf numFmtId="165" fontId="21" fillId="12" borderId="39" xfId="8" applyNumberFormat="1" applyFont="1" applyFill="1" applyBorder="1" applyAlignment="1">
      <alignment horizontal="left" vertical="top"/>
    </xf>
    <xf numFmtId="0" fontId="16" fillId="19" borderId="49" xfId="8" applyFont="1" applyFill="1" applyBorder="1" applyAlignment="1">
      <alignment horizontal="left" vertical="top" wrapText="1"/>
    </xf>
    <xf numFmtId="0" fontId="16" fillId="19" borderId="50" xfId="8" applyFont="1" applyFill="1" applyBorder="1" applyAlignment="1">
      <alignment horizontal="left" vertical="top" wrapText="1"/>
    </xf>
    <xf numFmtId="0" fontId="16" fillId="20" borderId="47" xfId="10" applyFont="1" applyFill="1" applyBorder="1" applyAlignment="1">
      <alignment horizontal="left" vertical="top" wrapText="1"/>
    </xf>
    <xf numFmtId="0" fontId="16" fillId="20" borderId="48" xfId="10" applyFont="1" applyFill="1" applyBorder="1" applyAlignment="1">
      <alignment horizontal="left" vertical="top" wrapText="1"/>
    </xf>
    <xf numFmtId="0" fontId="16" fillId="19" borderId="47" xfId="8" applyFont="1" applyFill="1" applyBorder="1" applyAlignment="1">
      <alignment horizontal="left" vertical="top" wrapText="1"/>
    </xf>
    <xf numFmtId="0" fontId="16" fillId="19" borderId="48" xfId="8" applyFont="1" applyFill="1" applyBorder="1" applyAlignment="1">
      <alignment horizontal="left" vertical="top" wrapText="1"/>
    </xf>
    <xf numFmtId="0" fontId="16" fillId="2" borderId="47" xfId="8" applyFont="1" applyFill="1" applyBorder="1" applyAlignment="1">
      <alignment horizontal="left" vertical="top" wrapText="1"/>
    </xf>
    <xf numFmtId="0" fontId="16" fillId="2" borderId="48" xfId="8" applyFont="1" applyFill="1" applyBorder="1" applyAlignment="1">
      <alignment horizontal="left" vertical="top" wrapText="1"/>
    </xf>
    <xf numFmtId="0" fontId="14" fillId="0" borderId="41" xfId="7" applyNumberFormat="1" applyBorder="1" applyAlignment="1">
      <alignment horizontal="center" vertical="top"/>
    </xf>
    <xf numFmtId="0" fontId="16" fillId="20" borderId="47" xfId="21" applyFont="1" applyFill="1" applyBorder="1" applyAlignment="1">
      <alignment horizontal="left" vertical="top" wrapText="1"/>
    </xf>
    <xf numFmtId="0" fontId="16" fillId="20" borderId="48" xfId="21" applyFont="1" applyFill="1" applyBorder="1" applyAlignment="1">
      <alignment horizontal="left" vertical="top" wrapText="1"/>
    </xf>
    <xf numFmtId="0" fontId="22" fillId="5" borderId="6" xfId="18" applyFont="1" applyBorder="1" applyAlignment="1">
      <alignment horizontal="center"/>
    </xf>
    <xf numFmtId="0" fontId="16" fillId="19" borderId="49" xfId="19" applyFont="1" applyFill="1" applyBorder="1" applyAlignment="1">
      <alignment horizontal="left" vertical="top" wrapText="1"/>
    </xf>
    <xf numFmtId="0" fontId="16" fillId="19" borderId="50" xfId="19" applyFont="1" applyFill="1" applyBorder="1" applyAlignment="1">
      <alignment horizontal="left" vertical="top" wrapText="1"/>
    </xf>
    <xf numFmtId="0" fontId="16" fillId="12" borderId="47" xfId="21" applyFont="1" applyFill="1" applyBorder="1" applyAlignment="1">
      <alignment horizontal="left" vertical="top" wrapText="1"/>
    </xf>
    <xf numFmtId="0" fontId="16" fillId="12" borderId="48" xfId="21" applyFont="1" applyFill="1" applyBorder="1" applyAlignment="1">
      <alignment horizontal="left" vertical="top" wrapText="1"/>
    </xf>
    <xf numFmtId="0" fontId="16" fillId="19" borderId="47" xfId="19" applyFont="1" applyFill="1" applyBorder="1" applyAlignment="1">
      <alignment horizontal="left" vertical="top" wrapText="1"/>
    </xf>
    <xf numFmtId="0" fontId="16" fillId="19" borderId="48" xfId="19" applyFont="1" applyFill="1" applyBorder="1" applyAlignment="1">
      <alignment horizontal="left" vertical="top" wrapText="1"/>
    </xf>
    <xf numFmtId="0" fontId="16" fillId="2" borderId="47" xfId="19" applyFont="1" applyFill="1" applyBorder="1" applyAlignment="1">
      <alignment horizontal="left" vertical="top" wrapText="1"/>
    </xf>
    <xf numFmtId="0" fontId="16" fillId="2" borderId="48" xfId="19" applyFont="1" applyFill="1" applyBorder="1" applyAlignment="1">
      <alignment horizontal="left" vertical="top" wrapText="1"/>
    </xf>
    <xf numFmtId="0" fontId="16" fillId="2" borderId="39" xfId="19" applyFont="1" applyFill="1" applyBorder="1" applyAlignment="1">
      <alignment horizontal="left" vertical="top" wrapText="1"/>
    </xf>
    <xf numFmtId="0" fontId="16" fillId="2" borderId="40" xfId="19" applyFont="1" applyFill="1" applyBorder="1" applyAlignment="1">
      <alignment horizontal="left" vertical="top" wrapText="1"/>
    </xf>
    <xf numFmtId="0" fontId="16" fillId="12" borderId="2" xfId="21" applyFont="1" applyFill="1" applyBorder="1" applyAlignment="1">
      <alignment horizontal="left" vertical="top" wrapText="1"/>
    </xf>
    <xf numFmtId="0" fontId="16" fillId="12" borderId="5" xfId="21" applyFont="1" applyFill="1" applyBorder="1" applyAlignment="1">
      <alignment horizontal="left" vertical="top" wrapText="1"/>
    </xf>
    <xf numFmtId="0" fontId="16" fillId="2" borderId="47" xfId="24" applyFont="1" applyFill="1" applyBorder="1" applyAlignment="1">
      <alignment horizontal="left" vertical="top" wrapText="1"/>
    </xf>
    <xf numFmtId="0" fontId="22" fillId="5" borderId="6" xfId="23" applyFont="1" applyBorder="1" applyAlignment="1">
      <alignment horizontal="center"/>
    </xf>
    <xf numFmtId="0" fontId="16" fillId="20" borderId="47" xfId="26" applyFont="1" applyFill="1" applyBorder="1" applyAlignment="1">
      <alignment horizontal="left" vertical="top" wrapText="1"/>
    </xf>
    <xf numFmtId="0" fontId="16" fillId="12" borderId="2" xfId="26" applyFont="1" applyFill="1" applyBorder="1" applyAlignment="1">
      <alignment horizontal="left" vertical="top" wrapText="1"/>
    </xf>
    <xf numFmtId="0" fontId="16" fillId="19" borderId="39" xfId="24" applyFont="1" applyFill="1" applyBorder="1" applyAlignment="1">
      <alignment horizontal="left" vertical="top" wrapText="1"/>
    </xf>
    <xf numFmtId="0" fontId="19" fillId="20" borderId="47" xfId="26" applyFont="1" applyFill="1" applyBorder="1" applyAlignment="1">
      <alignment horizontal="left" vertical="top" wrapText="1"/>
    </xf>
    <xf numFmtId="0" fontId="16" fillId="19" borderId="47" xfId="24" applyFont="1" applyFill="1" applyBorder="1" applyAlignment="1">
      <alignment horizontal="left" vertical="top" wrapText="1"/>
    </xf>
    <xf numFmtId="0" fontId="16" fillId="20" borderId="47" xfId="28" applyFont="1" applyFill="1" applyBorder="1" applyAlignment="1">
      <alignment horizontal="left" vertical="top" wrapText="1"/>
    </xf>
    <xf numFmtId="0" fontId="22" fillId="5" borderId="6" xfId="30" applyFont="1" applyBorder="1" applyAlignment="1">
      <alignment horizontal="center"/>
    </xf>
    <xf numFmtId="0" fontId="16" fillId="19" borderId="39" xfId="31" applyFont="1" applyFill="1" applyBorder="1" applyAlignment="1">
      <alignment horizontal="left" vertical="top" wrapText="1"/>
    </xf>
    <xf numFmtId="0" fontId="16" fillId="2" borderId="47" xfId="31" applyFont="1" applyFill="1" applyBorder="1" applyAlignment="1">
      <alignment horizontal="left" vertical="top" wrapText="1"/>
    </xf>
    <xf numFmtId="0" fontId="16" fillId="12" borderId="47" xfId="28" applyFont="1" applyFill="1" applyBorder="1" applyAlignment="1">
      <alignment horizontal="left" vertical="top" wrapText="1"/>
    </xf>
    <xf numFmtId="0" fontId="16" fillId="12" borderId="2" xfId="28" applyFont="1" applyFill="1" applyBorder="1" applyAlignment="1">
      <alignment horizontal="left" vertical="top" wrapText="1"/>
    </xf>
    <xf numFmtId="0" fontId="16" fillId="19" borderId="58" xfId="31" applyFont="1" applyFill="1" applyBorder="1" applyAlignment="1">
      <alignment horizontal="left" vertical="top" wrapText="1"/>
    </xf>
    <xf numFmtId="0" fontId="16" fillId="19" borderId="57" xfId="31" applyFont="1" applyFill="1" applyBorder="1" applyAlignment="1">
      <alignment horizontal="left" vertical="top" wrapText="1"/>
    </xf>
    <xf numFmtId="0" fontId="16" fillId="19" borderId="40" xfId="31" applyFont="1" applyFill="1" applyBorder="1" applyAlignment="1">
      <alignment horizontal="left" vertical="top" wrapText="1"/>
    </xf>
    <xf numFmtId="0" fontId="16" fillId="20" borderId="48" xfId="28" applyFont="1" applyFill="1" applyBorder="1" applyAlignment="1">
      <alignment horizontal="left" vertical="top" wrapText="1"/>
    </xf>
    <xf numFmtId="0" fontId="16" fillId="12" borderId="5" xfId="28" applyFont="1" applyFill="1" applyBorder="1" applyAlignment="1">
      <alignment horizontal="left" vertical="top" wrapText="1"/>
    </xf>
    <xf numFmtId="0" fontId="16" fillId="12" borderId="48" xfId="28" applyFont="1" applyFill="1" applyBorder="1" applyAlignment="1">
      <alignment horizontal="left" vertical="top" wrapText="1"/>
    </xf>
    <xf numFmtId="0" fontId="16" fillId="2" borderId="48" xfId="31" applyFont="1" applyFill="1" applyBorder="1" applyAlignment="1">
      <alignment horizontal="left" vertical="top" wrapText="1"/>
    </xf>
    <xf numFmtId="0" fontId="16" fillId="12" borderId="65" xfId="38" applyFont="1" applyFill="1" applyBorder="1" applyAlignment="1">
      <alignment horizontal="left" vertical="top" wrapText="1"/>
    </xf>
    <xf numFmtId="0" fontId="16" fillId="12" borderId="2" xfId="38" applyFont="1" applyFill="1" applyBorder="1" applyAlignment="1">
      <alignment horizontal="left" vertical="top" wrapText="1"/>
    </xf>
    <xf numFmtId="0" fontId="14" fillId="0" borderId="38" xfId="7" applyBorder="1" applyAlignment="1">
      <alignment horizontal="center" vertical="top"/>
    </xf>
    <xf numFmtId="0" fontId="16" fillId="20" borderId="39" xfId="38" applyFont="1" applyFill="1" applyBorder="1" applyAlignment="1">
      <alignment horizontal="left" vertical="top" wrapText="1"/>
    </xf>
    <xf numFmtId="0" fontId="16" fillId="19" borderId="0" xfId="41" applyFont="1" applyFill="1" applyAlignment="1">
      <alignment horizontal="left" vertical="top" wrapText="1"/>
    </xf>
    <xf numFmtId="0" fontId="16" fillId="20" borderId="24" xfId="38" applyFont="1" applyFill="1" applyBorder="1" applyAlignment="1">
      <alignment horizontal="left" vertical="top" wrapText="1"/>
    </xf>
    <xf numFmtId="0" fontId="16" fillId="20" borderId="22" xfId="38" applyFont="1" applyFill="1" applyBorder="1" applyAlignment="1">
      <alignment horizontal="left" vertical="top" wrapText="1"/>
    </xf>
    <xf numFmtId="0" fontId="16" fillId="20" borderId="63" xfId="38" applyFont="1" applyFill="1" applyBorder="1" applyAlignment="1">
      <alignment horizontal="left" vertical="top" wrapText="1"/>
    </xf>
    <xf numFmtId="0" fontId="16" fillId="19" borderId="22" xfId="41" applyFont="1" applyFill="1" applyBorder="1" applyAlignment="1">
      <alignment horizontal="left" vertical="top" wrapText="1"/>
    </xf>
    <xf numFmtId="0" fontId="16" fillId="20" borderId="47" xfId="38" applyFont="1" applyFill="1" applyBorder="1" applyAlignment="1">
      <alignment horizontal="left" vertical="top" wrapText="1"/>
    </xf>
    <xf numFmtId="0" fontId="16" fillId="20" borderId="53" xfId="38" applyFont="1" applyFill="1" applyBorder="1" applyAlignment="1">
      <alignment horizontal="left" vertical="top" wrapText="1"/>
    </xf>
    <xf numFmtId="167" fontId="19" fillId="20" borderId="68" xfId="40" applyNumberFormat="1" applyFont="1" applyFill="1" applyBorder="1" applyAlignment="1">
      <alignment horizontal="left" vertical="top"/>
    </xf>
    <xf numFmtId="167" fontId="19" fillId="20" borderId="67" xfId="40" applyNumberFormat="1" applyFont="1" applyFill="1" applyBorder="1" applyAlignment="1">
      <alignment horizontal="left" vertical="top"/>
    </xf>
    <xf numFmtId="165" fontId="16" fillId="20" borderId="24" xfId="40" applyNumberFormat="1" applyFont="1" applyFill="1" applyBorder="1" applyAlignment="1">
      <alignment horizontal="left" vertical="top"/>
    </xf>
    <xf numFmtId="165" fontId="16" fillId="20" borderId="22" xfId="40" applyNumberFormat="1" applyFont="1" applyFill="1" applyBorder="1" applyAlignment="1">
      <alignment horizontal="left" vertical="top"/>
    </xf>
    <xf numFmtId="165" fontId="21" fillId="20" borderId="24" xfId="41" applyNumberFormat="1" applyFont="1" applyFill="1" applyBorder="1" applyAlignment="1">
      <alignment horizontal="left" vertical="top"/>
    </xf>
    <xf numFmtId="165" fontId="21" fillId="20" borderId="22" xfId="41" applyNumberFormat="1" applyFont="1" applyFill="1" applyBorder="1" applyAlignment="1">
      <alignment horizontal="left" vertical="top"/>
    </xf>
    <xf numFmtId="0" fontId="22" fillId="5" borderId="6" xfId="40" applyFont="1" applyBorder="1" applyAlignment="1">
      <alignment horizontal="center"/>
    </xf>
    <xf numFmtId="0" fontId="16" fillId="19" borderId="61" xfId="41" applyFont="1" applyFill="1" applyBorder="1" applyAlignment="1">
      <alignment horizontal="left" vertical="top" wrapText="1"/>
    </xf>
    <xf numFmtId="20" fontId="7" fillId="0" borderId="0" xfId="12" applyNumberFormat="1"/>
  </cellXfs>
  <cellStyles count="43">
    <cellStyle name="20 % – uthevingsfarge 2" xfId="2" builtinId="34"/>
    <cellStyle name="20 % – uthevingsfarge 2 2" xfId="6" xr:uid="{E7BCF740-2D40-49E4-A88F-DD7F2E52FDC8}"/>
    <cellStyle name="20 % – uthevingsfarge 2 2 2" xfId="18" xr:uid="{6D0F7CF0-2A9C-4D86-AC96-F796711B14CB}"/>
    <cellStyle name="20 % – uthevingsfarge 2 2 2 2" xfId="23" xr:uid="{C2C196EE-6C98-4D97-8226-95F95A2ADF60}"/>
    <cellStyle name="20 % – uthevingsfarge 2 2 2 2 2" xfId="30" xr:uid="{D039A399-9F7F-4017-AF84-5441243F2EF5}"/>
    <cellStyle name="20 % – uthevingsfarge 2 2 2 2 3" xfId="33" xr:uid="{8377F837-0A2E-4E32-B30A-0E32C416C2C1}"/>
    <cellStyle name="20 % – uthevingsfarge 2 2 2 2 4" xfId="40" xr:uid="{360C2CFC-0F5D-4F0C-9299-366FBF1B4E24}"/>
    <cellStyle name="20 % – uthevingsfarge 2 3" xfId="14" xr:uid="{B8F79DA8-E11B-48CB-A3A5-A08476158FFB}"/>
    <cellStyle name="40 % – uthevingsfarge 1" xfId="1" builtinId="31"/>
    <cellStyle name="40 % – uthevingsfarge 1 2" xfId="8" xr:uid="{21F63963-BBAF-483C-A555-62DD83702827}"/>
    <cellStyle name="40 % – uthevingsfarge 1 2 2" xfId="19" xr:uid="{D34053B2-CFED-49FF-B475-00796FD233C8}"/>
    <cellStyle name="40 % – uthevingsfarge 1 2 2 2" xfId="24" xr:uid="{24BF876C-98C2-4370-A01E-349B09F265D8}"/>
    <cellStyle name="40 % – uthevingsfarge 1 2 2 2 2" xfId="31" xr:uid="{6E92F737-B1CA-46D9-8983-21FE4C09FFA8}"/>
    <cellStyle name="40 % – uthevingsfarge 1 2 2 2 3" xfId="34" xr:uid="{F396001E-D88A-4AF9-BCAC-D0D7B23EB090}"/>
    <cellStyle name="40 % – uthevingsfarge 1 2 2 2 4" xfId="41" xr:uid="{6A15F1EC-B113-43E2-AF7F-115DBD9B9DC8}"/>
    <cellStyle name="40 % – uthevingsfarge 1 3" xfId="13" xr:uid="{61F10A70-8388-44F4-BDA0-C333250052CF}"/>
    <cellStyle name="40 % – uthevingsfarge 3" xfId="3" builtinId="39"/>
    <cellStyle name="40 % – uthevingsfarge 3 2" xfId="10" xr:uid="{D041A585-C523-47FC-B62A-8D93265AFB8E}"/>
    <cellStyle name="40 % – uthevingsfarge 3 2 2" xfId="21" xr:uid="{05B49101-10E0-450E-B189-015177BF1E22}"/>
    <cellStyle name="40 % – uthevingsfarge 3 2 2 2" xfId="26" xr:uid="{82C49A67-426B-4CAC-A6DA-208A29ABB63D}"/>
    <cellStyle name="40 % – uthevingsfarge 3 2 2 2 2" xfId="28" xr:uid="{E09A0A2D-FBD6-42B8-9EF1-8CC7765A0225}"/>
    <cellStyle name="40 % – uthevingsfarge 3 2 2 2 3" xfId="36" xr:uid="{C788488F-BA4A-478B-8093-BE2FF87CDDDE}"/>
    <cellStyle name="40 % – uthevingsfarge 3 2 2 2 4" xfId="38" xr:uid="{5813937C-79C3-49F2-B8CB-A52C251BDB70}"/>
    <cellStyle name="40 % – uthevingsfarge 3 3" xfId="15" xr:uid="{FEDC6C57-F55A-4B54-8096-53D34250AA0B}"/>
    <cellStyle name="40 % – uthevingsfarge 4" xfId="4" builtinId="43"/>
    <cellStyle name="40 % – uthevingsfarge 4 2" xfId="9" xr:uid="{CAB30F3C-B0F8-4D4F-8DFE-288E5A2E85D8}"/>
    <cellStyle name="40 % – uthevingsfarge 4 2 2" xfId="20" xr:uid="{C4AB5A7F-179B-49FB-AD22-E0B717B48B1B}"/>
    <cellStyle name="40 % – uthevingsfarge 4 2 2 2" xfId="25" xr:uid="{316DFBA2-C4D2-471A-967F-ECC25383A040}"/>
    <cellStyle name="40 % – uthevingsfarge 4 2 2 2 2" xfId="32" xr:uid="{AE22A2E0-20DF-4DF5-8889-F5F3437662DB}"/>
    <cellStyle name="40 % – uthevingsfarge 4 2 2 2 3" xfId="35" xr:uid="{12228AFA-C188-40F3-82AE-437BD103DF9E}"/>
    <cellStyle name="40 % – uthevingsfarge 4 2 2 2 4" xfId="42" xr:uid="{0F5ECA7D-B5C9-4007-BCF4-C747C30FF9E3}"/>
    <cellStyle name="40 % – uthevingsfarge 4 3" xfId="16" xr:uid="{72DB9D3D-524F-4837-8D90-399A1038A208}"/>
    <cellStyle name="40 % – uthevingsfarge 6" xfId="5" builtinId="51"/>
    <cellStyle name="40 % – uthevingsfarge 6 2" xfId="11" xr:uid="{2B6653D1-EA29-4E65-996B-5EC757A5017B}"/>
    <cellStyle name="40 % – uthevingsfarge 6 2 2" xfId="22" xr:uid="{6268570A-3CCE-4FE1-87AF-5C577856198D}"/>
    <cellStyle name="40 % – uthevingsfarge 6 2 2 2" xfId="27" xr:uid="{DBCD396D-D938-48C0-A7A3-FB3E716CADD4}"/>
    <cellStyle name="40 % – uthevingsfarge 6 2 2 2 2" xfId="29" xr:uid="{659D0918-831B-4D0D-9A37-2D23CA08C8EA}"/>
    <cellStyle name="40 % – uthevingsfarge 6 2 2 2 3" xfId="37" xr:uid="{DE232229-3B81-4732-BB16-F3FE184EBD59}"/>
    <cellStyle name="40 % – uthevingsfarge 6 2 2 2 4" xfId="39" xr:uid="{F77A2482-A9FD-4668-B38B-1FEC0BBB68A7}"/>
    <cellStyle name="40 % – uthevingsfarge 6 3" xfId="17" xr:uid="{17A59022-6E13-42F0-83DA-17A85685FEE9}"/>
    <cellStyle name="Normal" xfId="0" builtinId="0"/>
    <cellStyle name="Normal 2" xfId="7" xr:uid="{D9E8CB2E-85AD-4F0A-A06C-4185C7F956D8}"/>
    <cellStyle name="Normal 3" xfId="12" xr:uid="{3653D655-E2DE-4042-9212-58583904A2CE}"/>
  </cellStyles>
  <dxfs count="288">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757"/>
      <color rgb="FFFFC5C5"/>
      <color rgb="FFF7C1C9"/>
      <color rgb="FFF3A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19049</xdr:colOff>
      <xdr:row>17</xdr:row>
      <xdr:rowOff>28574</xdr:rowOff>
    </xdr:from>
    <xdr:to>
      <xdr:col>4</xdr:col>
      <xdr:colOff>1905000</xdr:colOff>
      <xdr:row>33</xdr:row>
      <xdr:rowOff>0</xdr:rowOff>
    </xdr:to>
    <xdr:sp macro="" textlink="">
      <xdr:nvSpPr>
        <xdr:cNvPr id="2" name="TekstSylinder 1">
          <a:extLst>
            <a:ext uri="{FF2B5EF4-FFF2-40B4-BE49-F238E27FC236}">
              <a16:creationId xmlns:a16="http://schemas.microsoft.com/office/drawing/2014/main" id="{F099DFBA-F1C9-4791-AE1F-D00C00FC42A9}"/>
            </a:ext>
          </a:extLst>
        </xdr:cNvPr>
        <xdr:cNvSpPr txBox="1"/>
      </xdr:nvSpPr>
      <xdr:spPr>
        <a:xfrm>
          <a:off x="19049" y="3267074"/>
          <a:ext cx="3790951" cy="3019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100">
              <a:solidFill>
                <a:schemeClr val="dk1"/>
              </a:solidFill>
              <a:effectLst/>
              <a:latin typeface="+mn-lt"/>
              <a:ea typeface="+mn-ea"/>
              <a:cs typeface="+mn-cs"/>
            </a:rPr>
            <a:t>Denna uka hadde det ikke vært mye praksis med systemutvikling men stort sett teori, forelesninger, pdf ark. </a:t>
          </a:r>
          <a:endParaRPr lang="nb-NO">
            <a:effectLst/>
          </a:endParaRPr>
        </a:p>
        <a:p>
          <a:r>
            <a:rPr lang="nb-NO" sz="1100">
              <a:solidFill>
                <a:schemeClr val="dk1"/>
              </a:solidFill>
              <a:effectLst/>
              <a:latin typeface="+mn-lt"/>
              <a:ea typeface="+mn-ea"/>
              <a:cs typeface="+mn-cs"/>
            </a:rPr>
            <a:t>Å bli mer kjent</a:t>
          </a:r>
          <a:r>
            <a:rPr lang="nb-NO" sz="1100" baseline="0">
              <a:solidFill>
                <a:schemeClr val="dk1"/>
              </a:solidFill>
              <a:effectLst/>
              <a:latin typeface="+mn-lt"/>
              <a:ea typeface="+mn-ea"/>
              <a:cs typeface="+mn-cs"/>
            </a:rPr>
            <a:t> med faget, hva det handler om, hvorfor vi trenger å bruke disse systemutvikling </a:t>
          </a:r>
          <a:endParaRPr lang="nb-NO">
            <a:effectLst/>
          </a:endParaRPr>
        </a:p>
        <a:p>
          <a:r>
            <a:rPr lang="nb-NO" sz="1100" baseline="0">
              <a:solidFill>
                <a:schemeClr val="dk1"/>
              </a:solidFill>
              <a:effectLst/>
              <a:latin typeface="+mn-lt"/>
              <a:ea typeface="+mn-ea"/>
              <a:cs typeface="+mn-cs"/>
            </a:rPr>
            <a:t>tenkiker. Er litt vanskelig  å se det store bildet uten å studere på egen hånd også, å finne ressurser på nettet. Synes at det kommer etter hvert når vi begynner å jobbe med prosjektet. Faget ligner på detektivt arbeid som utviklere bruker for å ha et klart bilde av det som skal bygges (program, applikasjon, spill, osv.). Det er ganske spenende å se hvordan systemutvikling kan brukes til alt mulig , fra å bestille  legetime, offentlig transport til å sende satellitter i bane rundt jorden. Alt rundt oss kan deles i mindre biter og så settes sammen ved å bruke systemutvikling. Man får en mye bedre forståelse av hva som foregår i et bestemt system når problemer dukker opp. Det blir også mye lettere å gjøre endringer i deler av systemet når modulær  struktur er benyttet.</a:t>
          </a:r>
          <a:endParaRPr lang="nb-NO">
            <a:effectLst/>
          </a:endParaRPr>
        </a:p>
        <a:p>
          <a:r>
            <a:rPr lang="nb-NO" sz="1100" baseline="0">
              <a:solidFill>
                <a:schemeClr val="dk1"/>
              </a:solidFill>
              <a:effectLst/>
              <a:latin typeface="+mn-lt"/>
              <a:ea typeface="+mn-ea"/>
              <a:cs typeface="+mn-cs"/>
            </a:rPr>
            <a:t>Gleder meg til gruppe arbeid og være med på å utføre et prosjekt ved hjelp av systemutvikling metoder.</a:t>
          </a:r>
          <a:endParaRPr lang="nb-NO">
            <a:effectLst/>
          </a:endParaRPr>
        </a:p>
        <a:p>
          <a:r>
            <a:rPr lang="nb-NO" sz="1100" baseline="0">
              <a:solidFill>
                <a:schemeClr val="dk1"/>
              </a:solidFill>
              <a:effectLst/>
              <a:latin typeface="+mn-lt"/>
              <a:ea typeface="+mn-ea"/>
              <a:cs typeface="+mn-cs"/>
            </a:rPr>
            <a:t>Håper å få en bedre forståelse av programvare utvikling  og  samtidig bli flinkere i å jobbe i lag med kollegaer.</a:t>
          </a:r>
          <a:endParaRPr lang="nb-NO">
            <a:effectLst/>
          </a:endParaRPr>
        </a:p>
        <a:p>
          <a:endParaRPr lang="nb-NO"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19049</xdr:colOff>
      <xdr:row>17</xdr:row>
      <xdr:rowOff>28574</xdr:rowOff>
    </xdr:from>
    <xdr:to>
      <xdr:col>4</xdr:col>
      <xdr:colOff>1885950</xdr:colOff>
      <xdr:row>26</xdr:row>
      <xdr:rowOff>171450</xdr:rowOff>
    </xdr:to>
    <xdr:sp macro="" textlink="">
      <xdr:nvSpPr>
        <xdr:cNvPr id="2" name="TekstSylinder 1">
          <a:extLst>
            <a:ext uri="{FF2B5EF4-FFF2-40B4-BE49-F238E27FC236}">
              <a16:creationId xmlns:a16="http://schemas.microsoft.com/office/drawing/2014/main" id="{1E35FB6C-CF0A-49AE-8AD1-9C5E27320F30}"/>
            </a:ext>
          </a:extLst>
        </xdr:cNvPr>
        <xdr:cNvSpPr txBox="1"/>
      </xdr:nvSpPr>
      <xdr:spPr>
        <a:xfrm>
          <a:off x="19049" y="3267074"/>
          <a:ext cx="3790951" cy="1857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100"/>
            <a:t>Scrum , jeg forstår nå bedre hva det går ut på. ps:</a:t>
          </a:r>
          <a:r>
            <a:rPr lang="nb-NO" sz="1100" baseline="0"/>
            <a:t> den  lille videoen on scrum er ganske bra.</a:t>
          </a:r>
          <a:endParaRPr lang="nb-NO" sz="1100"/>
        </a:p>
        <a:p>
          <a:r>
            <a:rPr lang="nb-NO" sz="1100"/>
            <a:t>Litt vanskelig å lage en sprint backlog uten ei gruppe eller bestemt oppgave. Kanskje  det ville  også vært bra å lage ei hjelpe liste med ting som jeg kunne gått gjennom for å ha en bedre forståelse av hvordan forskjellige steg i den kommende prosjket arbeid fungerer sammen. </a:t>
          </a:r>
        </a:p>
        <a:p>
          <a:r>
            <a:rPr lang="nb-NO" sz="1100"/>
            <a:t>Dette punktet blir sikkert fikset i neste uke (Sprint Backlog "in-progress").</a:t>
          </a:r>
        </a:p>
        <a:p>
          <a:pPr marL="0" marR="0" lvl="0" indent="0" defTabSz="914400" eaLnBrk="1" fontAlgn="auto" latinLnBrk="0" hangingPunct="1">
            <a:lnSpc>
              <a:spcPct val="100000"/>
            </a:lnSpc>
            <a:spcBef>
              <a:spcPts val="0"/>
            </a:spcBef>
            <a:spcAft>
              <a:spcPts val="0"/>
            </a:spcAft>
            <a:buClrTx/>
            <a:buSzTx/>
            <a:buFontTx/>
            <a:buNone/>
            <a:tabLst/>
            <a:defRPr/>
          </a:pPr>
          <a:r>
            <a:rPr lang="nb-NO" sz="1100">
              <a:solidFill>
                <a:schemeClr val="dk1"/>
              </a:solidFill>
              <a:effectLst/>
              <a:latin typeface="+mn-lt"/>
              <a:ea typeface="+mn-ea"/>
              <a:cs typeface="+mn-cs"/>
            </a:rPr>
            <a:t>Ikke </a:t>
          </a:r>
          <a:r>
            <a:rPr lang="nb-NO" sz="1100" baseline="0">
              <a:solidFill>
                <a:schemeClr val="dk1"/>
              </a:solidFill>
              <a:effectLst/>
              <a:latin typeface="+mn-lt"/>
              <a:ea typeface="+mn-ea"/>
              <a:cs typeface="+mn-cs"/>
            </a:rPr>
            <a:t> noe </a:t>
          </a:r>
          <a:r>
            <a:rPr lang="nb-NO" sz="1100">
              <a:solidFill>
                <a:schemeClr val="dk1"/>
              </a:solidFill>
              <a:effectLst/>
              <a:latin typeface="+mn-lt"/>
              <a:ea typeface="+mn-ea"/>
              <a:cs typeface="+mn-cs"/>
            </a:rPr>
            <a:t>praksis denne uka heller, stort sett teori, forelesninger, pdf ark. Jeg</a:t>
          </a:r>
          <a:r>
            <a:rPr lang="nb-NO" sz="1100" baseline="0">
              <a:solidFill>
                <a:schemeClr val="dk1"/>
              </a:solidFill>
              <a:effectLst/>
              <a:latin typeface="+mn-lt"/>
              <a:ea typeface="+mn-ea"/>
              <a:cs typeface="+mn-cs"/>
            </a:rPr>
            <a:t> ser for meg mye selvstudie  i neste uke siden det er starten på prosjektet og vi får tildelt ei gruppe.</a:t>
          </a:r>
          <a:endParaRPr lang="nb-NO">
            <a:effectLst/>
          </a:endParaRPr>
        </a:p>
        <a:p>
          <a:endParaRPr lang="nb-N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19049</xdr:colOff>
      <xdr:row>20</xdr:row>
      <xdr:rowOff>28574</xdr:rowOff>
    </xdr:from>
    <xdr:to>
      <xdr:col>4</xdr:col>
      <xdr:colOff>1885950</xdr:colOff>
      <xdr:row>31</xdr:row>
      <xdr:rowOff>133350</xdr:rowOff>
    </xdr:to>
    <xdr:sp macro="" textlink="">
      <xdr:nvSpPr>
        <xdr:cNvPr id="2" name="TekstSylinder 1">
          <a:extLst>
            <a:ext uri="{FF2B5EF4-FFF2-40B4-BE49-F238E27FC236}">
              <a16:creationId xmlns:a16="http://schemas.microsoft.com/office/drawing/2014/main" id="{F640F0DE-3895-4B92-A37B-AC59E2B98503}"/>
            </a:ext>
          </a:extLst>
        </xdr:cNvPr>
        <xdr:cNvSpPr txBox="1"/>
      </xdr:nvSpPr>
      <xdr:spPr>
        <a:xfrm>
          <a:off x="19049" y="3838574"/>
          <a:ext cx="3790951" cy="22002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b-NO" sz="1100">
              <a:effectLst/>
            </a:rPr>
            <a:t>Ny</a:t>
          </a:r>
          <a:r>
            <a:rPr lang="nb-NO" sz="1100" baseline="0">
              <a:effectLst/>
            </a:rPr>
            <a:t> timeliste er laget, med nye formler, nye farger (blå/grønn var ikke et heldig valg), ny format , sum by color , vba funksjon for å få fargekode .</a:t>
          </a:r>
          <a:endParaRPr lang="nb-NO" sz="1100">
            <a:effectLst/>
          </a:endParaRPr>
        </a:p>
        <a:p>
          <a:r>
            <a:rPr lang="nb-NO" sz="1100">
              <a:effectLst/>
            </a:rPr>
            <a:t>Extreme</a:t>
          </a:r>
          <a:r>
            <a:rPr lang="nb-NO" sz="1100" baseline="0">
              <a:effectLst/>
            </a:rPr>
            <a:t> programming , lærte noen nyttige måter å tenke på når jeg skriver kode .</a:t>
          </a:r>
        </a:p>
        <a:p>
          <a:r>
            <a:rPr lang="nb-NO" sz="1100" baseline="0">
              <a:effectLst/>
            </a:rPr>
            <a:t>Synes det er veldig bra med pair-programming også.</a:t>
          </a:r>
        </a:p>
        <a:p>
          <a:r>
            <a:rPr lang="nb-NO" sz="1100" baseline="0">
              <a:effectLst/>
            </a:rPr>
            <a:t>Laget en tom utkast av produkt backlog denne uka, den skal fylles ut med data når alle i </a:t>
          </a:r>
        </a:p>
        <a:p>
          <a:pPr marL="0" marR="0" lvl="0" indent="0" defTabSz="914400" eaLnBrk="1" fontAlgn="auto" latinLnBrk="0" hangingPunct="1">
            <a:lnSpc>
              <a:spcPct val="100000"/>
            </a:lnSpc>
            <a:spcBef>
              <a:spcPts val="0"/>
            </a:spcBef>
            <a:spcAft>
              <a:spcPts val="0"/>
            </a:spcAft>
            <a:buClrTx/>
            <a:buSzTx/>
            <a:buFontTx/>
            <a:buNone/>
            <a:tabLst/>
            <a:defRPr/>
          </a:pPr>
          <a:r>
            <a:rPr lang="nb-NO" sz="1100" baseline="0">
              <a:effectLst/>
            </a:rPr>
            <a:t>gruppa bestemmer hvordan den skal se ut (</a:t>
          </a:r>
          <a:r>
            <a:rPr lang="nb-NO" sz="1100" baseline="0">
              <a:solidFill>
                <a:schemeClr val="dk1"/>
              </a:solidFill>
              <a:effectLst/>
              <a:latin typeface="+mn-lt"/>
              <a:ea typeface="+mn-ea"/>
              <a:cs typeface="+mn-cs"/>
            </a:rPr>
            <a:t>vi starter med prosjekt arbeid neste uke</a:t>
          </a:r>
          <a:r>
            <a:rPr lang="nb-NO" sz="1100" baseline="0">
              <a:effectLst/>
            </a:rPr>
            <a:t>).</a:t>
          </a:r>
        </a:p>
        <a:p>
          <a:r>
            <a:rPr lang="nb-NO" sz="1100" baseline="0">
              <a:effectLst/>
            </a:rPr>
            <a:t>Litt selvstudie relatert til java interfaces, arv, composition og agile api development (epic, user stories, tasks)</a:t>
          </a:r>
        </a:p>
        <a:p>
          <a:pPr marL="0" marR="0" lvl="0" indent="0" defTabSz="914400" eaLnBrk="1" fontAlgn="auto" latinLnBrk="0" hangingPunct="1">
            <a:lnSpc>
              <a:spcPct val="100000"/>
            </a:lnSpc>
            <a:spcBef>
              <a:spcPts val="0"/>
            </a:spcBef>
            <a:spcAft>
              <a:spcPts val="0"/>
            </a:spcAft>
            <a:buClrTx/>
            <a:buSzTx/>
            <a:buFontTx/>
            <a:buNone/>
            <a:tabLst/>
            <a:defRPr/>
          </a:pPr>
          <a:r>
            <a:rPr lang="nb-NO" sz="1100" baseline="0">
              <a:solidFill>
                <a:schemeClr val="dk1"/>
              </a:solidFill>
              <a:effectLst/>
              <a:latin typeface="+mn-lt"/>
              <a:ea typeface="+mn-ea"/>
              <a:cs typeface="+mn-cs"/>
            </a:rPr>
            <a:t>Og til slutt klarte jeg å gå over leveringsfristen på grunn av en formel jeg brukte i den nye utgaven av tabellen. Den ville ikke oppdatere verdien til ei celle , jeg måtte dra oppover og ikke bare nedover tabellen for at den blir oppdatert. Skal prøve å finne ei løsning slik at alle felter blir oppdatert enklere. Canvas sin tid er mellom 10-50 sekunder for tidlig  :(</a:t>
          </a:r>
          <a:endParaRPr lang="nb-NO">
            <a:effectLst/>
          </a:endParaRPr>
        </a:p>
        <a:p>
          <a:endParaRPr lang="nb-NO"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38100</xdr:colOff>
      <xdr:row>35</xdr:row>
      <xdr:rowOff>38099</xdr:rowOff>
    </xdr:from>
    <xdr:ext cx="6800362" cy="5367542"/>
    <xdr:sp macro="" textlink="">
      <xdr:nvSpPr>
        <xdr:cNvPr id="2" name="TekstSylinder 1">
          <a:extLst>
            <a:ext uri="{FF2B5EF4-FFF2-40B4-BE49-F238E27FC236}">
              <a16:creationId xmlns:a16="http://schemas.microsoft.com/office/drawing/2014/main" id="{226E4E65-BB61-4EBE-BA88-9F6147B587FD}"/>
            </a:ext>
          </a:extLst>
        </xdr:cNvPr>
        <xdr:cNvSpPr txBox="1"/>
      </xdr:nvSpPr>
      <xdr:spPr>
        <a:xfrm>
          <a:off x="38100" y="6038035"/>
          <a:ext cx="6800362" cy="5367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a:t>Mandag:</a:t>
          </a:r>
          <a:r>
            <a:rPr lang="nb-NO" baseline="0"/>
            <a:t> </a:t>
          </a:r>
          <a:r>
            <a:rPr lang="nb-NO"/>
            <a:t>Teamet laget en tekst oversikt til produktbacklogen, alle i teamet joinet Teams og lastet opp filer. Jeg lagde en filstruktur på Canvas og lastet opp filer der også. Valgte gruppenavn Runtime Terror og vi hadde en kort status møte om forprosjektet.</a:t>
          </a:r>
          <a:r>
            <a:rPr lang="nb-NO" baseline="0"/>
            <a:t> Forprosjekt status ble også diskutert.</a:t>
          </a:r>
          <a:endParaRPr lang="nb-NO"/>
        </a:p>
        <a:p>
          <a:r>
            <a:rPr lang="nb-NO" b="1"/>
            <a:t>Onsdag:</a:t>
          </a:r>
          <a:r>
            <a:rPr lang="nb-NO"/>
            <a:t> Jeg jobbet med risikoanalyse</a:t>
          </a:r>
          <a:r>
            <a:rPr lang="nb-NO" baseline="0"/>
            <a:t> og små endringer i</a:t>
          </a:r>
          <a:r>
            <a:rPr lang="nb-NO"/>
            <a:t> tabeller laget fra før av. Teamet hadde en liten test scrum meating også. </a:t>
          </a:r>
        </a:p>
        <a:p>
          <a:r>
            <a:rPr lang="nb-NO" b="1"/>
            <a:t>Torsdag:</a:t>
          </a:r>
          <a:r>
            <a:rPr lang="nb-NO" b="0" baseline="0"/>
            <a:t> Jeg </a:t>
          </a:r>
          <a:r>
            <a:rPr lang="nb-NO"/>
            <a:t>jobbet med produktbacklog -&gt; Items kolone er ferdig men veldig få User Stories og CoA. Sprint tilhørighet skal bestemmes av alle i gruppa. </a:t>
          </a:r>
        </a:p>
        <a:p>
          <a:r>
            <a:rPr lang="nb-NO"/>
            <a:t>På teammøte hadde teamet jobbet med produktbacklogen, vi gjørde ferdig over 90% av User Stories, CoA og bestemte Sprint items. </a:t>
          </a:r>
        </a:p>
        <a:p>
          <a:r>
            <a:rPr lang="nb-NO" b="1"/>
            <a:t>Fredag:</a:t>
          </a:r>
          <a:r>
            <a:rPr lang="nb-NO"/>
            <a:t> Vi hadde scrum meeting. Etterpå brukte vi planitpoker.com og der tok vi tok flere runder med poker, diskuterte hver item som skal til sprint 1 og ble enige om story points. Usikkerhet på grunn av en del avhengigheter som f eks Feide login, testing ved bruk av moking kan føre til dårlige tidsestimater. Kort tid etter så vi gjennom database diagrammet som skal bygges i neste uke; I løpet av samme møte var sprint 1 arbeidsoppgaver delegert ut til alle i teamet.</a:t>
          </a:r>
          <a:r>
            <a:rPr lang="nb-NO" baseline="0"/>
            <a:t> Lagde Sprint log tabell og jobbet med risikoanalyse(pct 14).</a:t>
          </a:r>
        </a:p>
        <a:p>
          <a:r>
            <a:rPr lang="nb-NO" b="1" baseline="0"/>
            <a:t>Lørdag: </a:t>
          </a:r>
          <a:r>
            <a:rPr lang="nb-NO" baseline="0"/>
            <a:t>Vi har gått gjennom forprosjektet og slått sammen alle dokumenter i ett. Vi gjørde små endringer der det trengs og jobbet med timelister slik at alle har samme timeliste mal. Oppgavedelegering til Sprint 1 er endret og jeg skal jobbe mest med back end(php): innlogging, design, burndowncharts og håper at jeg er med i testing også. </a:t>
          </a:r>
        </a:p>
        <a:p>
          <a:endParaRPr lang="nb-NO"/>
        </a:p>
        <a:p>
          <a:r>
            <a:rPr lang="nb-NO" b="1"/>
            <a:t>Refleksjoner:</a:t>
          </a:r>
          <a:r>
            <a:rPr lang="nb-NO"/>
            <a:t> Føler at starten av prosjektet er vanskelig, og er</a:t>
          </a:r>
          <a:r>
            <a:rPr lang="nb-NO" baseline="0"/>
            <a:t> </a:t>
          </a:r>
          <a:r>
            <a:rPr lang="nb-NO"/>
            <a:t>usikker på</a:t>
          </a:r>
          <a:r>
            <a:rPr lang="nb-NO" baseline="0"/>
            <a:t> </a:t>
          </a:r>
          <a:r>
            <a:rPr lang="nb-NO"/>
            <a:t>om resultatet av det vi har jobbet med dekker alle krav 100% . Vi brukte</a:t>
          </a:r>
          <a:r>
            <a:rPr lang="nb-NO" baseline="0"/>
            <a:t> </a:t>
          </a:r>
          <a:r>
            <a:rPr lang="nb-NO"/>
            <a:t>mye</a:t>
          </a:r>
          <a:r>
            <a:rPr lang="nb-NO" baseline="0"/>
            <a:t> </a:t>
          </a:r>
          <a:r>
            <a:rPr lang="nb-NO"/>
            <a:t>tid</a:t>
          </a:r>
          <a:r>
            <a:rPr lang="nb-NO" baseline="0"/>
            <a:t> </a:t>
          </a:r>
          <a:r>
            <a:rPr lang="nb-NO"/>
            <a:t>på dokumenter. Tenker</a:t>
          </a:r>
          <a:r>
            <a:rPr lang="nb-NO" baseline="0"/>
            <a:t> at </a:t>
          </a:r>
          <a:r>
            <a:rPr lang="nb-NO"/>
            <a:t>fra neste uke av er</a:t>
          </a:r>
          <a:r>
            <a:rPr lang="nb-NO" baseline="0"/>
            <a:t> </a:t>
          </a:r>
          <a:r>
            <a:rPr lang="nb-NO"/>
            <a:t>alt</a:t>
          </a:r>
          <a:r>
            <a:rPr lang="nb-NO" baseline="0"/>
            <a:t> </a:t>
          </a:r>
          <a:r>
            <a:rPr lang="nb-NO"/>
            <a:t>avklart</a:t>
          </a:r>
          <a:r>
            <a:rPr lang="nb-NO" baseline="0"/>
            <a:t> </a:t>
          </a:r>
          <a:r>
            <a:rPr lang="nb-NO"/>
            <a:t>og</a:t>
          </a:r>
          <a:r>
            <a:rPr lang="nb-NO" baseline="0"/>
            <a:t> vi leverer en enda bedre resultat. Er veldig usikker på mine evner når oppgaver blir delegert på grunn av at jeg mangler Databaser og Webapplikasjoner 1 faget. Av den grunn skal jeg bruke mye tid på selvtudie for å være en verdifull team medlem gjennom hele prosjektet. I tillegg får jeg sikkert utvidet ferdighetene mine mens jeg jobber i lag med de andre team medlemmer også. </a:t>
          </a:r>
          <a:endParaRPr lang="nb-NO"/>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38099</xdr:colOff>
      <xdr:row>35</xdr:row>
      <xdr:rowOff>38100</xdr:rowOff>
    </xdr:from>
    <xdr:ext cx="6841067" cy="4374336"/>
    <xdr:sp macro="" textlink="">
      <xdr:nvSpPr>
        <xdr:cNvPr id="2" name="TekstSylinder 1">
          <a:extLst>
            <a:ext uri="{FF2B5EF4-FFF2-40B4-BE49-F238E27FC236}">
              <a16:creationId xmlns:a16="http://schemas.microsoft.com/office/drawing/2014/main" id="{CBD40D3E-F117-4AC8-9A00-600915BE9C98}"/>
            </a:ext>
          </a:extLst>
        </xdr:cNvPr>
        <xdr:cNvSpPr txBox="1"/>
      </xdr:nvSpPr>
      <xdr:spPr>
        <a:xfrm>
          <a:off x="38099" y="6038036"/>
          <a:ext cx="6841067" cy="4374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1) </a:t>
          </a:r>
          <a:r>
            <a:rPr lang="nb-NO" baseline="0"/>
            <a:t>: Alexander Hansen</a:t>
          </a:r>
        </a:p>
        <a:p>
          <a:r>
            <a:rPr lang="nb-NO" u="none" baseline="0"/>
            <a:t>	</a:t>
          </a:r>
          <a:r>
            <a:rPr lang="nb-NO" u="sng" baseline="0"/>
            <a:t>Backend</a:t>
          </a:r>
          <a:r>
            <a:rPr lang="nb-NO" baseline="0"/>
            <a:t> : Anders Rubach Ese, Adrian Chirita, Martin Mikalsen, Eivind Blom Eriksen</a:t>
          </a:r>
        </a:p>
        <a:p>
          <a:r>
            <a:rPr lang="nb-NO" u="none" baseline="0"/>
            <a:t>	</a:t>
          </a:r>
          <a:r>
            <a:rPr lang="nb-NO" u="sng" baseline="0"/>
            <a:t>Frontend</a:t>
          </a:r>
          <a:r>
            <a:rPr lang="nb-NO" baseline="0"/>
            <a:t> : Alexander Hansen, Joachim Kristensen</a:t>
          </a:r>
        </a:p>
        <a:p>
          <a:endParaRPr lang="nb-NO" baseline="0"/>
        </a:p>
        <a:p>
          <a:r>
            <a:rPr lang="nb-NO" b="1" baseline="0"/>
            <a:t>Mandag</a:t>
          </a:r>
          <a:r>
            <a:rPr lang="nb-NO" baseline="0"/>
            <a:t>: Teamet hadde en scrum møte der alle fortalte hva enkelte har jobbet med over helga. Så tok vi en kort gjennomgang på hva vi skal jobbe med denne uka. For å kunne fikse git oppsettet mitt måtte jeg laste ned XAMPP, fikse instillinger i PHPStorm og opprette en coderefinery bruker. </a:t>
          </a:r>
        </a:p>
        <a:p>
          <a:r>
            <a:rPr lang="nb-NO" b="1" baseline="0"/>
            <a:t>Onsdag</a:t>
          </a:r>
          <a:r>
            <a:rPr lang="nb-NO" baseline="0"/>
            <a:t>: Begynte dagen med å se på forelesninger om HTML. Gjorde oppgaver og leste en del på w3schools.com i tillegg. Etter dette måtte jeg ordne integrering av Apache og Mysql lokale tjenere i PHPStorm, installering av bootstrap og tweaking av PHPStorm instillinger.</a:t>
          </a:r>
        </a:p>
        <a:p>
          <a:r>
            <a:rPr lang="nb-NO" b="1" baseline="0"/>
            <a:t>Torsdag</a:t>
          </a:r>
          <a:r>
            <a:rPr lang="nb-NO" baseline="0"/>
            <a:t>: Scrum møte. I dag hadde jeg bare sett på teori om cs.</a:t>
          </a:r>
        </a:p>
        <a:p>
          <a:r>
            <a:rPr lang="nb-NO" b="1" baseline="0"/>
            <a:t>Lørdag</a:t>
          </a:r>
          <a:r>
            <a:rPr lang="nb-NO" baseline="0"/>
            <a:t>: PHP start og gjorde en del oppgaver. Dumt å brukte tid på å finne ut at php kjører ikke .html filer.</a:t>
          </a:r>
        </a:p>
        <a:p>
          <a:r>
            <a:rPr lang="nb-NO" b="1" baseline="0"/>
            <a:t>Søndag</a:t>
          </a:r>
          <a:r>
            <a:rPr lang="nb-NO" baseline="0"/>
            <a:t>: </a:t>
          </a:r>
          <a:r>
            <a:rPr lang="nb-NO" sz="1100" baseline="0">
              <a:solidFill>
                <a:schemeClr val="tx1"/>
              </a:solidFill>
              <a:effectLst/>
              <a:latin typeface="+mn-lt"/>
              <a:ea typeface="+mn-ea"/>
              <a:cs typeface="+mn-cs"/>
            </a:rPr>
            <a:t>Har jobbet litt med team timelister, farger og små endringer som for eksempel å bruke tekst boks i stedet for å slå sammen celler. Det er ekstra vanskelig å få alle timelister se lik ut ved utskriving selv om jeg brukte 0,3 venstre og topp marger. Så jobbet jeg med burnup og burndown charts: de skal hente inn og plotte data fra "story points per dag"  filer (laget 7 filer). De story points filene henter også data automatisk fra timelister.</a:t>
          </a:r>
          <a:endParaRPr lang="nb-NO" baseline="0"/>
        </a:p>
        <a:p>
          <a:endParaRPr lang="nb-NO" baseline="0"/>
        </a:p>
        <a:p>
          <a:r>
            <a:rPr lang="nb-NO" b="1" baseline="0"/>
            <a:t>Refleksjoner</a:t>
          </a:r>
          <a:r>
            <a:rPr lang="nb-NO" baseline="0"/>
            <a:t>: Angrer litt på at jeg ikke spurte om å få jobbe med Frontend utvikling. Tenker at jeg ville fått mer tid å sette meg i php. Brukte tid på excel denne uka også. Synes uansett at vi trenger det for å slippe fremtidige feil når burndown/ burnup chart lages. Det er også bra at slik arbeid er gjørt automatisk av excel på grunn av feil som kan skje ved å sette inn data manuelt. Tenker at jeg burde kanskje jobbet med felles timeliste mal fra starten av. Det ville sikkert hjulpet å unngå usikkerhet i hvordan våres timelister ser ut. </a:t>
          </a:r>
          <a:r>
            <a:rPr lang="nb-NO" sz="1100" baseline="0">
              <a:solidFill>
                <a:schemeClr val="tx1"/>
              </a:solidFill>
              <a:effectLst/>
              <a:latin typeface="+mn-lt"/>
              <a:ea typeface="+mn-ea"/>
              <a:cs typeface="+mn-cs"/>
            </a:rPr>
            <a:t>De to utvikling  føringene fra denne uka: er usikker på om de burde vært en del av teori på grunn av at de ikke kan knyttes til en backlog item. Er ganske fornøyd at når jeg trykker skriv ut så er det bare en side som skrives ut i full A4 stående format uten ytterlige instillinger.</a:t>
          </a:r>
          <a:endParaRPr lang="nb-NO" baseline="0"/>
        </a:p>
        <a:p>
          <a:endParaRPr lang="nb-NO" baseline="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36</xdr:row>
      <xdr:rowOff>10745</xdr:rowOff>
    </xdr:from>
    <xdr:ext cx="6911731" cy="4206306"/>
    <xdr:sp macro="" textlink="">
      <xdr:nvSpPr>
        <xdr:cNvPr id="2" name="TekstSylinder 1">
          <a:extLst>
            <a:ext uri="{FF2B5EF4-FFF2-40B4-BE49-F238E27FC236}">
              <a16:creationId xmlns:a16="http://schemas.microsoft.com/office/drawing/2014/main" id="{B4A656CC-5BCD-4A32-AAAF-EE7B8258D04E}"/>
            </a:ext>
          </a:extLst>
        </xdr:cNvPr>
        <xdr:cNvSpPr txBox="1"/>
      </xdr:nvSpPr>
      <xdr:spPr>
        <a:xfrm>
          <a:off x="0" y="6206066"/>
          <a:ext cx="6911731" cy="4206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1) </a:t>
          </a:r>
          <a:r>
            <a:rPr lang="nb-NO" baseline="0"/>
            <a:t>: Alexander Hansen</a:t>
          </a:r>
        </a:p>
        <a:p>
          <a:r>
            <a:rPr lang="nb-NO" u="none" baseline="0"/>
            <a:t>	</a:t>
          </a:r>
          <a:r>
            <a:rPr lang="nb-NO" u="sng" baseline="0"/>
            <a:t>Backend</a:t>
          </a:r>
          <a:r>
            <a:rPr lang="nb-NO" baseline="0"/>
            <a:t> : Anders Rubach Ese, Adrian Chirita, Martin Mikalsen, Eivind Blom Eriksen</a:t>
          </a:r>
        </a:p>
        <a:p>
          <a:r>
            <a:rPr lang="nb-NO" u="none" baseline="0"/>
            <a:t>	</a:t>
          </a:r>
          <a:r>
            <a:rPr lang="nb-NO" u="sng" baseline="0"/>
            <a:t>Frontend</a:t>
          </a:r>
          <a:r>
            <a:rPr lang="nb-NO" baseline="0"/>
            <a:t> : Alexander Hansen, Joachim Kristensen</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Nye roller(neste uke): </a:t>
          </a:r>
          <a:r>
            <a:rPr lang="nb-NO" sz="1100" u="sng" baseline="0">
              <a:solidFill>
                <a:schemeClr val="tx1"/>
              </a:solidFill>
              <a:effectLst/>
              <a:latin typeface="+mn-lt"/>
              <a:ea typeface="+mn-ea"/>
              <a:cs typeface="+mn-cs"/>
            </a:rPr>
            <a:t>Scrum master(Sprint 2)</a:t>
          </a:r>
          <a:r>
            <a:rPr lang="nb-NO" sz="1100" baseline="0">
              <a:solidFill>
                <a:schemeClr val="tx1"/>
              </a:solidFill>
              <a:effectLst/>
              <a:latin typeface="+mn-lt"/>
              <a:ea typeface="+mn-ea"/>
              <a:cs typeface="+mn-cs"/>
            </a:rPr>
            <a:t>: Eivind Blom Eriksen</a:t>
          </a:r>
          <a:endParaRPr lang="nb-NO" b="1" baseline="0"/>
        </a:p>
        <a:p>
          <a:r>
            <a:rPr lang="nb-NO" b="1" baseline="0"/>
            <a:t>Mandag</a:t>
          </a:r>
          <a:r>
            <a:rPr lang="nb-NO" baseline="0"/>
            <a:t>: Vi startet med en scrum møte der alle i teamet  fortalte hva enkelte har jobbet med i forrige uke. Så tok vi en kort gjennomgang på hva vi skal jobbe med denne uka. Gikk gjennom BurnUp og BurnDown charts etterpå. Formler er altfor kompliserte å vanskelig å få oversikt av hvordan de fungerer(altfor mye hard koding). Dette må endres. </a:t>
          </a:r>
          <a:r>
            <a:rPr lang="nb-NO" sz="1100" baseline="0">
              <a:solidFill>
                <a:schemeClr val="tx1"/>
              </a:solidFill>
              <a:effectLst/>
              <a:latin typeface="+mn-lt"/>
              <a:ea typeface="+mn-ea"/>
              <a:cs typeface="+mn-cs"/>
            </a:rPr>
            <a:t>Martin Mikalsen hjulpet med å tweake PHPStorm oppsettet sånn at den kjører prosjektet direkte fra git.</a:t>
          </a:r>
          <a:endParaRPr lang="nb-NO" baseline="0"/>
        </a:p>
        <a:p>
          <a:r>
            <a:rPr lang="nb-NO" b="1" baseline="0"/>
            <a:t>Tirsdag</a:t>
          </a:r>
          <a:r>
            <a:rPr lang="nb-NO" baseline="0"/>
            <a:t>: Jobbet med Excel for å endre alle formler. Måtte lage en ny arbeidsbok som holder alle formler. Alle celler med formler som brukes flere steder ble navngitt. Bruker må bare taste inn Sprint nr. og alt endres/ hentes automatisk (datoer, arbeidsbok navn, osv.) og BurnDown/ BurnUp plottes. </a:t>
          </a:r>
        </a:p>
        <a:p>
          <a:r>
            <a:rPr lang="nb-NO" b="1" baseline="0"/>
            <a:t>Onsdag:</a:t>
          </a:r>
          <a:r>
            <a:rPr lang="nb-NO" b="0" baseline="0"/>
            <a:t> Er skuffet for at jeg mistet Scrum møte. Var der kl 11:00. Viste alle resultatet av Excel tabellene. Eivind skal være vår neste Scrum Master.</a:t>
          </a:r>
          <a:endParaRPr lang="nb-NO" b="1" baseline="0"/>
        </a:p>
        <a:p>
          <a:r>
            <a:rPr lang="nb-NO" b="1" baseline="0"/>
            <a:t>Torsdag</a:t>
          </a:r>
          <a:r>
            <a:rPr lang="nb-NO" baseline="0"/>
            <a:t>: Scrum review med PO. Vi snakket om hvordan prosjektarbeidet har vært til nå og presenterte resultatet ifra Sprint 1</a:t>
          </a:r>
        </a:p>
        <a:p>
          <a:r>
            <a:rPr lang="nb-NO" b="1" baseline="0"/>
            <a:t>Fredag: </a:t>
          </a:r>
          <a:r>
            <a:rPr lang="nb-NO" baseline="0"/>
            <a:t>Leste PHP og gjøre noen oppgaver(tida kan gå fort hvis man glemmer ?&gt; i html body).</a:t>
          </a:r>
        </a:p>
        <a:p>
          <a:r>
            <a:rPr lang="nb-NO" b="1" baseline="0"/>
            <a:t>Lørdag</a:t>
          </a:r>
          <a:r>
            <a:rPr lang="nb-NO" baseline="0"/>
            <a:t>: Lagde en java program for å endre alle filenavn på timeliste. Ny innlevering på grunn av oppdatert burnup-burndown (negative verdier i tabellen,dag 0 var ikke med i plottet heller) og vi manglet aktivitetstabellen.</a:t>
          </a:r>
        </a:p>
        <a:p>
          <a:r>
            <a:rPr lang="nb-NO" b="1" baseline="0"/>
            <a:t>Søndag</a:t>
          </a:r>
          <a:r>
            <a:rPr lang="nb-NO" baseline="0"/>
            <a:t>: Idag lagde jeg en .bat fil som kjører java rename timelister programmet . Leste PHP etterpå</a:t>
          </a:r>
        </a:p>
        <a:p>
          <a:r>
            <a:rPr lang="nb-NO" b="1" baseline="0"/>
            <a:t>Refleksjoner:</a:t>
          </a:r>
          <a:r>
            <a:rPr lang="nb-NO" b="0" baseline="0"/>
            <a:t> Fortsatt mye igjen å lese i PHP. Må virkelig bruke mer tid på å bli ferdig med den og samtidig jobbe med produktbacklog items. Håper å få delegert noen oppgaver å bruke pair-programming siden jeg kan lære fortere. Tenker det er bra å jobbe med Testing  i neste uke å gå gjennom alle metoder og kode å finne kanskje en bedre måte å gjøre ting  på i framtidige Sprint. </a:t>
          </a:r>
          <a:endParaRPr lang="nb-NO" baseline="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30</xdr:row>
      <xdr:rowOff>10745</xdr:rowOff>
    </xdr:from>
    <xdr:ext cx="6911731" cy="4694768"/>
    <xdr:sp macro="" textlink="">
      <xdr:nvSpPr>
        <xdr:cNvPr id="2" name="TekstSylinder 1">
          <a:extLst>
            <a:ext uri="{FF2B5EF4-FFF2-40B4-BE49-F238E27FC236}">
              <a16:creationId xmlns:a16="http://schemas.microsoft.com/office/drawing/2014/main" id="{3975B4E5-AC43-4A86-AB83-93B0D13C8A5A}"/>
            </a:ext>
          </a:extLst>
        </xdr:cNvPr>
        <xdr:cNvSpPr txBox="1"/>
      </xdr:nvSpPr>
      <xdr:spPr>
        <a:xfrm>
          <a:off x="0" y="5188437"/>
          <a:ext cx="6911731" cy="4694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2) </a:t>
          </a:r>
          <a:r>
            <a:rPr lang="nb-NO" baseline="0"/>
            <a:t>: Eivind Blom Eriksen</a:t>
          </a:r>
        </a:p>
        <a:p>
          <a:r>
            <a:rPr lang="nb-NO" u="none" baseline="0"/>
            <a:t>	</a:t>
          </a:r>
          <a:r>
            <a:rPr lang="nb-NO" u="sng" baseline="0"/>
            <a:t>Backend</a:t>
          </a:r>
          <a:r>
            <a:rPr lang="nb-NO" baseline="0"/>
            <a:t> : Anders Rubach Ese, Adrian Chirita, Martin Mikalsen, Eivind Blom Eriksen</a:t>
          </a:r>
        </a:p>
        <a:p>
          <a:r>
            <a:rPr lang="nb-NO" u="none" baseline="0"/>
            <a:t>	</a:t>
          </a:r>
          <a:r>
            <a:rPr lang="nb-NO" u="sng" baseline="0"/>
            <a:t>Frontend</a:t>
          </a:r>
          <a:r>
            <a:rPr lang="nb-NO" baseline="0"/>
            <a:t> : Alexander Hansen, Joachim Kristensen</a:t>
          </a:r>
        </a:p>
        <a:p>
          <a:endParaRPr lang="nb-NO" b="1" baseline="0"/>
        </a:p>
        <a:p>
          <a:r>
            <a:rPr lang="nb-NO" b="1" baseline="0"/>
            <a:t>Mandag</a:t>
          </a:r>
          <a:r>
            <a:rPr lang="nb-NO" baseline="0"/>
            <a:t>: Teamet begynte med en scrum møte der vi fortalte hva vi jobbet med og hva som er igjen fra Sprint 1. Etterpå så vi på sprint 2 backlog og delegerte oppgaver til alle. Feide , innlogging system</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Tirsdag</a:t>
          </a:r>
          <a:r>
            <a:rPr lang="nb-NO" baseline="0"/>
            <a:t>: Avhengighetstabell er slått sammen til ett fil. Jobbet med avhengighetstabell (automatisert tegne bokser også) , data hentes fra verdiene i avhengighetstabellen. Vi kan bruke </a:t>
          </a:r>
          <a:r>
            <a:rPr lang="nb-NO" sz="1100" baseline="0">
              <a:solidFill>
                <a:schemeClr val="tx1"/>
              </a:solidFill>
              <a:effectLst/>
              <a:latin typeface="+mn-lt"/>
              <a:ea typeface="+mn-ea"/>
              <a:cs typeface="+mn-cs"/>
            </a:rPr>
            <a:t>Paint </a:t>
          </a:r>
          <a:r>
            <a:rPr lang="nb-NO" baseline="0"/>
            <a:t>for å tege linjer mellom bokser.</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Onsdag:</a:t>
          </a:r>
          <a:r>
            <a:rPr lang="nb-NO" b="0" baseline="0"/>
            <a:t> Status på arbeid, Spørsmål angående Feide, git prosjektet måtte klones pga en feil. Videre ordnet vi prosjektets mappestruktur. Den er blitt mye mer oversiktlig nå. </a:t>
          </a:r>
          <a:r>
            <a:rPr lang="nb-NO" sz="1100" b="0" baseline="0">
              <a:solidFill>
                <a:schemeClr val="tx1"/>
              </a:solidFill>
              <a:effectLst/>
              <a:latin typeface="+mn-lt"/>
              <a:ea typeface="+mn-ea"/>
              <a:cs typeface="+mn-cs"/>
            </a:rPr>
            <a:t>Måtte gjøre endringer i PHPStorm opsettet igjen. Når jeg trykket på nettleser ikonet så legger PHPStorm til localhost navnet på prosjektet og det fører til at den ikke finner mappe mål på filer vi bruker i koden riktig. Løsningen var å endre Deployment mål mappe til der prosjektet er. </a:t>
          </a:r>
          <a:r>
            <a:rPr lang="nb-NO" b="0" baseline="0"/>
            <a:t>Sprint 0 var ikke godkjent. Anders, Martin og jeg gikk gjennom alle dokumenter og fikset nesten alt bortsett fra planning poker til hele produktbacklog og signere samarbeidsavtalen. Andre feil som var oppdaget er nå rettet, tabeller oppdatert og tegning av avhengighetstabellen er også med. </a:t>
          </a:r>
          <a:endParaRPr lang="nb-NO" b="1" baseline="0"/>
        </a:p>
        <a:p>
          <a:r>
            <a:rPr lang="nb-NO" b="1" baseline="0"/>
            <a:t>Fredag: </a:t>
          </a:r>
          <a:r>
            <a:rPr lang="nb-NO" baseline="0"/>
            <a:t> </a:t>
          </a:r>
        </a:p>
        <a:p>
          <a:r>
            <a:rPr lang="nb-NO" b="1" baseline="0"/>
            <a:t>Søndag</a:t>
          </a:r>
          <a:r>
            <a:rPr lang="nb-NO" baseline="0"/>
            <a:t>: Ny produktbacklog versjon til Sprint 0 er nå ferdig. Der byttet vi om på forskjellige oppgaver for å ha en bra fordeling over alle Sprint. Feide login er fortsatt usikker og vi er litt bekymret med tenke på koden. Det blir en del små eller kanskje store forskjeller i koden hvis man fortsetter å bruke dummy data istedet for reell Feide bruker login.</a:t>
          </a:r>
        </a:p>
        <a:p>
          <a:r>
            <a:rPr lang="nb-NO" b="1" baseline="0"/>
            <a:t>Refleksjoner:</a:t>
          </a:r>
          <a:r>
            <a:rPr lang="nb-NO" b="0" baseline="0"/>
            <a:t> Litt setback på grunn av at vi feilet Sprint 0 godkjenning. Håper at det går mye bedre nå med fremtidige team Sprint innleveringer. Sprint 1 må mest sannsynlig (100% faktisk) innleveres på nytt også. Føler at det er god fremgang og har en mye klarere bilde av prosjektet takket også være gjennomgang av Produktbacklog med alle i teamet. Jobben jeg gjørde ble testet når vi måtte lage ny PERT diagram/tegning og sjekke alt stemmer i avhengighetstabellen. </a:t>
          </a:r>
          <a:r>
            <a:rPr lang="nb-NO" sz="1100" b="0" baseline="0">
              <a:solidFill>
                <a:schemeClr val="tx1"/>
              </a:solidFill>
              <a:effectLst/>
              <a:latin typeface="+mn-lt"/>
              <a:ea typeface="+mn-ea"/>
              <a:cs typeface="+mn-cs"/>
            </a:rPr>
            <a:t>Fornøyd med avhengighetstabell resultat. </a:t>
          </a:r>
          <a:r>
            <a:rPr lang="nb-NO" b="0" baseline="0"/>
            <a:t>Usikker på om det er greit å sette teori i timelisten siden jeg tar Database faget samtidig.</a:t>
          </a:r>
          <a:endParaRPr lang="nb-NO" baseline="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30</xdr:row>
      <xdr:rowOff>10745</xdr:rowOff>
    </xdr:from>
    <xdr:ext cx="6911731" cy="5044832"/>
    <xdr:sp macro="" textlink="">
      <xdr:nvSpPr>
        <xdr:cNvPr id="2" name="TekstSylinder 1">
          <a:extLst>
            <a:ext uri="{FF2B5EF4-FFF2-40B4-BE49-F238E27FC236}">
              <a16:creationId xmlns:a16="http://schemas.microsoft.com/office/drawing/2014/main" id="{0C4370F2-16E0-4C2C-8299-A20BCDD46C56}"/>
            </a:ext>
          </a:extLst>
        </xdr:cNvPr>
        <xdr:cNvSpPr txBox="1"/>
      </xdr:nvSpPr>
      <xdr:spPr>
        <a:xfrm>
          <a:off x="0" y="5269848"/>
          <a:ext cx="6911731" cy="50448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2) </a:t>
          </a:r>
          <a:r>
            <a:rPr lang="nb-NO" baseline="0"/>
            <a:t>: Eivind Blom Eriksen</a:t>
          </a:r>
        </a:p>
        <a:p>
          <a:r>
            <a:rPr lang="nb-NO" u="none" baseline="0"/>
            <a:t>	</a:t>
          </a:r>
          <a:r>
            <a:rPr lang="nb-NO" u="sng" baseline="0"/>
            <a:t>Backend</a:t>
          </a:r>
          <a:r>
            <a:rPr lang="nb-NO" baseline="0"/>
            <a:t> : Anders Rubach Ese, Adrian Chirita, Martin Mikalsen, Eivind Blom Eriksen</a:t>
          </a:r>
        </a:p>
        <a:p>
          <a:r>
            <a:rPr lang="nb-NO" u="none" baseline="0"/>
            <a:t>	</a:t>
          </a:r>
          <a:r>
            <a:rPr lang="nb-NO" u="sng" baseline="0"/>
            <a:t>Frontend</a:t>
          </a:r>
          <a:r>
            <a:rPr lang="nb-NO" baseline="0"/>
            <a:t> : Alexander Hansen, Joachim Kristensen</a:t>
          </a:r>
        </a:p>
        <a:p>
          <a:r>
            <a:rPr lang="nb-NO" b="1" baseline="0"/>
            <a:t>Nye roller:	</a:t>
          </a:r>
          <a:r>
            <a:rPr lang="nb-NO" sz="1100" u="sng" baseline="0">
              <a:solidFill>
                <a:schemeClr val="tx1"/>
              </a:solidFill>
              <a:effectLst/>
              <a:latin typeface="+mn-lt"/>
              <a:ea typeface="+mn-ea"/>
              <a:cs typeface="+mn-cs"/>
            </a:rPr>
            <a:t>Scrum master (Sprint 3) </a:t>
          </a:r>
          <a:r>
            <a:rPr lang="nb-NO" sz="1100" baseline="0">
              <a:solidFill>
                <a:schemeClr val="tx1"/>
              </a:solidFill>
              <a:effectLst/>
              <a:latin typeface="+mn-lt"/>
              <a:ea typeface="+mn-ea"/>
              <a:cs typeface="+mn-cs"/>
            </a:rPr>
            <a:t>: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1" baseline="0"/>
        </a:p>
        <a:p>
          <a:r>
            <a:rPr lang="nb-NO" b="1" baseline="0"/>
            <a:t>Mandag</a:t>
          </a:r>
          <a:r>
            <a:rPr lang="nb-NO" baseline="0"/>
            <a:t>: I starten av uka hadde vi scrum-møte der alle team medlemmer pratet om hva vi hadde gjort og hva plannen er for denne uka. Etterpå så vi på komentaren vi fikk for Sprint 1 innlevering.</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Tirsdag</a:t>
          </a:r>
          <a:r>
            <a:rPr lang="nb-NO" baseline="0"/>
            <a:t>: Idag laget jeg en mappe struktur til Sprint 2, endret produktbacklog slik at den viser tid brukt i forskjellige aktiviteter samt. avvik. Vi trengte dette siden sprint backlog viser bare utvidet oppgaver hentet fra produkt backlog. Fremdriftsplannen ble også endret ifølge endring av produktbacklog (aktiviteter er tildelt litt annerledes i de neste Sprint)</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Onsdag:</a:t>
          </a:r>
          <a:r>
            <a:rPr lang="nb-NO" b="0" baseline="0"/>
            <a:t> I scrum-møte idag bestemte teamet at Anders skal være neste Scrum master.</a:t>
          </a:r>
          <a:endParaRPr lang="nb-NO" b="1" baseline="0"/>
        </a:p>
        <a:p>
          <a:r>
            <a:rPr lang="nb-NO" b="1" baseline="0"/>
            <a:t>Fredag: </a:t>
          </a:r>
          <a:r>
            <a:rPr lang="nb-NO" b="0" baseline="0"/>
            <a:t>Vi haddde scrum-møte der vi snakket om hvordan jobben gikk siden forrige møte og hva vi skal jobbe med videre. Så jobbet jeg med med å samle alle scrum-møte filer i 1 fil; fikset hodet felt, bunn felt i noen filer som skal leveres i Sprint 2.</a:t>
          </a:r>
          <a:r>
            <a:rPr lang="nb-NO" baseline="0"/>
            <a:t> </a:t>
          </a:r>
        </a:p>
        <a:p>
          <a:r>
            <a:rPr lang="nb-NO" b="1" baseline="0"/>
            <a:t>Lørdag</a:t>
          </a:r>
          <a:r>
            <a:rPr lang="nb-NO" baseline="0"/>
            <a:t>: Så på koden og fant ut at vi kan forkorte koden en del ved å gjenbruke funksjoner. Skal jobbe mer med dette i neste Sprint slik at jeg kan skrive ned timer som en del av Testing fra produktbacklog.Dette er ikke ført opp i timelisten.</a:t>
          </a:r>
        </a:p>
        <a:p>
          <a:r>
            <a:rPr lang="nb-NO" b="1" baseline="0"/>
            <a:t>Søndag</a:t>
          </a:r>
          <a:r>
            <a:rPr lang="nb-NO" baseline="0"/>
            <a:t>: Scrum- møte der alle fortalte hva vi gjorde siden fredag. Ikke alt er ferdig og det ser ut at vi blir ikke ferdig med alle aktiviteter som var planlagt. Vi utvidet user stories hadde planning poker til Sprint 3 og utvidet user stories. Hadde også jobbet en del med Anders og Martin i backend der vi laget en ny metode for arkivering av emne og insertEmne() skal få inn 1 emne objekt fra oppretteEmne.php istedet for flere del objekter fra emne. </a:t>
          </a:r>
        </a:p>
        <a:p>
          <a:r>
            <a:rPr lang="nb-NO" b="1" baseline="0"/>
            <a:t>Refleksjoner: </a:t>
          </a:r>
          <a:r>
            <a:rPr lang="nb-NO" b="0" baseline="0"/>
            <a:t> Er skuffet over meg selv fordi jeg fortår mindre enn de andre. Jeg skulle ønske jeg hadde Databaser og Webapp 1 faget fra før og bidra like mye i koding som alle andre</a:t>
          </a:r>
          <a:endParaRPr lang="nb-NO" baseline="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22</xdr:row>
      <xdr:rowOff>10745</xdr:rowOff>
    </xdr:from>
    <xdr:ext cx="6911731" cy="5175088"/>
    <xdr:sp macro="" textlink="">
      <xdr:nvSpPr>
        <xdr:cNvPr id="2" name="TekstSylinder 1">
          <a:extLst>
            <a:ext uri="{FF2B5EF4-FFF2-40B4-BE49-F238E27FC236}">
              <a16:creationId xmlns:a16="http://schemas.microsoft.com/office/drawing/2014/main" id="{DD656C21-8B6A-42D9-B655-B7D74717C536}"/>
            </a:ext>
          </a:extLst>
        </xdr:cNvPr>
        <xdr:cNvSpPr txBox="1"/>
      </xdr:nvSpPr>
      <xdr:spPr>
        <a:xfrm>
          <a:off x="0" y="3755617"/>
          <a:ext cx="6911731" cy="5175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3) </a:t>
          </a:r>
          <a:r>
            <a:rPr lang="nb-NO" baseline="0"/>
            <a:t>: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aseline="0"/>
        </a:p>
        <a:p>
          <a:r>
            <a:rPr lang="nb-NO" u="none" baseline="0"/>
            <a:t>	</a:t>
          </a:r>
          <a:r>
            <a:rPr lang="nb-NO" u="sng" baseline="0"/>
            <a:t>Backend</a:t>
          </a:r>
          <a:r>
            <a:rPr lang="nb-NO" baseline="0"/>
            <a:t> : </a:t>
          </a:r>
          <a:r>
            <a:rPr lang="nb-NO" sz="1100" baseline="0">
              <a:solidFill>
                <a:schemeClr val="tx1"/>
              </a:solidFill>
              <a:effectLst/>
              <a:latin typeface="+mn-lt"/>
              <a:ea typeface="+mn-ea"/>
              <a:cs typeface="+mn-cs"/>
            </a:rPr>
            <a:t>Eivind Blom Eriksen</a:t>
          </a:r>
          <a:r>
            <a:rPr lang="nb-NO" baseline="0"/>
            <a:t>, Adrian Chirita, Martin Mikalsen, Eivind Blom Eriksen</a:t>
          </a:r>
        </a:p>
        <a:p>
          <a:r>
            <a:rPr lang="nb-NO" u="none" baseline="0"/>
            <a:t>	</a:t>
          </a:r>
          <a:r>
            <a:rPr lang="nb-NO" u="sng" baseline="0"/>
            <a:t>Frontend</a:t>
          </a:r>
          <a:r>
            <a:rPr lang="nb-NO" baseline="0"/>
            <a:t> : Alexander Hansen, Joachim Kristensen</a:t>
          </a:r>
        </a:p>
        <a:p>
          <a:endParaRPr lang="nb-NO" baseline="0"/>
        </a:p>
        <a:p>
          <a:r>
            <a:rPr lang="nb-NO" b="1" baseline="0"/>
            <a:t>Mandag</a:t>
          </a:r>
          <a:r>
            <a:rPr lang="nb-NO" baseline="0"/>
            <a:t>: I dag hadde vi scrum review møte med lærer og PO. Lurt å ikke glemme å ha en kort innledning neste gang vi møter kunden. </a:t>
          </a:r>
        </a:p>
        <a:p>
          <a:r>
            <a:rPr lang="nb-NO" b="1" baseline="0"/>
            <a:t>Tirsdag</a:t>
          </a:r>
          <a:r>
            <a:rPr lang="nb-NO" baseline="0"/>
            <a:t>: Jobbet med Excel, Burndown og BurnUp charts. Måtte introdusere flere hjelpe tabeller: slutt på aktivitet som bruker en random tabel generator for å intruduseere en tilfeldig slutt på aktiviteter som ikke var påbegynt i denne sprinten. Lagde også en større hjelpe tabell for å kunne nøyaktig beregne kritisk igjen(den var feil før pga ). Grafen funker som forventet. Er usikker på om jeg trenger å introdusere flere avhengigheter som for eksempel hente data fra Sprint backlog.</a:t>
          </a:r>
        </a:p>
        <a:p>
          <a:r>
            <a:rPr lang="nb-NO" b="1" baseline="0"/>
            <a:t>Onsdag:</a:t>
          </a:r>
          <a:r>
            <a:rPr lang="nb-NO" b="0" baseline="0"/>
            <a:t> I dagens scrum møte hadde vi gjennomgått status. Ikke mye er gjørt og blir gjørt til fredag på grunn av innleveringer og test i andre fag.</a:t>
          </a:r>
          <a:endParaRPr lang="nb-NO" b="1" baseline="0"/>
        </a:p>
        <a:p>
          <a:r>
            <a:rPr lang="nb-NO" b="1" baseline="0"/>
            <a:t>Fredag: </a:t>
          </a:r>
          <a:r>
            <a:rPr lang="nb-NO" b="0" baseline="0"/>
            <a:t>Leste om PHP sessions.</a:t>
          </a:r>
          <a:endParaRPr lang="nb-NO" baseline="0"/>
        </a:p>
        <a:p>
          <a:r>
            <a:rPr lang="nb-NO" b="1" baseline="0"/>
            <a:t>Lørdag</a:t>
          </a:r>
          <a:r>
            <a:rPr lang="nb-NO" baseline="0"/>
            <a:t>: Scrum møte der vi snakket om hva som var gjørt siden forrige møte. Vi fikset i plenum registrering av applikasjon til FEIDE og redirigering av godkjente brukere til emnebeskrivelser index sida.</a:t>
          </a:r>
        </a:p>
        <a:p>
          <a:r>
            <a:rPr lang="nb-NO" baseline="0"/>
            <a:t>Prøvde å hente inn data fra uit.no emnebeskrivelser sin side ved å bruke web scraping teknikker (selenium + java). Klarte å få enme navn og id men innså at det tar tid å få inn data fra alle emner å sette alt inn i databasen vår. Usikker på om det vil hjelpe oss videre i prosjektet siden vi har mye igjen å jobbe med. Hvis vi trenger det så har vi en start på hvordan dette kan gjøres.</a:t>
          </a:r>
        </a:p>
        <a:p>
          <a:r>
            <a:rPr lang="nb-NO" b="1" baseline="0"/>
            <a:t>Søndag</a:t>
          </a:r>
          <a:r>
            <a:rPr lang="nb-NO" baseline="0"/>
            <a:t>:  Jobbet med søke funksjon etter brukere for administrator. Lagde ny BrukerType klasse , søkefelt i administrering.twig , og 3 nye funksjoner i DatabaseQuery: visAlleBrukere, finnAlleBrukere(brukernavn), getBrukerType(BrukerID). Måtte lage finnBruker.php som tar input fra søkefelt i administrering sida og slår opp i databasequery søke funksjon.</a:t>
          </a:r>
        </a:p>
        <a:p>
          <a:r>
            <a:rPr lang="nb-NO" b="1" baseline="0"/>
            <a:t>Refleksjoner: </a:t>
          </a:r>
          <a:r>
            <a:rPr lang="nb-NO" b="0" baseline="0"/>
            <a:t>Trenger å lese gjennom PHP grundigere for å forstå hvordan informasjonen er sendt fra fil til fil gjennom nettsida. Brukte for lite tid til dette føler jeg og det er ikke lett å ha oversikt ved å bare se på eksempler og kode. Litt vanskelig med å presentere data fra backend til frontend med tanke på lokale og globale variabler.</a:t>
          </a:r>
          <a:endParaRPr lang="nb-NO" b="1" baseline="0"/>
        </a:p>
        <a:p>
          <a:r>
            <a:rPr lang="nb-NO" baseline="0"/>
            <a:t>Klarte å jobbe med produktbacklog aktiviteter denne uka.</a:t>
          </a: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24</xdr:row>
      <xdr:rowOff>10744</xdr:rowOff>
    </xdr:from>
    <xdr:ext cx="6911731" cy="8789705"/>
    <xdr:sp macro="" textlink="">
      <xdr:nvSpPr>
        <xdr:cNvPr id="2" name="TekstSylinder 1">
          <a:extLst>
            <a:ext uri="{FF2B5EF4-FFF2-40B4-BE49-F238E27FC236}">
              <a16:creationId xmlns:a16="http://schemas.microsoft.com/office/drawing/2014/main" id="{613AE79B-7E32-49A3-BD5B-87DE103DD0A9}"/>
            </a:ext>
          </a:extLst>
        </xdr:cNvPr>
        <xdr:cNvSpPr txBox="1"/>
      </xdr:nvSpPr>
      <xdr:spPr>
        <a:xfrm>
          <a:off x="0" y="4201744"/>
          <a:ext cx="6911731" cy="87897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3) </a:t>
          </a:r>
          <a:r>
            <a:rPr lang="nb-NO" baseline="0"/>
            <a:t>: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aseline="0"/>
        </a:p>
        <a:p>
          <a:r>
            <a:rPr lang="nb-NO" u="none" baseline="0"/>
            <a:t>	</a:t>
          </a:r>
          <a:r>
            <a:rPr lang="nb-NO" u="sng" baseline="0"/>
            <a:t>Backend</a:t>
          </a:r>
          <a:r>
            <a:rPr lang="nb-NO" baseline="0"/>
            <a:t> : </a:t>
          </a:r>
          <a:r>
            <a:rPr lang="nb-NO" sz="1100" baseline="0">
              <a:solidFill>
                <a:schemeClr val="tx1"/>
              </a:solidFill>
              <a:effectLst/>
              <a:latin typeface="+mn-lt"/>
              <a:ea typeface="+mn-ea"/>
              <a:cs typeface="+mn-cs"/>
            </a:rPr>
            <a:t>Eivind Blom Eriksen</a:t>
          </a:r>
          <a:r>
            <a:rPr lang="nb-NO" baseline="0"/>
            <a:t>, Adrian Chirita, Martin Mikalsen, Eivind Blom Eriksen</a:t>
          </a:r>
        </a:p>
        <a:p>
          <a:r>
            <a:rPr lang="nb-NO" u="none" baseline="0"/>
            <a:t>	</a:t>
          </a:r>
          <a:r>
            <a:rPr lang="nb-NO" u="sng" baseline="0"/>
            <a:t>Frontend</a:t>
          </a:r>
          <a:r>
            <a:rPr lang="nb-NO" baseline="0"/>
            <a:t> : Alexander Hansen, Joachim Kristensen</a:t>
          </a:r>
        </a:p>
        <a:p>
          <a:r>
            <a:rPr lang="nb-NO" b="1" baseline="0"/>
            <a:t>Roller neste Sprint:</a:t>
          </a:r>
        </a:p>
        <a:p>
          <a:r>
            <a:rPr lang="nb-NO" baseline="0"/>
            <a:t>	</a:t>
          </a:r>
          <a:r>
            <a:rPr lang="nb-NO" u="sng" baseline="0"/>
            <a:t>Scrum master (Sprint 4): </a:t>
          </a:r>
          <a:r>
            <a:rPr lang="nb-NO" sz="1100" baseline="0">
              <a:solidFill>
                <a:schemeClr val="tx1"/>
              </a:solidFill>
              <a:effectLst/>
              <a:latin typeface="+mn-lt"/>
              <a:ea typeface="+mn-ea"/>
              <a:cs typeface="+mn-cs"/>
            </a:rPr>
            <a:t>Martin Mikalsen</a:t>
          </a:r>
          <a:endParaRPr lang="nb-NO" baseline="0"/>
        </a:p>
        <a:p>
          <a:endParaRPr lang="nb-NO" baseline="0"/>
        </a:p>
        <a:p>
          <a:r>
            <a:rPr lang="nb-NO" b="1" baseline="0"/>
            <a:t>Mandag</a:t>
          </a:r>
          <a:r>
            <a:rPr lang="nb-NO" baseline="0"/>
            <a:t>: I dag hadde vi scrum møte. Brukte mye tid på Sprint 2 innlevering: opprettet start og slutt Sprint backlogs , gjort forandringer i alle filer, formattering, titler, formler, introduserte betinget formattering i Sprint Backlogs og Product Backlog, lagde Sprint Burnup og Burndown på nytt på grunn av aktiviteter som ikke var med. Hoved innlevering filen ble også endret.</a:t>
          </a:r>
        </a:p>
        <a:p>
          <a:r>
            <a:rPr lang="nb-NO" b="1" baseline="0"/>
            <a:t>Onsdag: </a:t>
          </a:r>
          <a:r>
            <a:rPr lang="nb-NO" b="0" baseline="0"/>
            <a:t>Scrum møte der alle fortalte hvordan arbeidet med prosjektet gikk. Leste om html søke felt på w3schools.org og google. Lagde administreringRettigheter.twig side med søkefelt og 2 knapp og nye funksjoner. Vis bruker knappen  bruker finnBrukere() funksjonen. Den tar bruker "fornavn"/"etternavn"/"fornavn etternavn" som input. Vis alle brukere knappen bruker visBrukere() funksjonen. Alt funker bra.</a:t>
          </a:r>
          <a:endParaRPr lang="nb-NO" b="1" baseline="0"/>
        </a:p>
        <a:p>
          <a:pPr marL="0" marR="0" lvl="0" indent="0" defTabSz="914400" eaLnBrk="1" fontAlgn="auto" latinLnBrk="0" hangingPunct="1">
            <a:lnSpc>
              <a:spcPct val="100000"/>
            </a:lnSpc>
            <a:spcBef>
              <a:spcPts val="0"/>
            </a:spcBef>
            <a:spcAft>
              <a:spcPts val="0"/>
            </a:spcAft>
            <a:buClrTx/>
            <a:buSzTx/>
            <a:buFontTx/>
            <a:buNone/>
            <a:tabLst/>
            <a:defRPr/>
          </a:pPr>
          <a:r>
            <a:rPr lang="nb-NO" b="1" baseline="0"/>
            <a:t>Fredag: </a:t>
          </a:r>
          <a:r>
            <a:rPr lang="nb-NO" b="0" baseline="0"/>
            <a:t>Scrum møte. Etterpå </a:t>
          </a:r>
          <a:r>
            <a:rPr lang="nb-NO" sz="1100" b="0" baseline="0">
              <a:solidFill>
                <a:schemeClr val="tx1"/>
              </a:solidFill>
              <a:effectLst/>
              <a:latin typeface="+mn-lt"/>
              <a:ea typeface="+mn-ea"/>
              <a:cs typeface="+mn-cs"/>
            </a:rPr>
            <a:t>j</a:t>
          </a:r>
          <a:r>
            <a:rPr lang="nb-NO" sz="1100" baseline="0">
              <a:solidFill>
                <a:schemeClr val="tx1"/>
              </a:solidFill>
              <a:effectLst/>
              <a:latin typeface="+mn-lt"/>
              <a:ea typeface="+mn-ea"/>
              <a:cs typeface="+mn-cs"/>
            </a:rPr>
            <a:t>obbet med Anders og laget Sprint 4 user stories fra aktiviteter i Product backlog. Introduserte totaler i Sprint backlogs og betinget formattering i avvik kolone(grønn farge hvis estimert tid &gt; brukt tid og rød farge hvis motsatt). Leste mer om knapper og henting av data via dem i PHP script.</a:t>
          </a:r>
          <a:endParaRPr lang="nb-NO" b="1" baseline="0"/>
        </a:p>
        <a:p>
          <a:r>
            <a:rPr lang="nb-NO" b="1" baseline="0"/>
            <a:t>Lørdag</a:t>
          </a:r>
          <a:r>
            <a:rPr lang="nb-NO" baseline="0"/>
            <a:t>: Leste om hvordan man kan sende ekstra info via Update kanppen som jeg lagde for å endre retigheter til gitt bruker. Trenger å sende bruker id som variabel. Klarte å gjøre det via en hidden felt. Lagde en ekstra funksjon som tar input brukerID og en array for å sette rettigheter. Administrativ side for alle funksjoner og  kanpper er også på plass.</a:t>
          </a:r>
        </a:p>
        <a:p>
          <a:r>
            <a:rPr lang="nb-NO" baseline="0"/>
            <a:t>Arrayen blir oppdatert i administreringRettigheter.php via verdier som kommer inn fra .twig filen når admin endrer checkbox rettigheter. </a:t>
          </a:r>
        </a:p>
        <a:p>
          <a:r>
            <a:rPr lang="nb-NO" b="1" baseline="0"/>
            <a:t>Søndag</a:t>
          </a:r>
          <a:r>
            <a:rPr lang="nb-NO" baseline="0"/>
            <a:t>:  Laget avhengighetstabell, PERT diagram og gjort små endringer i Sprint 3 slutt, Sprint 3 start og Sprint 4 tabeller. Laget BrunUp og BurnUp charts og jobbet i plenum med Sprint 3 innlevering. </a:t>
          </a:r>
        </a:p>
        <a:p>
          <a:r>
            <a:rPr lang="nb-NO" b="1" baseline="0"/>
            <a:t>Refleksjoner: </a:t>
          </a:r>
          <a:r>
            <a:rPr lang="nb-NO" b="0" baseline="0"/>
            <a:t>Det er veldig mange avhengigheter med tanke på timelister, backlogs, burndown/burnup charts og når hver team medlem jobber / har gjort ferdig en aktivitet. Blir vanskelig også for eksempel når en user story er ferdig og må tas igjen i neste sprint på grunn av små endringer. Foreslo til teamet at vi trenger en Test aktivitet i Sprint 4 og bruke den når endringer må gjøres i aktiviteter fra før. Testing aktivitet kan også bruke til forfining av kode. Synes at extreme programming kombinert med Testing gir bedre kontroll og oversikt. Siden Sprint 4 varer i 3 uker så kan vi fokusere å bli ferdig med alle aktiviteter og starte Sprint 5 med blanke ark.</a:t>
          </a:r>
        </a:p>
        <a:p>
          <a:endParaRPr lang="nb-NO" b="0" baseline="0"/>
        </a:p>
        <a:p>
          <a:endParaRPr lang="nb-NO" b="0" baseline="0"/>
        </a:p>
        <a:p>
          <a:endParaRPr lang="nb-NO" b="0" baseline="0"/>
        </a:p>
        <a:p>
          <a:endParaRPr lang="nb-NO" b="0" baseline="0"/>
        </a:p>
        <a:p>
          <a:endParaRPr lang="nb-NO" b="0" baseline="0"/>
        </a:p>
        <a:p>
          <a:endParaRPr lang="nb-NO" b="1" baseline="0"/>
        </a:p>
        <a:p>
          <a:r>
            <a:rPr lang="nb-NO" b="1" baseline="0"/>
            <a:t>Individuell oppgave:</a:t>
          </a:r>
        </a:p>
        <a:p>
          <a:endParaRPr lang="nb-NO" b="0" baseline="0"/>
        </a:p>
        <a:p>
          <a:r>
            <a:rPr lang="nb-NO" sz="1100" b="0" i="0">
              <a:solidFill>
                <a:schemeClr val="tx1"/>
              </a:solidFill>
              <a:effectLst/>
              <a:latin typeface="+mn-lt"/>
            </a:rPr>
            <a:t>Månedsinntekt for årslønn ansatt = (550000kr * 7 ansatte) / 12 mnd = 321000kr </a:t>
          </a:r>
        </a:p>
        <a:p>
          <a:r>
            <a:rPr lang="nb-NO" sz="1100" b="0" i="0">
              <a:solidFill>
                <a:schemeClr val="tx1"/>
              </a:solidFill>
              <a:effectLst/>
              <a:latin typeface="+mn-lt"/>
            </a:rPr>
            <a:t>Månedsinntekt bedrift = 321000 + 29000 (grovt estimat av admn. tillegg) = 350000kr </a:t>
          </a:r>
        </a:p>
        <a:p>
          <a:r>
            <a:rPr lang="nb-NO" sz="1100" b="0" i="0">
              <a:solidFill>
                <a:schemeClr val="tx1"/>
              </a:solidFill>
              <a:effectLst/>
              <a:latin typeface="+mn-lt"/>
            </a:rPr>
            <a:t>Ukesinntekt bedrift = 350000kr / 4 uker = 87500kr </a:t>
          </a:r>
        </a:p>
        <a:p>
          <a:r>
            <a:rPr lang="nb-NO" sz="1100" b="0" i="0">
              <a:solidFill>
                <a:schemeClr val="tx1"/>
              </a:solidFill>
              <a:effectLst/>
              <a:latin typeface="+mn-lt"/>
            </a:rPr>
            <a:t>Dagsinntekt bedrift = 87500kr / 7 dager = 12500kr </a:t>
          </a:r>
        </a:p>
        <a:p>
          <a:r>
            <a:rPr lang="nb-NO" sz="1100" b="0" i="0">
              <a:solidFill>
                <a:schemeClr val="tx1"/>
              </a:solidFill>
              <a:effectLst/>
              <a:latin typeface="+mn-lt"/>
            </a:rPr>
            <a:t>Timesinntekt bedrift = 12500kr / 24 timer = 521kr </a:t>
          </a:r>
        </a:p>
        <a:p>
          <a:r>
            <a:rPr lang="nb-NO" sz="1100" b="0" i="0">
              <a:solidFill>
                <a:schemeClr val="tx1"/>
              </a:solidFill>
              <a:effectLst/>
              <a:latin typeface="+mn-lt"/>
            </a:rPr>
            <a:t>Gjennomsnitt storypoints per uke: ((55 / 2) + (91 / 2) + (71 / 2)) / 3 = 36,16 timer Timesbetaling=Ukesinntekt/Gjennomsnitt storypoints = 87500kr / 36,16 timer = 2420kr/ time</a:t>
          </a:r>
          <a:endParaRPr lang="nb-NO" sz="1100" baseline="0">
            <a:solidFill>
              <a:schemeClr val="tx1"/>
            </a:solidFill>
            <a:latin typeface="+mn-lt"/>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19</xdr:row>
      <xdr:rowOff>10744</xdr:rowOff>
    </xdr:from>
    <xdr:ext cx="6911731" cy="4882012"/>
    <xdr:sp macro="" textlink="">
      <xdr:nvSpPr>
        <xdr:cNvPr id="2" name="TekstSylinder 1">
          <a:extLst>
            <a:ext uri="{FF2B5EF4-FFF2-40B4-BE49-F238E27FC236}">
              <a16:creationId xmlns:a16="http://schemas.microsoft.com/office/drawing/2014/main" id="{D7CA0038-8389-4C82-B09F-A2F271086AD6}"/>
            </a:ext>
          </a:extLst>
        </xdr:cNvPr>
        <xdr:cNvSpPr txBox="1"/>
      </xdr:nvSpPr>
      <xdr:spPr>
        <a:xfrm>
          <a:off x="0" y="3397411"/>
          <a:ext cx="6911731" cy="4882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4) </a:t>
          </a:r>
          <a:r>
            <a:rPr lang="nb-NO" baseline="0"/>
            <a:t>: </a:t>
          </a:r>
          <a:r>
            <a:rPr lang="nb-NO" sz="1100" baseline="0">
              <a:solidFill>
                <a:schemeClr val="tx1"/>
              </a:solidFill>
              <a:effectLst/>
              <a:latin typeface="+mn-lt"/>
              <a:ea typeface="+mn-ea"/>
              <a:cs typeface="+mn-cs"/>
            </a:rPr>
            <a:t>Martin Mikalsen</a:t>
          </a:r>
          <a:endParaRPr lang="nb-NO" baseline="0"/>
        </a:p>
        <a:p>
          <a:r>
            <a:rPr lang="nb-NO" u="none" baseline="0"/>
            <a:t>	</a:t>
          </a:r>
          <a:r>
            <a:rPr lang="nb-NO" u="sng" baseline="0"/>
            <a:t>Backend</a:t>
          </a:r>
          <a:r>
            <a:rPr lang="nb-NO" baseline="0"/>
            <a:t> : </a:t>
          </a:r>
          <a:r>
            <a:rPr lang="nb-NO" sz="1100" baseline="0">
              <a:solidFill>
                <a:schemeClr val="tx1"/>
              </a:solidFill>
              <a:effectLst/>
              <a:latin typeface="+mn-lt"/>
              <a:ea typeface="+mn-ea"/>
              <a:cs typeface="+mn-cs"/>
            </a:rPr>
            <a:t>Eivind Blom Eriksen</a:t>
          </a:r>
          <a:r>
            <a:rPr lang="nb-NO" baseline="0"/>
            <a:t>, Adrian Chirita, Martin Mikalsen, Eivind Blom Erikse,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aseline="0"/>
        </a:p>
        <a:p>
          <a:r>
            <a:rPr lang="nb-NO" u="none" baseline="0"/>
            <a:t>	</a:t>
          </a:r>
          <a:r>
            <a:rPr lang="nb-NO" u="sng" baseline="0"/>
            <a:t>Frontend</a:t>
          </a:r>
          <a:r>
            <a:rPr lang="nb-NO" baseline="0"/>
            <a:t> : Alexander Hansen, Joachim Kristensen</a:t>
          </a:r>
        </a:p>
        <a:p>
          <a:endParaRPr lang="nb-NO" baseline="0"/>
        </a:p>
        <a:p>
          <a:r>
            <a:rPr lang="nb-NO" b="1" baseline="0"/>
            <a:t>Mandag</a:t>
          </a:r>
          <a:r>
            <a:rPr lang="nb-NO" baseline="0"/>
            <a:t>: Endret litt timelistene og introduserte formattering i hjelpe tabeller slik at det blir lettere å oppdage feil når test totaller ikke stemmer.</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Tirsdag: </a:t>
          </a:r>
          <a:r>
            <a:rPr lang="nb-NO" sz="1100" baseline="0">
              <a:solidFill>
                <a:schemeClr val="tx1"/>
              </a:solidFill>
              <a:effectLst/>
              <a:latin typeface="+mn-lt"/>
              <a:ea typeface="+mn-ea"/>
              <a:cs typeface="+mn-cs"/>
            </a:rPr>
            <a:t>I dag jobbet jeg med Sprint BurnUp og BurnDown charts. Måtte bli kvitt random tabellen og intrudusere 2 andre tabeller istedet. "Rad treff" tabell skal finne rad nr til nåværende aktivitet i SprintBacklog og "Status" tabell henter status på aktivitet. "Status" kolone er også betinget formatert.</a:t>
          </a:r>
          <a:endParaRPr lang="nb-NO" b="1" baseline="0"/>
        </a:p>
        <a:p>
          <a:r>
            <a:rPr lang="nb-NO" b="1" baseline="0"/>
            <a:t>Torsdag: </a:t>
          </a:r>
          <a:r>
            <a:rPr lang="nb-NO" b="0" baseline="0"/>
            <a:t>Jobb med Excel. Laget nye .pdf filer til Sprint 3: burnDown og burnUp charts og Story points tabell. Første innlevering hadde feil på grunn av at jeg brukte random tabell for å trekke fra totalen aktiviteter som ikke var ferdig eller påbegynt slik at den kritisk igjen går mot null. Ettepå laget jeg nye hjelpe tabeller for burnUp og burnDown charts til hele prosjektet. Introdusert nye formler, Sprint nr ved siden av aktivitet nr. Vi hadde også Scrum møte idag.</a:t>
          </a:r>
          <a:endParaRPr lang="nb-NO" b="1" baseline="0"/>
        </a:p>
        <a:p>
          <a:r>
            <a:rPr lang="nb-NO" b="1" baseline="0"/>
            <a:t>Lørdag</a:t>
          </a:r>
          <a:r>
            <a:rPr lang="nb-NO" baseline="0"/>
            <a:t>: Jobbet med innlevering til andre fag siden forrige gang vi hadde møte. Skal jobbe videre med aktivitet 22. Håper jeg klarer å få det til å fungere bra siden endringer som vises tydelig hjelper å oppdage feil eller mangler når emnet endres.</a:t>
          </a:r>
        </a:p>
        <a:p>
          <a:r>
            <a:rPr lang="nb-NO" baseline="0"/>
            <a:t>Scrum møte idag også. Vi fortalte hva vi jobbet med og hva vi skal jobbe med videre.</a:t>
          </a:r>
        </a:p>
        <a:p>
          <a:r>
            <a:rPr lang="nb-NO" b="1" baseline="0"/>
            <a:t>Søndag</a:t>
          </a:r>
          <a:r>
            <a:rPr lang="nb-NO" baseline="0"/>
            <a:t>: Leste om triggers. Tenkte at jeg skal bruke det for å sette triggers inn i databsen slik at når et emne er endret så vil opprinelige versjonen av emne bli bevart automatisk. Innså at det er ikke helt optimalt og valgte å fikse det i selve emne classe og databasequery: emne klasse har nå forrigeEmneVersjon og updateEmne() funksjonen i databasequery setter forrigeEmneVersjon variabel være lik emne. Har også begynt å lage sammenlikning criterier for å kunne markere endringer som er gjort. Emne skal vises parallelt med den nye versjonen og endringer blir markert.</a:t>
          </a:r>
        </a:p>
        <a:p>
          <a:r>
            <a:rPr lang="nb-NO" b="1" baseline="0"/>
            <a:t>Refleksjoner: </a:t>
          </a:r>
          <a:r>
            <a:rPr lang="nb-NO" b="0" baseline="0"/>
            <a:t>Innser nå at det er vanskelig å lage en vellykket automatisering på grunn av at informasjonen er delt opp i små biter. Burde kanskje brukt VBA for oppdatering av verdier fra eksterne kilder men er usikker om det ville fungert: å  hente inn data fra gitt fil som igjen må hente inn data fra en annen fil. Nå trenger jeg å ha alle filer åpnet for at tabeller blir oppdatert. Jobbet lite denne uka og har flere aktiviteter som er påbegynt men ikke ferdig. Neste uke må jeg gjøre dem ferdig.</a:t>
          </a:r>
        </a:p>
        <a:p>
          <a:endParaRPr lang="nb-NO" b="0" baseline="0"/>
        </a:p>
        <a:p>
          <a:endParaRPr lang="nb-NO" b="0" baseline="0"/>
        </a:p>
        <a:p>
          <a:endParaRPr lang="nb-NO" b="0" baseline="0"/>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0</xdr:colOff>
      <xdr:row>23</xdr:row>
      <xdr:rowOff>10742</xdr:rowOff>
    </xdr:from>
    <xdr:ext cx="6911731" cy="5394899"/>
    <xdr:sp macro="" textlink="">
      <xdr:nvSpPr>
        <xdr:cNvPr id="2" name="TekstSylinder 1">
          <a:extLst>
            <a:ext uri="{FF2B5EF4-FFF2-40B4-BE49-F238E27FC236}">
              <a16:creationId xmlns:a16="http://schemas.microsoft.com/office/drawing/2014/main" id="{CD5E291E-FECB-43CB-B55B-4FF771B113D8}"/>
            </a:ext>
          </a:extLst>
        </xdr:cNvPr>
        <xdr:cNvSpPr txBox="1"/>
      </xdr:nvSpPr>
      <xdr:spPr>
        <a:xfrm>
          <a:off x="0" y="4039817"/>
          <a:ext cx="6911731" cy="53948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4) </a:t>
          </a:r>
          <a:r>
            <a:rPr lang="nb-NO" baseline="0"/>
            <a:t>: </a:t>
          </a:r>
          <a:r>
            <a:rPr lang="nb-NO" sz="1100" baseline="0">
              <a:solidFill>
                <a:schemeClr val="tx1"/>
              </a:solidFill>
              <a:effectLst/>
              <a:latin typeface="+mn-lt"/>
              <a:ea typeface="+mn-ea"/>
              <a:cs typeface="+mn-cs"/>
            </a:rPr>
            <a:t>Martin Mikalsen</a:t>
          </a:r>
          <a:endParaRPr lang="nb-NO" baseline="0"/>
        </a:p>
        <a:p>
          <a:r>
            <a:rPr lang="nb-NO" u="none" baseline="0"/>
            <a:t>	</a:t>
          </a:r>
          <a:r>
            <a:rPr lang="nb-NO" u="sng" baseline="0"/>
            <a:t>Backend</a:t>
          </a:r>
          <a:r>
            <a:rPr lang="nb-NO" baseline="0"/>
            <a:t> : </a:t>
          </a:r>
          <a:r>
            <a:rPr lang="nb-NO" sz="1100" baseline="0">
              <a:solidFill>
                <a:schemeClr val="tx1"/>
              </a:solidFill>
              <a:effectLst/>
              <a:latin typeface="+mn-lt"/>
              <a:ea typeface="+mn-ea"/>
              <a:cs typeface="+mn-cs"/>
            </a:rPr>
            <a:t>Eivind Blom Eriksen</a:t>
          </a:r>
          <a:r>
            <a:rPr lang="nb-NO" baseline="0"/>
            <a:t>, Adrian Chirita, Martin Mikalsen, Eivind Blom Erikse,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aseline="0"/>
        </a:p>
        <a:p>
          <a:r>
            <a:rPr lang="nb-NO" u="none" baseline="0"/>
            <a:t>	</a:t>
          </a:r>
          <a:r>
            <a:rPr lang="nb-NO" u="sng" baseline="0"/>
            <a:t>Frontend</a:t>
          </a:r>
          <a:r>
            <a:rPr lang="nb-NO" baseline="0"/>
            <a:t> : Alexander Hansen, Joachim Kristensen</a:t>
          </a:r>
        </a:p>
        <a:p>
          <a:pPr marL="0" marR="0" lvl="0" indent="0" defTabSz="914400" eaLnBrk="1" fontAlgn="auto" latinLnBrk="0" hangingPunct="1">
            <a:lnSpc>
              <a:spcPct val="100000"/>
            </a:lnSpc>
            <a:spcBef>
              <a:spcPts val="0"/>
            </a:spcBef>
            <a:spcAft>
              <a:spcPts val="0"/>
            </a:spcAft>
            <a:buClrTx/>
            <a:buSzTx/>
            <a:buFontTx/>
            <a:buNone/>
            <a:tabLst/>
            <a:defRPr/>
          </a:pPr>
          <a:r>
            <a:rPr lang="nb-NO" sz="1100" b="1">
              <a:solidFill>
                <a:schemeClr val="tx1"/>
              </a:solidFill>
              <a:effectLst/>
              <a:latin typeface="+mn-lt"/>
              <a:ea typeface="+mn-ea"/>
              <a:cs typeface="+mn-cs"/>
            </a:rPr>
            <a:t>Roller</a:t>
          </a:r>
          <a:r>
            <a:rPr lang="nb-NO" sz="1100" b="1" baseline="0">
              <a:solidFill>
                <a:schemeClr val="tx1"/>
              </a:solidFill>
              <a:effectLst/>
              <a:latin typeface="+mn-lt"/>
              <a:ea typeface="+mn-ea"/>
              <a:cs typeface="+mn-cs"/>
            </a:rPr>
            <a:t> neste uke</a:t>
          </a:r>
          <a:r>
            <a:rPr lang="nb-NO" sz="1100" baseline="0">
              <a:solidFill>
                <a:schemeClr val="tx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nb-NO" sz="1100" baseline="0">
              <a:solidFill>
                <a:schemeClr val="tx1"/>
              </a:solidFill>
              <a:effectLst/>
              <a:latin typeface="+mn-lt"/>
              <a:ea typeface="+mn-ea"/>
              <a:cs typeface="+mn-cs"/>
            </a:rPr>
            <a:t>	</a:t>
          </a:r>
          <a:r>
            <a:rPr lang="nb-NO" sz="1100" u="sng" baseline="0">
              <a:solidFill>
                <a:schemeClr val="tx1"/>
              </a:solidFill>
              <a:effectLst/>
              <a:latin typeface="+mn-lt"/>
              <a:ea typeface="+mn-ea"/>
              <a:cs typeface="+mn-cs"/>
            </a:rPr>
            <a:t>Scrum master (Sprint 4) </a:t>
          </a:r>
          <a:r>
            <a:rPr lang="nb-NO" sz="1100" baseline="0">
              <a:solidFill>
                <a:schemeClr val="tx1"/>
              </a:solidFill>
              <a:effectLst/>
              <a:latin typeface="+mn-lt"/>
              <a:ea typeface="+mn-ea"/>
              <a:cs typeface="+mn-cs"/>
            </a:rPr>
            <a:t>: Adrian Chirita</a:t>
          </a:r>
          <a:endParaRPr lang="nb-NO">
            <a:effectLst/>
          </a:endParaRPr>
        </a:p>
        <a:p>
          <a:endParaRPr lang="nb-NO" baseline="0"/>
        </a:p>
        <a:p>
          <a:r>
            <a:rPr lang="nb-NO" b="1" baseline="0"/>
            <a:t>Tirsdag: </a:t>
          </a:r>
          <a:r>
            <a:rPr lang="nb-NO" b="0" baseline="0"/>
            <a:t>Laget en ER database modell der alle tabeller som kan endres av brukere er plassert speilvendt i forhold til original versjon</a:t>
          </a:r>
          <a:r>
            <a:rPr lang="nb-NO" sz="1100" baseline="0">
              <a:solidFill>
                <a:schemeClr val="tx1"/>
              </a:solidFill>
              <a:effectLst/>
              <a:latin typeface="+mn-lt"/>
              <a:ea typeface="+mn-ea"/>
              <a:cs typeface="+mn-cs"/>
            </a:rPr>
            <a:t>. Måtte lage  visForrigeEmneVer.php og visForrigeEmneVer.twig. </a:t>
          </a:r>
          <a:r>
            <a:rPr lang="nb-NO" b="0" baseline="0"/>
            <a:t>Gjenbrukte kode som fantes alerede i visEmne.twig for å vise to emne versjoner ved siden av hverandre. Det ble mange linjer med kode (skal prøve å fikse dette senere) .Så prøvde jeg å finne en måte å markere forskjeller mellom to visEmne sider på. Fant en javascript funksjon </a:t>
          </a:r>
          <a:r>
            <a:rPr lang="nb-NO" sz="1100">
              <a:solidFill>
                <a:schemeClr val="tx1"/>
              </a:solidFill>
              <a:effectLst/>
              <a:latin typeface="+mn-lt"/>
              <a:ea typeface="+mn-ea"/>
              <a:cs typeface="+mn-cs"/>
            </a:rPr>
            <a:t>Hilitor</a:t>
          </a:r>
          <a:r>
            <a:rPr lang="nb-NO" sz="1100" baseline="0">
              <a:solidFill>
                <a:schemeClr val="tx1"/>
              </a:solidFill>
              <a:effectLst/>
              <a:latin typeface="+mn-lt"/>
              <a:ea typeface="+mn-ea"/>
              <a:cs typeface="+mn-cs"/>
            </a:rPr>
            <a:t> som virker bra. Plannen er å få den til å markere forskjeller og ikke likheter. Leste en del om knapper og on click events. Hilitor funksjonen er nå lagt til Vis tidligere versjon knapp.</a:t>
          </a:r>
          <a:endParaRPr lang="nb-NO" b="1" baseline="0"/>
        </a:p>
        <a:p>
          <a:r>
            <a:rPr lang="nb-NO" b="1" baseline="0"/>
            <a:t>Onsdag: </a:t>
          </a:r>
          <a:r>
            <a:rPr lang="nb-NO" b="0" baseline="0"/>
            <a:t>Idag hadde vi Scrum møte. </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Fredag: </a:t>
          </a:r>
          <a:r>
            <a:rPr lang="nb-NO" sz="1100" b="0" baseline="0">
              <a:solidFill>
                <a:schemeClr val="tx1"/>
              </a:solidFill>
              <a:effectLst/>
              <a:latin typeface="+mn-lt"/>
              <a:ea typeface="+mn-ea"/>
              <a:cs typeface="+mn-cs"/>
            </a:rPr>
            <a:t>Fant ut at ER modellen ikke er optimalt å bruke og valgte istedet å serialisere objektet ved hjelp av json_encode og så lagre den i Emne tabell i databasen. Leste om Twig blokker og endret visEmne.twig filen der jeg definerte flere blokk for å kunne override dem i visForrigeEmne.twig . Nå har twig filen få linjer med kode og er mer oversiktlig. Knapper fra visEmne ble overskrevet på høyre sida og fjernet på venstre sida i visForrigeEmneVer.twig.</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Lørdag</a:t>
          </a:r>
          <a:r>
            <a:rPr lang="nb-NO" baseline="0"/>
            <a:t>: Scrum møte idag. </a:t>
          </a:r>
          <a:r>
            <a:rPr lang="nb-NO" sz="1100" b="0" baseline="0">
              <a:solidFill>
                <a:schemeClr val="tx1"/>
              </a:solidFill>
              <a:effectLst/>
              <a:latin typeface="+mn-lt"/>
              <a:ea typeface="+mn-ea"/>
              <a:cs typeface="+mn-cs"/>
            </a:rPr>
            <a:t>Lagde flere funksjoner i DatabaseQuery som lagrer objekt til database, sletter forrige objekt versjon fra database og henter forrige objekt versjon fra database. Har ikke implementert alle disse funksjonene til alle tabbeller som kan endres av emne ansvarlig enda.</a:t>
          </a:r>
          <a:endParaRPr lang="nb-NO">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nb-NO" sz="1100" b="0" baseline="0">
              <a:solidFill>
                <a:schemeClr val="tx1"/>
              </a:solidFill>
              <a:effectLst/>
              <a:latin typeface="+mn-lt"/>
              <a:ea typeface="+mn-ea"/>
              <a:cs typeface="+mn-cs"/>
            </a:rPr>
            <a:t>Leste om json_encode() og json_decode() , objekt serialisering , database lagring av objekter i json kolone felt. Lagde en annen hjelpe klasse </a:t>
          </a:r>
          <a:r>
            <a:rPr lang="nb-NO">
              <a:effectLst/>
            </a:rPr>
            <a:t>JsonDeserializer.</a:t>
          </a:r>
          <a:r>
            <a:rPr lang="nb-NO" baseline="0">
              <a:effectLst/>
            </a:rPr>
            <a:t> Emne klasse extends </a:t>
          </a:r>
          <a:r>
            <a:rPr lang="nb-NO" sz="1100">
              <a:solidFill>
                <a:schemeClr val="tx1"/>
              </a:solidFill>
              <a:effectLst/>
              <a:latin typeface="+mn-lt"/>
              <a:ea typeface="+mn-ea"/>
              <a:cs typeface="+mn-cs"/>
            </a:rPr>
            <a:t>JsonDeserializer. Lagde seForskjeller()</a:t>
          </a:r>
          <a:r>
            <a:rPr lang="nb-NO" sz="1100" baseline="0">
              <a:solidFill>
                <a:schemeClr val="tx1"/>
              </a:solidFill>
              <a:effectLst/>
              <a:latin typeface="+mn-lt"/>
              <a:ea typeface="+mn-ea"/>
              <a:cs typeface="+mn-cs"/>
            </a:rPr>
            <a:t> og skjulForskjeller()  js funksjoner i visForrigeEmne.twig som brukes til Marker Forskjeller og Skjul Forskjeller knapper. De funksjonene bruker Hilitor.js for å markere forskjeller mellom forrige emne og ny emne versjoner. </a:t>
          </a:r>
          <a:endParaRPr lang="nb-NO" baseline="0"/>
        </a:p>
        <a:p>
          <a:r>
            <a:rPr lang="nb-NO" b="1" baseline="0"/>
            <a:t>Søndag</a:t>
          </a:r>
          <a:r>
            <a:rPr lang="nb-NO" baseline="0"/>
            <a:t>: Jobbet med </a:t>
          </a:r>
          <a:r>
            <a:rPr lang="nb-NO" sz="1100">
              <a:solidFill>
                <a:schemeClr val="tx1"/>
              </a:solidFill>
              <a:effectLst/>
              <a:latin typeface="+mn-lt"/>
              <a:ea typeface="+mn-ea"/>
              <a:cs typeface="+mn-cs"/>
            </a:rPr>
            <a:t>JsonDeserializer, og json felt fra databasen. </a:t>
          </a:r>
          <a:r>
            <a:rPr lang="nb-NO" sz="1100" b="0" baseline="0">
              <a:solidFill>
                <a:schemeClr val="tx1"/>
              </a:solidFill>
              <a:effectLst/>
              <a:latin typeface="+mn-lt"/>
              <a:ea typeface="+mn-ea"/>
              <a:cs typeface="+mn-cs"/>
            </a:rPr>
            <a:t>Klarte endelig å få objekt json_decode() til å fungere. Emne objekt blir deserialisert riktig. </a:t>
          </a:r>
          <a:r>
            <a:rPr lang="nb-NO" baseline="0"/>
            <a:t>Flyttet noe logikk fra administreringRettigheter til DatabaseQuery i updateRettigheter().</a:t>
          </a:r>
        </a:p>
        <a:p>
          <a:pPr algn="l"/>
          <a:r>
            <a:rPr lang="nb-NO" b="1" baseline="0"/>
            <a:t>Refleksjoner: </a:t>
          </a:r>
          <a:r>
            <a:rPr lang="nb-NO" b="0" baseline="0"/>
            <a:t>Håper vi klarer å bli ferdig med alle aktiviteter før Sprint 5 starter. Har også eksamen uka som kommer og blir mindre jobb med faget fra starten mot midten av uka. Skal bare jobbe videre f.o.m onsdag t.o.m søndag og bli ferdig med påbegynte aktiviteter.</a:t>
          </a:r>
        </a:p>
        <a:p>
          <a:endParaRPr lang="nb-NO" b="0" baseline="0"/>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0</xdr:colOff>
      <xdr:row>24</xdr:row>
      <xdr:rowOff>10742</xdr:rowOff>
    </xdr:from>
    <xdr:ext cx="6911731" cy="5989194"/>
    <xdr:sp macro="" textlink="">
      <xdr:nvSpPr>
        <xdr:cNvPr id="2" name="TekstSylinder 1">
          <a:extLst>
            <a:ext uri="{FF2B5EF4-FFF2-40B4-BE49-F238E27FC236}">
              <a16:creationId xmlns:a16="http://schemas.microsoft.com/office/drawing/2014/main" id="{4ACF8553-3A47-4FB7-89EF-D5CE087237A4}"/>
            </a:ext>
          </a:extLst>
        </xdr:cNvPr>
        <xdr:cNvSpPr txBox="1"/>
      </xdr:nvSpPr>
      <xdr:spPr>
        <a:xfrm>
          <a:off x="0" y="3896942"/>
          <a:ext cx="6911731" cy="5989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4 - tredje uke) </a:t>
          </a:r>
          <a:r>
            <a:rPr lang="nb-NO" baseline="0"/>
            <a:t>: </a:t>
          </a:r>
          <a:r>
            <a:rPr lang="nb-NO" sz="1100" baseline="0">
              <a:solidFill>
                <a:schemeClr val="tx1"/>
              </a:solidFill>
              <a:effectLst/>
              <a:latin typeface="+mn-lt"/>
              <a:ea typeface="+mn-ea"/>
              <a:cs typeface="+mn-cs"/>
            </a:rPr>
            <a:t>Adrian Chirita</a:t>
          </a:r>
          <a:endParaRPr lang="nb-NO" baseline="0"/>
        </a:p>
        <a:p>
          <a:r>
            <a:rPr lang="nb-NO" u="none" baseline="0"/>
            <a:t>	</a:t>
          </a:r>
          <a:r>
            <a:rPr lang="nb-NO" u="sng" baseline="0"/>
            <a:t>Backend</a:t>
          </a:r>
          <a:r>
            <a:rPr lang="nb-NO" baseline="0"/>
            <a:t> : </a:t>
          </a:r>
          <a:r>
            <a:rPr lang="nb-NO" sz="1100" baseline="0">
              <a:solidFill>
                <a:schemeClr val="tx1"/>
              </a:solidFill>
              <a:effectLst/>
              <a:latin typeface="+mn-lt"/>
              <a:ea typeface="+mn-ea"/>
              <a:cs typeface="+mn-cs"/>
            </a:rPr>
            <a:t>Eivind Blom Eriksen</a:t>
          </a:r>
          <a:r>
            <a:rPr lang="nb-NO" baseline="0"/>
            <a:t>, Adrian Chirita, Martin Mikalsen, Eivind Blom Erikse,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a:t>
          </a:r>
          <a:endParaRPr lang="nb-NO" baseline="0"/>
        </a:p>
        <a:p>
          <a:r>
            <a:rPr lang="nb-NO" u="none" baseline="0"/>
            <a:t>	</a:t>
          </a:r>
          <a:r>
            <a:rPr lang="nb-NO" u="sng" baseline="0"/>
            <a:t>Frontend</a:t>
          </a:r>
          <a:r>
            <a:rPr lang="nb-NO" baseline="0"/>
            <a:t> : Alexander Hansen, Joachim Kristensen</a:t>
          </a:r>
        </a:p>
        <a:p>
          <a:pPr marL="0" marR="0" lvl="0" indent="0" defTabSz="914400" eaLnBrk="1" fontAlgn="auto" latinLnBrk="0" hangingPunct="1">
            <a:lnSpc>
              <a:spcPct val="100000"/>
            </a:lnSpc>
            <a:spcBef>
              <a:spcPts val="0"/>
            </a:spcBef>
            <a:spcAft>
              <a:spcPts val="0"/>
            </a:spcAft>
            <a:buClrTx/>
            <a:buSzTx/>
            <a:buFontTx/>
            <a:buNone/>
            <a:tabLst/>
            <a:defRPr/>
          </a:pPr>
          <a:r>
            <a:rPr lang="nb-NO" sz="1100" b="1">
              <a:solidFill>
                <a:schemeClr val="tx1"/>
              </a:solidFill>
              <a:effectLst/>
              <a:latin typeface="+mn-lt"/>
              <a:ea typeface="+mn-ea"/>
              <a:cs typeface="+mn-cs"/>
            </a:rPr>
            <a:t>Roller</a:t>
          </a:r>
          <a:r>
            <a:rPr lang="nb-NO" sz="1100" b="1" baseline="0">
              <a:solidFill>
                <a:schemeClr val="tx1"/>
              </a:solidFill>
              <a:effectLst/>
              <a:latin typeface="+mn-lt"/>
              <a:ea typeface="+mn-ea"/>
              <a:cs typeface="+mn-cs"/>
            </a:rPr>
            <a:t> neste uke</a:t>
          </a:r>
          <a:r>
            <a:rPr lang="nb-NO" sz="1100" baseline="0">
              <a:solidFill>
                <a:schemeClr val="tx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nb-NO" sz="1100" baseline="0">
              <a:solidFill>
                <a:schemeClr val="tx1"/>
              </a:solidFill>
              <a:effectLst/>
              <a:latin typeface="+mn-lt"/>
              <a:ea typeface="+mn-ea"/>
              <a:cs typeface="+mn-cs"/>
            </a:rPr>
            <a:t>	</a:t>
          </a:r>
          <a:r>
            <a:rPr lang="nb-NO" sz="1100" u="sng" baseline="0">
              <a:solidFill>
                <a:schemeClr val="tx1"/>
              </a:solidFill>
              <a:effectLst/>
              <a:latin typeface="+mn-lt"/>
              <a:ea typeface="+mn-ea"/>
              <a:cs typeface="+mn-cs"/>
            </a:rPr>
            <a:t>Scrum master (Sprint 5 - første uke) </a:t>
          </a:r>
          <a:r>
            <a:rPr lang="nb-NO" sz="1100" baseline="0">
              <a:solidFill>
                <a:schemeClr val="tx1"/>
              </a:solidFill>
              <a:effectLst/>
              <a:latin typeface="+mn-lt"/>
              <a:ea typeface="+mn-ea"/>
              <a:cs typeface="+mn-cs"/>
            </a:rPr>
            <a:t>: Adrian Chirita</a:t>
          </a:r>
          <a:endParaRPr lang="nb-NO">
            <a:effectLst/>
          </a:endParaRPr>
        </a:p>
        <a:p>
          <a:endParaRPr lang="nb-NO" baseline="0"/>
        </a:p>
        <a:p>
          <a:r>
            <a:rPr lang="nb-NO" b="1" baseline="0"/>
            <a:t>Mandag: </a:t>
          </a:r>
          <a:r>
            <a:rPr lang="nb-NO" b="0" baseline="0"/>
            <a:t>Scrum møte idag der vi snakket om hva vi jobbet med og hva vi skal gjøre denne uka.</a:t>
          </a:r>
          <a:endParaRPr lang="nb-NO" b="1" baseline="0"/>
        </a:p>
        <a:p>
          <a:r>
            <a:rPr lang="nb-NO" b="1" baseline="0"/>
            <a:t>Tirsdag: </a:t>
          </a:r>
          <a:r>
            <a:rPr lang="nb-NO" b="0" baseline="0"/>
            <a:t>Leste om assosiative array for å finne ut hvordan bli kvitt kolone/ unset nøkkel. Brukte fetchColumn() får å hente data. Laget metoder og variabler, forrigeEmneVersjon, forrigeUndervisningSted, osv.</a:t>
          </a:r>
          <a:endParaRPr lang="nb-NO" b="1" baseline="0"/>
        </a:p>
        <a:p>
          <a:r>
            <a:rPr lang="nb-NO" b="1" baseline="0"/>
            <a:t>Torsdag: </a:t>
          </a:r>
          <a:r>
            <a:rPr lang="nb-NO" b="0" baseline="0"/>
            <a:t>Scrum møte idag. </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Lørdag</a:t>
          </a:r>
          <a:r>
            <a:rPr lang="nb-NO" baseline="0"/>
            <a:t>: </a:t>
          </a:r>
          <a:r>
            <a:rPr lang="nb-NO" sz="1100" b="0" baseline="0">
              <a:solidFill>
                <a:schemeClr val="tx1"/>
              </a:solidFill>
              <a:effectLst/>
              <a:latin typeface="+mn-lt"/>
              <a:ea typeface="+mn-ea"/>
              <a:cs typeface="+mn-cs"/>
            </a:rPr>
            <a:t>Scrum møte idag. </a:t>
          </a:r>
          <a:r>
            <a:rPr lang="nb-NO" sz="1100" baseline="0">
              <a:solidFill>
                <a:schemeClr val="tx1"/>
              </a:solidFill>
              <a:effectLst/>
              <a:latin typeface="+mn-lt"/>
              <a:ea typeface="+mn-ea"/>
              <a:cs typeface="+mn-cs"/>
            </a:rPr>
            <a:t>Introdusert forrigeVersjon i både database tabeller og klasser : AnbefaltForkunnskapsKrav, ArbeidsKra, Emne, EmneNavn, ForkunnskapsKrav, LæringsResultat, NettstudentTilbud, UndervisningsSted. Alle klasser extender JsonDeserializer og alle variabler er satt til public. forrigeVersjon hentes men det er litt mer enn jeg hadde forventet å fikse. Leste om ajax live search med php og mysql , hvordan man kan få det til.Laget generiske query funksjoner som skal brukes når forrigeVersjon av de forskjellige tabellene hentes, oppretes og slettes fra databasen. Måtte også opprette ekstra funksjoner i databaseQuery.</a:t>
          </a:r>
          <a:endParaRPr lang="nb-NO">
            <a:effectLst/>
          </a:endParaRPr>
        </a:p>
        <a:p>
          <a:pPr eaLnBrk="1" fontAlgn="auto" latinLnBrk="0" hangingPunct="1"/>
          <a:r>
            <a:rPr lang="nb-NO" sz="1100" baseline="0">
              <a:solidFill>
                <a:schemeClr val="tx1"/>
              </a:solidFill>
              <a:effectLst/>
              <a:latin typeface="+mn-lt"/>
              <a:ea typeface="+mn-ea"/>
              <a:cs typeface="+mn-cs"/>
            </a:rPr>
            <a:t>Prøvde ny funksjonalitet  ajax.twig, ajaxSearch.js, ajaxSearch.php som kan brukes til live search direkte ifra databasen. Det fungerer men må endres slik at html og php kode er ikke i samme fil.</a:t>
          </a:r>
          <a:endParaRPr lang="nb-NO">
            <a:effectLst/>
          </a:endParaRPr>
        </a:p>
        <a:p>
          <a:pPr eaLnBrk="1" fontAlgn="auto" latinLnBrk="0" hangingPunct="1"/>
          <a:r>
            <a:rPr lang="nb-NO" sz="1100" baseline="0">
              <a:solidFill>
                <a:schemeClr val="tx1"/>
              </a:solidFill>
              <a:effectLst/>
              <a:latin typeface="+mn-lt"/>
              <a:ea typeface="+mn-ea"/>
              <a:cs typeface="+mn-cs"/>
            </a:rPr>
            <a:t>Fikset funksjonalitet i Administrering sida slik at når admin endrer rettigheter til en bruker vises bare den bruker og ikke alle. Måtte dele administreringRettigheter.twig i to for bedre kontroll over variabler som blir sendt (den 'ser' hvis det er en bruker eller flere å vise).</a:t>
          </a:r>
          <a:endParaRPr lang="nb-NO">
            <a:effectLst/>
          </a:endParaRPr>
        </a:p>
        <a:p>
          <a:pPr eaLnBrk="1" fontAlgn="auto" latinLnBrk="0" hangingPunct="1"/>
          <a:r>
            <a:rPr lang="nb-NO" sz="1100" baseline="0">
              <a:solidFill>
                <a:schemeClr val="tx1"/>
              </a:solidFill>
              <a:effectLst/>
              <a:latin typeface="+mn-lt"/>
              <a:ea typeface="+mn-ea"/>
              <a:cs typeface="+mn-cs"/>
            </a:rPr>
            <a:t>Laget en drop-down liste for å kunne endre fakultet til brukere. Kode er også implementert i backend.. Aktivitet 16.2  , 16.4 , 16.5 , 16.6 er ferdige nå.</a:t>
          </a:r>
          <a:endParaRPr lang="nb-NO">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nb-NO" b="1" baseline="0"/>
            <a:t>Søndag</a:t>
          </a:r>
          <a:r>
            <a:rPr lang="nb-NO" baseline="0"/>
            <a:t>: </a:t>
          </a:r>
          <a:r>
            <a:rPr lang="nb-NO" sz="1100" baseline="0">
              <a:solidFill>
                <a:schemeClr val="tx1"/>
              </a:solidFill>
              <a:effectLst/>
              <a:latin typeface="+mn-lt"/>
              <a:ea typeface="+mn-ea"/>
              <a:cs typeface="+mn-cs"/>
            </a:rPr>
            <a:t>visEmne.twig og visForrigeEmneVer.twig lagt til ekstra knapper i begge filer.</a:t>
          </a:r>
          <a:endParaRPr lang="nb-NO">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nb-NO" baseline="0"/>
            <a:t>Jobb med innlevering denne Sprinten. Måtte endre tabeller for å tilpasse til 3 uker og sette inn aktiviteter fra forrige Sprint. Lage BurnDown og BurnUp.</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Refleksjoner: </a:t>
          </a:r>
          <a:r>
            <a:rPr lang="nb-NO" b="0" baseline="0"/>
            <a:t>Brukte mye tid på feilsøkning av PHPStorm denne uka. Endte opp med å slette hele prosjektet fra pcen , instillinger og alt flere ganger. Kopierte filer frem og tilbake i prosjektet og endret fil path overalt. Alt dette på grunn av at jeg fikk en session_destroy() feil . Feilen skjedde på grunn av at base.php bruker en autoload funksjon som laster inn alle classer. Men hvis en klasse extends en annen klasse så får den en locked status. Deretter når jeg prøvde å extende samme klasse fikk jeg den rare feil meldingen. Måtte finne ut av dette ved å lime inn kode manuelt og lage en kopi versjon av abstrakt klassen å sjekke om det går ann å extende den. Skuffet over automatisering i Excel, funker bra men mangler en del ting.</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0</xdr:colOff>
      <xdr:row>26</xdr:row>
      <xdr:rowOff>10741</xdr:rowOff>
    </xdr:from>
    <xdr:ext cx="6911731" cy="5687977"/>
    <xdr:sp macro="" textlink="">
      <xdr:nvSpPr>
        <xdr:cNvPr id="2" name="TekstSylinder 1">
          <a:extLst>
            <a:ext uri="{FF2B5EF4-FFF2-40B4-BE49-F238E27FC236}">
              <a16:creationId xmlns:a16="http://schemas.microsoft.com/office/drawing/2014/main" id="{A4E7FE32-E3C8-40F3-822E-7CFBF47A5FD2}"/>
            </a:ext>
          </a:extLst>
        </xdr:cNvPr>
        <xdr:cNvSpPr txBox="1"/>
      </xdr:nvSpPr>
      <xdr:spPr>
        <a:xfrm>
          <a:off x="0" y="4220791"/>
          <a:ext cx="6911731" cy="56879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5 - første uke) </a:t>
          </a:r>
          <a:r>
            <a:rPr lang="nb-NO" baseline="0"/>
            <a:t>: </a:t>
          </a:r>
          <a:r>
            <a:rPr lang="nb-NO" sz="1100" baseline="0">
              <a:solidFill>
                <a:schemeClr val="tx1"/>
              </a:solidFill>
              <a:effectLst/>
              <a:latin typeface="+mn-lt"/>
              <a:ea typeface="+mn-ea"/>
              <a:cs typeface="+mn-cs"/>
            </a:rPr>
            <a:t>Adrian Chirita</a:t>
          </a:r>
          <a:endParaRPr lang="nb-NO" baseline="0"/>
        </a:p>
        <a:p>
          <a:r>
            <a:rPr lang="nb-NO" u="none" baseline="0"/>
            <a:t>	</a:t>
          </a:r>
          <a:r>
            <a:rPr lang="nb-NO" u="sng" baseline="0"/>
            <a:t>Backend og Frontend</a:t>
          </a:r>
          <a:r>
            <a:rPr lang="nb-NO" baseline="0"/>
            <a:t> : </a:t>
          </a:r>
          <a:r>
            <a:rPr lang="nb-NO" sz="1100" baseline="0">
              <a:solidFill>
                <a:schemeClr val="tx1"/>
              </a:solidFill>
              <a:effectLst/>
              <a:latin typeface="+mn-lt"/>
              <a:ea typeface="+mn-ea"/>
              <a:cs typeface="+mn-cs"/>
            </a:rPr>
            <a:t>Eivind Blom Eriksen</a:t>
          </a:r>
          <a:r>
            <a:rPr lang="nb-NO" baseline="0"/>
            <a:t>, Adrian Chirita, Martin Mikalsen, Simonsen Vegard,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 </a:t>
          </a:r>
          <a:r>
            <a:rPr lang="nb-NO" baseline="0"/>
            <a:t> Alexander Hansen, Joachim Kristensen</a:t>
          </a:r>
        </a:p>
        <a:p>
          <a:pPr marL="0" marR="0" lvl="0" indent="0" defTabSz="914400" eaLnBrk="1" fontAlgn="auto" latinLnBrk="0" hangingPunct="1">
            <a:lnSpc>
              <a:spcPct val="100000"/>
            </a:lnSpc>
            <a:spcBef>
              <a:spcPts val="0"/>
            </a:spcBef>
            <a:spcAft>
              <a:spcPts val="0"/>
            </a:spcAft>
            <a:buClrTx/>
            <a:buSzTx/>
            <a:buFontTx/>
            <a:buNone/>
            <a:tabLst/>
            <a:defRPr/>
          </a:pPr>
          <a:r>
            <a:rPr lang="nb-NO" sz="1100" b="1">
              <a:solidFill>
                <a:schemeClr val="tx1"/>
              </a:solidFill>
              <a:effectLst/>
              <a:latin typeface="+mn-lt"/>
              <a:ea typeface="+mn-ea"/>
              <a:cs typeface="+mn-cs"/>
            </a:rPr>
            <a:t>Roller</a:t>
          </a:r>
          <a:r>
            <a:rPr lang="nb-NO" sz="1100" b="1" baseline="0">
              <a:solidFill>
                <a:schemeClr val="tx1"/>
              </a:solidFill>
              <a:effectLst/>
              <a:latin typeface="+mn-lt"/>
              <a:ea typeface="+mn-ea"/>
              <a:cs typeface="+mn-cs"/>
            </a:rPr>
            <a:t> neste uke</a:t>
          </a:r>
          <a:r>
            <a:rPr lang="nb-NO" sz="1100" baseline="0">
              <a:solidFill>
                <a:schemeClr val="tx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nb-NO" sz="1100" baseline="0">
              <a:solidFill>
                <a:schemeClr val="tx1"/>
              </a:solidFill>
              <a:effectLst/>
              <a:latin typeface="+mn-lt"/>
              <a:ea typeface="+mn-ea"/>
              <a:cs typeface="+mn-cs"/>
            </a:rPr>
            <a:t>	</a:t>
          </a:r>
          <a:r>
            <a:rPr lang="nb-NO" sz="1100" u="sng" baseline="0">
              <a:solidFill>
                <a:schemeClr val="tx1"/>
              </a:solidFill>
              <a:effectLst/>
              <a:latin typeface="+mn-lt"/>
              <a:ea typeface="+mn-ea"/>
              <a:cs typeface="+mn-cs"/>
            </a:rPr>
            <a:t>Scrum master (Sprint 5 - andre uke) </a:t>
          </a:r>
          <a:r>
            <a:rPr lang="nb-NO" sz="1100" baseline="0">
              <a:solidFill>
                <a:schemeClr val="tx1"/>
              </a:solidFill>
              <a:effectLst/>
              <a:latin typeface="+mn-lt"/>
              <a:ea typeface="+mn-ea"/>
              <a:cs typeface="+mn-cs"/>
            </a:rPr>
            <a:t>: Simonsen Vegard</a:t>
          </a:r>
          <a:endParaRPr lang="nb-NO">
            <a:effectLst/>
          </a:endParaRPr>
        </a:p>
        <a:p>
          <a:endParaRPr lang="nb-NO" baseline="0"/>
        </a:p>
        <a:p>
          <a:r>
            <a:rPr lang="nb-NO" b="1" baseline="0"/>
            <a:t>Mandag: </a:t>
          </a:r>
          <a:r>
            <a:rPr lang="nb-NO" b="0" baseline="0"/>
            <a:t>Vi hadde Scrum møte der vi så på hva vi skal gjøre videre og hva vi skal vise til sprint review. Så jobbet jeg med excel. Laget ny dokument der alt info om alle team medlemmer hentes fra timelister etter uke nr. og  backlog item nr. Laget ny burn-down og burn-up til Sprint 4.</a:t>
          </a:r>
        </a:p>
        <a:p>
          <a:r>
            <a:rPr lang="nb-NO" sz="1100" b="1" baseline="0">
              <a:solidFill>
                <a:schemeClr val="tx1"/>
              </a:solidFill>
              <a:effectLst/>
              <a:latin typeface="+mn-lt"/>
              <a:ea typeface="+mn-ea"/>
              <a:cs typeface="+mn-cs"/>
            </a:rPr>
            <a:t>Tirsdag: </a:t>
          </a:r>
          <a:r>
            <a:rPr lang="nb-NO" sz="1100" b="0" baseline="0">
              <a:solidFill>
                <a:schemeClr val="tx1"/>
              </a:solidFill>
              <a:effectLst/>
              <a:latin typeface="+mn-lt"/>
              <a:ea typeface="+mn-ea"/>
              <a:cs typeface="+mn-cs"/>
            </a:rPr>
            <a:t>Laget ny excel tabell som viser oversikt for alle sprint og bruker data fra hjelpe tabeller laget igår. Laget  burn-down og burn-up til som inkluderer alle Sprint ; alle formler måte endres pga endringer i tabell struktur. J</a:t>
          </a:r>
          <a:r>
            <a:rPr lang="nb-NO" b="0" baseline="0"/>
            <a:t>obbet med innlevering laget Sprint 5 start fra bunnen av sjekket sprint 4 slutt og gjorde nødvendige endringer, laget pert diagram og avhengighets tabell. Så gjennom alle timelister i onedrive, sjekket alle aktiviteter og fant noe som ikke var med i tabeller pga rad nr. som varierer i timelister eller pga at aktivitet navn ikke var lik navn vi hadde i sprint backlog.</a:t>
          </a:r>
        </a:p>
        <a:p>
          <a:r>
            <a:rPr lang="nb-NO" sz="1100" b="1" baseline="0">
              <a:solidFill>
                <a:schemeClr val="tx1"/>
              </a:solidFill>
              <a:effectLst/>
              <a:latin typeface="+mn-lt"/>
              <a:ea typeface="+mn-ea"/>
              <a:cs typeface="+mn-cs"/>
            </a:rPr>
            <a:t>Torsdag</a:t>
          </a:r>
          <a:r>
            <a:rPr lang="nb-NO" sz="1100" b="0" baseline="0">
              <a:solidFill>
                <a:schemeClr val="tx1"/>
              </a:solidFill>
              <a:effectLst/>
              <a:latin typeface="+mn-lt"/>
              <a:ea typeface="+mn-ea"/>
              <a:cs typeface="+mn-cs"/>
            </a:rPr>
            <a:t>:</a:t>
          </a:r>
          <a:r>
            <a:rPr lang="nb-NO" b="0" baseline="0"/>
            <a:t> To timer før scrum møte jobbet jeg med funksjoner relatert til json serialisering av tabeller, sette inn data i databasen, oppdatere verdi på forrigeVersjon. En del tid brukt unødvendig pga at funksjoner som skulle  fungert generisk for alle tabeller ikke passer helt med tabell id kolone som data er filtrert etter. Da måtte jeg bruke individuell tilpaset funksjoner. En god del igjen å gjøre. Etter møte jobbet jeg , alex og joachim med live search /ajax/ php i opprettte emne - forkunnskap feltet. Vi så en del på video/ teori relatert til oppgaven og fikset koden slik at </a:t>
          </a:r>
        </a:p>
        <a:p>
          <a:r>
            <a:rPr lang="nb-NO" b="0" baseline="0"/>
            <a:t>den funker.</a:t>
          </a:r>
        </a:p>
        <a:p>
          <a:r>
            <a:rPr lang="nb-NO" b="1" baseline="0"/>
            <a:t>Fredag</a:t>
          </a:r>
          <a:r>
            <a:rPr lang="nb-NO" b="0" baseline="0"/>
            <a:t>: Jobbet med Alex og fikset en del av live search js og php kode slik at vis mer funksjonen funker som forventet.</a:t>
          </a:r>
        </a:p>
        <a:p>
          <a:r>
            <a:rPr lang="nb-NO" b="1" baseline="0"/>
            <a:t>Lørdag:</a:t>
          </a:r>
          <a:r>
            <a:rPr lang="nb-NO" b="0" baseline="0"/>
            <a:t> Scrum møte. Etter møte laget StudieRetning tabell i databasen med Anders.</a:t>
          </a:r>
        </a:p>
        <a:p>
          <a:r>
            <a:rPr lang="nb-NO" b="1" baseline="0"/>
            <a:t>Søndag</a:t>
          </a:r>
          <a:r>
            <a:rPr lang="nb-NO" b="0" baseline="0"/>
            <a:t> : Fikset forkunnskap array som sendes til php, endret kode i databasequery, oprettEmne.js og opprettEmne.twig sammen med Alex. Fikset med Anders databsen slik at data fra undervisningssted og alle andre barne-tabeller slettes når emne slettes (vi brukte triggers). Så jobbet jeg med forrigeVersjon i emne og  forrige emne. Den vises riktig nå. Endret også database query slik at vi kan sende null verider i oppdatering av emne når vi trenger å oppdatere bare noen tabeller.</a:t>
          </a:r>
          <a:r>
            <a:rPr lang="nb-NO" baseline="0"/>
            <a:t> </a:t>
          </a:r>
        </a:p>
        <a:p>
          <a:pPr marL="0" marR="0" lvl="0" indent="0" defTabSz="914400" eaLnBrk="1" fontAlgn="auto" latinLnBrk="0" hangingPunct="1">
            <a:lnSpc>
              <a:spcPct val="100000"/>
            </a:lnSpc>
            <a:spcBef>
              <a:spcPts val="0"/>
            </a:spcBef>
            <a:spcAft>
              <a:spcPts val="0"/>
            </a:spcAft>
            <a:buClrTx/>
            <a:buSzTx/>
            <a:buFontTx/>
            <a:buNone/>
            <a:tabLst/>
            <a:defRPr/>
          </a:pPr>
          <a:r>
            <a:rPr lang="nb-NO" b="1" baseline="0"/>
            <a:t>Refleksjoner</a:t>
          </a:r>
          <a:r>
            <a:rPr lang="nb-NO" b="1" i="1" baseline="0"/>
            <a:t>: </a:t>
          </a:r>
          <a:r>
            <a:rPr lang="nb-NO" b="0" i="0" baseline="0"/>
            <a:t>Ser behovet for en test aktivitet til å sette timer fra Sprint 5. Det blir mye jobb  med aktiviteter som vi tenkte var ferdige pga ekstra funksjonalitet som må implementeres, enten fordi det trengs i en annen aktivitet eller kunde trenger den spesifiske funksjonaliteten.</a:t>
          </a:r>
          <a:endParaRPr lang="nb-NO" b="0" baseline="0"/>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0</xdr:colOff>
      <xdr:row>19</xdr:row>
      <xdr:rowOff>10741</xdr:rowOff>
    </xdr:from>
    <xdr:ext cx="6911731" cy="3400348"/>
    <xdr:sp macro="" textlink="">
      <xdr:nvSpPr>
        <xdr:cNvPr id="2" name="TekstSylinder 1">
          <a:extLst>
            <a:ext uri="{FF2B5EF4-FFF2-40B4-BE49-F238E27FC236}">
              <a16:creationId xmlns:a16="http://schemas.microsoft.com/office/drawing/2014/main" id="{061A6BCB-02E3-4B3E-A15C-3F604F8225DC}"/>
            </a:ext>
          </a:extLst>
        </xdr:cNvPr>
        <xdr:cNvSpPr txBox="1"/>
      </xdr:nvSpPr>
      <xdr:spPr>
        <a:xfrm>
          <a:off x="0" y="3087316"/>
          <a:ext cx="6911731" cy="3400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5 - andre uke) </a:t>
          </a:r>
          <a:r>
            <a:rPr lang="nb-NO" baseline="0"/>
            <a:t>: </a:t>
          </a:r>
          <a:r>
            <a:rPr lang="nb-NO" sz="1100" baseline="0">
              <a:solidFill>
                <a:schemeClr val="tx1"/>
              </a:solidFill>
              <a:effectLst/>
              <a:latin typeface="+mn-lt"/>
              <a:ea typeface="+mn-ea"/>
              <a:cs typeface="+mn-cs"/>
            </a:rPr>
            <a:t>Simonsen Vegard</a:t>
          </a:r>
          <a:endParaRPr lang="nb-NO" baseline="0"/>
        </a:p>
        <a:p>
          <a:r>
            <a:rPr lang="nb-NO" u="none" baseline="0"/>
            <a:t>	</a:t>
          </a:r>
          <a:r>
            <a:rPr lang="nb-NO" u="sng" baseline="0"/>
            <a:t>Backend og Frontend</a:t>
          </a:r>
          <a:r>
            <a:rPr lang="nb-NO" baseline="0"/>
            <a:t> : </a:t>
          </a:r>
          <a:r>
            <a:rPr lang="nb-NO" sz="1100" baseline="0">
              <a:solidFill>
                <a:schemeClr val="tx1"/>
              </a:solidFill>
              <a:effectLst/>
              <a:latin typeface="+mn-lt"/>
              <a:ea typeface="+mn-ea"/>
              <a:cs typeface="+mn-cs"/>
            </a:rPr>
            <a:t>Eivind Blom Eriksen</a:t>
          </a:r>
          <a:r>
            <a:rPr lang="nb-NO" baseline="0"/>
            <a:t>, Adrian Chirita, Martin Mikalsen, Simonsen Vegard,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 </a:t>
          </a:r>
          <a:r>
            <a:rPr lang="nb-NO" baseline="0"/>
            <a:t> Alexander Hansen, Joachim Kristensen</a:t>
          </a:r>
        </a:p>
        <a:p>
          <a:endParaRPr lang="nb-NO" baseline="0"/>
        </a:p>
        <a:p>
          <a:r>
            <a:rPr lang="nb-NO" b="1" baseline="0"/>
            <a:t>Mandag: </a:t>
          </a:r>
          <a:r>
            <a:rPr lang="nb-NO" b="0" baseline="0"/>
            <a:t>Gjort noen endringer i get og set forrigeVersjon. Muligens kan metodene forkortes videre men usikker siden det er en del avhengigheter i tabeller som kan være vanskelig å håndtere. Scrum-møte idag.</a:t>
          </a:r>
        </a:p>
        <a:p>
          <a:endParaRPr lang="nb-NO" b="1" baseline="0"/>
        </a:p>
        <a:p>
          <a:r>
            <a:rPr lang="nb-NO" b="1" baseline="0"/>
            <a:t>Torsdag: </a:t>
          </a:r>
          <a:r>
            <a:rPr lang="nb-NO" b="0" baseline="0"/>
            <a:t>Scrum møte idag.</a:t>
          </a:r>
        </a:p>
        <a:p>
          <a:endParaRPr lang="nb-NO" b="1" baseline="0"/>
        </a:p>
        <a:p>
          <a:r>
            <a:rPr lang="nb-NO" b="1" baseline="0"/>
            <a:t>Lørdag: </a:t>
          </a:r>
          <a:r>
            <a:rPr lang="nb-NO" b="0" baseline="0"/>
            <a:t>Endret hilitor.js slik at nye instanser kan opprettes uten å miste tidligere merkeringer. Laget en ny script i VisForrigeEmneVer.twig som introduserer både id og klassenavn dinamisk i alle felt der text sammenlignes. Etterpå begynner skriptet å sammenligne venstre mot høyre sida og motsatt og lagrer ord som er uniqe. En ny instans av hilitor opprettes med nåværende venstre element id og så brukes .apply funksjon på alle ord som finnes på venstre men ikke høyre og motsatt. Vi hadde Scrum-møte. Etterpå jobbet jeg litt sammen med Anders.</a:t>
          </a:r>
        </a:p>
        <a:p>
          <a:endParaRPr lang="nb-NO" b="0" baseline="0"/>
        </a:p>
        <a:p>
          <a:r>
            <a:rPr lang="nb-NO" b="1" baseline="0"/>
            <a:t>Refleksjoner</a:t>
          </a:r>
          <a:r>
            <a:rPr lang="nb-NO" b="1" i="1" baseline="0"/>
            <a:t>: </a:t>
          </a:r>
          <a:r>
            <a:rPr lang="nb-NO" b="0" i="0" baseline="0"/>
            <a:t>Denne uka måtte jeg jobbe veldig mye med prosjekt i databaser og webapplikasjoner 1. Klarte uannset å fikse markering av forskjeller mellom forrige og nyeste versjon av emne ved å bruke en ganske tidsbesparende løsning.   </a:t>
          </a:r>
        </a:p>
        <a:p>
          <a:endParaRPr lang="nb-NO" b="0" baseline="0"/>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29</xdr:row>
      <xdr:rowOff>10741</xdr:rowOff>
    </xdr:from>
    <xdr:ext cx="6911731" cy="3400348"/>
    <xdr:sp macro="" textlink="">
      <xdr:nvSpPr>
        <xdr:cNvPr id="2" name="TekstSylinder 1">
          <a:extLst>
            <a:ext uri="{FF2B5EF4-FFF2-40B4-BE49-F238E27FC236}">
              <a16:creationId xmlns:a16="http://schemas.microsoft.com/office/drawing/2014/main" id="{509D634D-0B37-4369-B4AE-D6DF1801674B}"/>
            </a:ext>
          </a:extLst>
        </xdr:cNvPr>
        <xdr:cNvSpPr txBox="1"/>
      </xdr:nvSpPr>
      <xdr:spPr>
        <a:xfrm>
          <a:off x="0" y="4706566"/>
          <a:ext cx="6911731" cy="3400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b="1" u="none"/>
            <a:t>Roller</a:t>
          </a:r>
          <a:r>
            <a:rPr lang="nb-NO" b="1" u="none" baseline="0"/>
            <a:t> denne uken</a:t>
          </a:r>
          <a:r>
            <a:rPr lang="nb-NO" u="none" baseline="0"/>
            <a:t>:</a:t>
          </a:r>
          <a:endParaRPr lang="nb-NO" baseline="0"/>
        </a:p>
        <a:p>
          <a:r>
            <a:rPr lang="nb-NO" u="none" baseline="0"/>
            <a:t>	</a:t>
          </a:r>
          <a:r>
            <a:rPr lang="nb-NO" u="sng" baseline="0"/>
            <a:t>Scrum master (Sprint 5 - tredje uke) </a:t>
          </a:r>
          <a:r>
            <a:rPr lang="nb-NO" baseline="0"/>
            <a:t>: </a:t>
          </a:r>
          <a:r>
            <a:rPr lang="nb-NO" sz="1100" baseline="0">
              <a:solidFill>
                <a:schemeClr val="tx1"/>
              </a:solidFill>
              <a:effectLst/>
              <a:latin typeface="+mn-lt"/>
              <a:ea typeface="+mn-ea"/>
              <a:cs typeface="+mn-cs"/>
            </a:rPr>
            <a:t>Simonsen Vegard</a:t>
          </a:r>
          <a:endParaRPr lang="nb-NO" baseline="0"/>
        </a:p>
        <a:p>
          <a:r>
            <a:rPr lang="nb-NO" u="none" baseline="0"/>
            <a:t>	</a:t>
          </a:r>
          <a:r>
            <a:rPr lang="nb-NO" u="sng" baseline="0"/>
            <a:t>Backend og Frontend</a:t>
          </a:r>
          <a:r>
            <a:rPr lang="nb-NO" baseline="0"/>
            <a:t> : </a:t>
          </a:r>
          <a:r>
            <a:rPr lang="nb-NO" sz="1100" baseline="0">
              <a:solidFill>
                <a:schemeClr val="tx1"/>
              </a:solidFill>
              <a:effectLst/>
              <a:latin typeface="+mn-lt"/>
              <a:ea typeface="+mn-ea"/>
              <a:cs typeface="+mn-cs"/>
            </a:rPr>
            <a:t>Eivind Blom Eriksen</a:t>
          </a:r>
          <a:r>
            <a:rPr lang="nb-NO" baseline="0"/>
            <a:t>, Adrian Chirita, Martin Mikalsen, Simonsen Vegard, </a:t>
          </a:r>
          <a:r>
            <a:rPr lang="nb-NO" sz="1100" b="0">
              <a:solidFill>
                <a:schemeClr val="tx1"/>
              </a:solidFill>
              <a:effectLst/>
              <a:latin typeface="+mn-lt"/>
              <a:ea typeface="+mn-ea"/>
              <a:cs typeface="+mn-cs"/>
            </a:rPr>
            <a:t>Anders</a:t>
          </a:r>
          <a:r>
            <a:rPr lang="nb-NO" sz="1100" b="0" baseline="0">
              <a:solidFill>
                <a:schemeClr val="tx1"/>
              </a:solidFill>
              <a:effectLst/>
              <a:latin typeface="+mn-lt"/>
              <a:ea typeface="+mn-ea"/>
              <a:cs typeface="+mn-cs"/>
            </a:rPr>
            <a:t> 		            Rubach Ese, </a:t>
          </a:r>
          <a:r>
            <a:rPr lang="nb-NO" baseline="0"/>
            <a:t> Alexander Hansen, Joachim Kristensen</a:t>
          </a:r>
        </a:p>
        <a:p>
          <a:endParaRPr lang="nb-NO" baseline="0"/>
        </a:p>
        <a:p>
          <a:r>
            <a:rPr lang="nb-NO" b="1" baseline="0"/>
            <a:t>Mandag: </a:t>
          </a:r>
        </a:p>
        <a:p>
          <a:r>
            <a:rPr lang="nb-NO" b="1" baseline="0"/>
            <a:t>Torsdag: </a:t>
          </a:r>
        </a:p>
        <a:p>
          <a:r>
            <a:rPr lang="nb-NO" b="1" baseline="0"/>
            <a:t>Lørdag: </a:t>
          </a:r>
          <a:r>
            <a:rPr lang="nb-NO" b="0" baseline="0"/>
            <a:t>Brukte mer tid enn forventet på ajax live search fordi jeg prøvde å fikse noen error melding som dukket opp pga at URL til nettsida pekte til kark.uit.no istedet for localhost.</a:t>
          </a:r>
        </a:p>
        <a:p>
          <a:r>
            <a:rPr lang="nb-NO" b="1" baseline="0"/>
            <a:t>Refleksjoner</a:t>
          </a:r>
          <a:r>
            <a:rPr lang="nb-NO" b="1" i="1" baseline="0"/>
            <a:t>: </a:t>
          </a:r>
          <a:endParaRPr lang="nb-NO" b="0" baseline="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i_p/Desktop/Timelister%20BurnUp%20BurnDown/Adri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ørst"/>
      <sheetName val="uke_3"/>
      <sheetName val="uke_4"/>
      <sheetName val="uke_5"/>
      <sheetName val="Uke6"/>
      <sheetName val="Uke7"/>
      <sheetName val="Uke8"/>
      <sheetName val="Uke9"/>
      <sheetName val="Uke10"/>
      <sheetName val="Uke11"/>
      <sheetName val="Uke12"/>
      <sheetName val="Uke13"/>
      <sheetName val="Uke14"/>
      <sheetName val="Uke15"/>
      <sheetName val="Uke16"/>
      <sheetName val="Uke17"/>
      <sheetName val="Uke18"/>
      <sheetName val="Uke19"/>
      <sheetName val="Sist"/>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B2" t="str">
            <v>January</v>
          </cell>
          <cell r="C2">
            <v>1</v>
          </cell>
        </row>
        <row r="3">
          <cell r="B3" t="str">
            <v>February</v>
          </cell>
          <cell r="C3">
            <v>2</v>
          </cell>
        </row>
        <row r="4">
          <cell r="B4" t="str">
            <v>March</v>
          </cell>
          <cell r="C4">
            <v>3</v>
          </cell>
        </row>
        <row r="5">
          <cell r="B5" t="str">
            <v>April</v>
          </cell>
          <cell r="C5">
            <v>4</v>
          </cell>
        </row>
        <row r="6">
          <cell r="B6" t="str">
            <v>May</v>
          </cell>
          <cell r="C6">
            <v>5</v>
          </cell>
        </row>
        <row r="7">
          <cell r="B7" t="str">
            <v>June</v>
          </cell>
          <cell r="C7">
            <v>6</v>
          </cell>
        </row>
        <row r="8">
          <cell r="B8" t="str">
            <v>July</v>
          </cell>
          <cell r="C8">
            <v>7</v>
          </cell>
        </row>
        <row r="9">
          <cell r="B9" t="str">
            <v>August</v>
          </cell>
          <cell r="C9">
            <v>8</v>
          </cell>
        </row>
        <row r="10">
          <cell r="B10" t="str">
            <v>September</v>
          </cell>
          <cell r="C10">
            <v>9</v>
          </cell>
        </row>
        <row r="11">
          <cell r="B11" t="str">
            <v>October</v>
          </cell>
          <cell r="C11">
            <v>10</v>
          </cell>
        </row>
        <row r="12">
          <cell r="B12" t="str">
            <v>November</v>
          </cell>
          <cell r="C12">
            <v>11</v>
          </cell>
        </row>
        <row r="13">
          <cell r="B13" t="str">
            <v>December</v>
          </cell>
          <cell r="C13">
            <v>12</v>
          </cell>
        </row>
        <row r="14">
          <cell r="C14">
            <v>13</v>
          </cell>
        </row>
        <row r="15">
          <cell r="C15">
            <v>14</v>
          </cell>
        </row>
        <row r="16">
          <cell r="C16">
            <v>15</v>
          </cell>
        </row>
        <row r="17">
          <cell r="C17">
            <v>16</v>
          </cell>
        </row>
        <row r="18">
          <cell r="C18">
            <v>17</v>
          </cell>
        </row>
        <row r="19">
          <cell r="C19">
            <v>18</v>
          </cell>
        </row>
        <row r="20">
          <cell r="C20">
            <v>19</v>
          </cell>
        </row>
        <row r="21">
          <cell r="C21">
            <v>20</v>
          </cell>
        </row>
        <row r="22">
          <cell r="C22">
            <v>21</v>
          </cell>
        </row>
        <row r="23">
          <cell r="C23">
            <v>22</v>
          </cell>
        </row>
        <row r="24">
          <cell r="C24">
            <v>23</v>
          </cell>
        </row>
        <row r="25">
          <cell r="C25">
            <v>24</v>
          </cell>
        </row>
        <row r="26">
          <cell r="C26">
            <v>25</v>
          </cell>
        </row>
        <row r="27">
          <cell r="C27">
            <v>26</v>
          </cell>
        </row>
        <row r="28">
          <cell r="C28">
            <v>27</v>
          </cell>
        </row>
        <row r="29">
          <cell r="C29">
            <v>28</v>
          </cell>
        </row>
        <row r="30">
          <cell r="C30">
            <v>29</v>
          </cell>
        </row>
        <row r="31">
          <cell r="C31">
            <v>30</v>
          </cell>
        </row>
        <row r="32">
          <cell r="C32">
            <v>31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B6" sqref="B6"/>
    </sheetView>
  </sheetViews>
  <sheetFormatPr baseColWidth="10" defaultColWidth="9" defaultRowHeight="12.75" x14ac:dyDescent="0.2"/>
  <sheetData>
    <row r="6" spans="1:1" x14ac:dyDescent="0.2">
      <c r="A6" s="1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DC4F-FD24-4E93-AB76-666F33ABCFA6}">
  <sheetPr codeName="Ark1"/>
  <dimension ref="A1:I20"/>
  <sheetViews>
    <sheetView topLeftCell="A2" workbookViewId="0">
      <selection activeCell="F3" sqref="F3:F6"/>
    </sheetView>
  </sheetViews>
  <sheetFormatPr baseColWidth="10" defaultRowHeight="15" x14ac:dyDescent="0.25"/>
  <cols>
    <col min="1" max="1" width="11.5" style="109" customWidth="1"/>
    <col min="2" max="3" width="13.375" style="109" customWidth="1"/>
    <col min="4" max="4" width="12.25" style="109" customWidth="1"/>
    <col min="5" max="5" width="25.125" style="109" customWidth="1"/>
    <col min="6" max="8" width="10.125" style="109" customWidth="1"/>
    <col min="9" max="16384" width="11" style="109"/>
  </cols>
  <sheetData>
    <row r="1" spans="1:9" ht="15.75" hidden="1" thickBot="1" x14ac:dyDescent="0.3"/>
    <row r="2" spans="1:9" ht="21.75" thickTop="1" x14ac:dyDescent="0.35">
      <c r="A2" s="345" t="s">
        <v>78</v>
      </c>
      <c r="B2" s="345"/>
      <c r="C2" s="345"/>
      <c r="D2" s="345"/>
      <c r="E2" s="345"/>
    </row>
    <row r="3" spans="1:9" ht="26.25" x14ac:dyDescent="0.25">
      <c r="A3" s="136" t="s">
        <v>0</v>
      </c>
      <c r="B3" s="136" t="s">
        <v>1</v>
      </c>
      <c r="C3" s="135" t="s">
        <v>2</v>
      </c>
      <c r="D3" s="135" t="s">
        <v>77</v>
      </c>
      <c r="E3" s="135" t="s">
        <v>76</v>
      </c>
      <c r="F3" s="607">
        <v>0.23611111111111113</v>
      </c>
      <c r="G3" s="134"/>
    </row>
    <row r="4" spans="1:9" ht="15.75" thickBot="1" x14ac:dyDescent="0.3">
      <c r="A4" s="133">
        <v>43843</v>
      </c>
      <c r="B4" s="133">
        <v>43849</v>
      </c>
      <c r="C4" s="132" t="s">
        <v>75</v>
      </c>
      <c r="D4" s="129">
        <f>SUM(D10:D13)</f>
        <v>0.23611111111111105</v>
      </c>
      <c r="E4" s="129">
        <f>D4</f>
        <v>0.23611111111111105</v>
      </c>
      <c r="F4" s="607">
        <v>0</v>
      </c>
    </row>
    <row r="5" spans="1:9" x14ac:dyDescent="0.25">
      <c r="A5" s="346" t="s">
        <v>74</v>
      </c>
      <c r="B5" s="346" t="s">
        <v>73</v>
      </c>
      <c r="C5" s="131" t="s">
        <v>72</v>
      </c>
      <c r="D5" s="129">
        <v>0</v>
      </c>
      <c r="E5" s="129">
        <f>D5</f>
        <v>0</v>
      </c>
      <c r="F5" s="607">
        <v>0</v>
      </c>
    </row>
    <row r="6" spans="1:9" x14ac:dyDescent="0.25">
      <c r="A6" s="346"/>
      <c r="B6" s="346"/>
      <c r="C6" s="130" t="s">
        <v>71</v>
      </c>
      <c r="D6" s="129">
        <v>0</v>
      </c>
      <c r="E6" s="129">
        <f>D6</f>
        <v>0</v>
      </c>
      <c r="F6" s="607">
        <v>0.1111111111111111</v>
      </c>
    </row>
    <row r="7" spans="1:9" ht="21.75" thickBot="1" x14ac:dyDescent="0.4">
      <c r="A7" s="128">
        <f>SUM(D4:D7)</f>
        <v>0.34722222222222221</v>
      </c>
      <c r="B7" s="128">
        <f>E5</f>
        <v>0</v>
      </c>
      <c r="C7" s="127" t="s">
        <v>70</v>
      </c>
      <c r="D7" s="126">
        <f>SUM(D14:D15)</f>
        <v>0.11111111111111116</v>
      </c>
      <c r="E7" s="126">
        <f>D7</f>
        <v>0.11111111111111116</v>
      </c>
    </row>
    <row r="9" spans="1:9" ht="15.75" thickBot="1" x14ac:dyDescent="0.3">
      <c r="A9" s="125" t="s">
        <v>10</v>
      </c>
      <c r="B9" s="125" t="s">
        <v>69</v>
      </c>
      <c r="C9" s="125" t="s">
        <v>68</v>
      </c>
      <c r="D9" s="125" t="s">
        <v>67</v>
      </c>
      <c r="E9" s="125" t="s">
        <v>66</v>
      </c>
      <c r="F9" s="124"/>
      <c r="G9" s="124"/>
      <c r="H9" s="124"/>
      <c r="I9" s="124"/>
    </row>
    <row r="10" spans="1:9" ht="15.75" thickBot="1" x14ac:dyDescent="0.3">
      <c r="A10" s="120">
        <v>43843</v>
      </c>
      <c r="B10" s="123">
        <v>0.75</v>
      </c>
      <c r="C10" s="123">
        <v>0.82291666666666663</v>
      </c>
      <c r="D10" s="119">
        <f t="shared" ref="D10:D15" si="0">C10-B10</f>
        <v>7.291666666666663E-2</v>
      </c>
      <c r="E10" s="121" t="s">
        <v>65</v>
      </c>
    </row>
    <row r="11" spans="1:9" ht="15.75" thickBot="1" x14ac:dyDescent="0.3">
      <c r="A11" s="122">
        <v>43844</v>
      </c>
      <c r="B11" s="112">
        <v>0.66666666666666663</v>
      </c>
      <c r="C11" s="112">
        <v>0.72916666666666663</v>
      </c>
      <c r="D11" s="112">
        <f t="shared" si="0"/>
        <v>6.25E-2</v>
      </c>
      <c r="E11" s="121" t="s">
        <v>64</v>
      </c>
    </row>
    <row r="12" spans="1:9" ht="15.75" thickBot="1" x14ac:dyDescent="0.3">
      <c r="A12" s="120">
        <v>43845</v>
      </c>
      <c r="B12" s="119">
        <v>0.70833333333333337</v>
      </c>
      <c r="C12" s="119">
        <v>0.76041666666666663</v>
      </c>
      <c r="D12" s="119">
        <f t="shared" si="0"/>
        <v>5.2083333333333259E-2</v>
      </c>
      <c r="E12" s="121" t="s">
        <v>63</v>
      </c>
    </row>
    <row r="13" spans="1:9" ht="15.75" thickBot="1" x14ac:dyDescent="0.3">
      <c r="A13" s="122">
        <v>43847</v>
      </c>
      <c r="B13" s="112">
        <v>0.625</v>
      </c>
      <c r="C13" s="112">
        <v>0.67361111111111116</v>
      </c>
      <c r="D13" s="112">
        <f t="shared" si="0"/>
        <v>4.861111111111116E-2</v>
      </c>
      <c r="E13" s="121" t="s">
        <v>62</v>
      </c>
    </row>
    <row r="14" spans="1:9" ht="15.75" thickBot="1" x14ac:dyDescent="0.3">
      <c r="A14" s="120">
        <v>43849</v>
      </c>
      <c r="B14" s="119">
        <v>0.83333333333333337</v>
      </c>
      <c r="C14" s="119">
        <v>0.89236111111111116</v>
      </c>
      <c r="D14" s="119">
        <f t="shared" si="0"/>
        <v>5.902777777777779E-2</v>
      </c>
      <c r="E14" s="115" t="s">
        <v>61</v>
      </c>
    </row>
    <row r="15" spans="1:9" ht="15.75" thickBot="1" x14ac:dyDescent="0.3">
      <c r="A15" s="118">
        <v>43849</v>
      </c>
      <c r="B15" s="117">
        <v>0.82638888888888884</v>
      </c>
      <c r="C15" s="117">
        <v>0.87847222222222221</v>
      </c>
      <c r="D15" s="116">
        <f t="shared" si="0"/>
        <v>5.208333333333337E-2</v>
      </c>
      <c r="E15" s="115" t="s">
        <v>16</v>
      </c>
    </row>
    <row r="16" spans="1:9" x14ac:dyDescent="0.25">
      <c r="A16" s="113"/>
      <c r="B16" s="112"/>
      <c r="C16" s="112"/>
      <c r="D16" s="111"/>
      <c r="E16" s="114"/>
    </row>
    <row r="17" spans="1:5" ht="21.75" thickBot="1" x14ac:dyDescent="0.4">
      <c r="A17" s="347" t="s">
        <v>16</v>
      </c>
      <c r="B17" s="347"/>
      <c r="C17" s="347"/>
      <c r="D17" s="347"/>
      <c r="E17" s="347"/>
    </row>
    <row r="18" spans="1:5" x14ac:dyDescent="0.25">
      <c r="A18" s="113"/>
      <c r="B18" s="112"/>
      <c r="C18" s="112"/>
      <c r="D18" s="111"/>
      <c r="E18" s="110"/>
    </row>
    <row r="19" spans="1:5" x14ac:dyDescent="0.25">
      <c r="A19" s="113"/>
      <c r="B19" s="112"/>
      <c r="C19" s="112"/>
      <c r="D19" s="111"/>
      <c r="E19" s="110"/>
    </row>
    <row r="20" spans="1:5" x14ac:dyDescent="0.25">
      <c r="A20" s="113"/>
      <c r="B20" s="112"/>
      <c r="C20" s="112"/>
      <c r="D20" s="111"/>
      <c r="E20" s="110"/>
    </row>
  </sheetData>
  <mergeCells count="4">
    <mergeCell ref="A2:E2"/>
    <mergeCell ref="A5:A6"/>
    <mergeCell ref="B5:B6"/>
    <mergeCell ref="A17:E17"/>
  </mergeCells>
  <pageMargins left="0.70866141732283472" right="0.70866141732283472" top="0.74803149606299213" bottom="0.74803149606299213" header="0.31496062992125984" footer="0.31496062992125984"/>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78B37-EDB1-41A2-B2CE-7B9A881AD8E4}">
  <sheetPr codeName="Ark2"/>
  <dimension ref="A1:I35"/>
  <sheetViews>
    <sheetView topLeftCell="A2" workbookViewId="0">
      <selection activeCell="F3" sqref="F3:F6"/>
    </sheetView>
  </sheetViews>
  <sheetFormatPr baseColWidth="10" defaultRowHeight="15" x14ac:dyDescent="0.25"/>
  <cols>
    <col min="1" max="1" width="11.5" style="109" customWidth="1"/>
    <col min="2" max="3" width="13.375" style="109" customWidth="1"/>
    <col min="4" max="4" width="12.25" style="109" customWidth="1"/>
    <col min="5" max="5" width="25.125" style="109" customWidth="1"/>
    <col min="6" max="8" width="10.125" style="109" customWidth="1"/>
    <col min="9" max="16384" width="11" style="109"/>
  </cols>
  <sheetData>
    <row r="1" spans="1:9" ht="15.75" hidden="1" thickBot="1" x14ac:dyDescent="0.3"/>
    <row r="2" spans="1:9" ht="21.75" thickTop="1" x14ac:dyDescent="0.35">
      <c r="A2" s="345" t="s">
        <v>83</v>
      </c>
      <c r="B2" s="345"/>
      <c r="C2" s="345"/>
      <c r="D2" s="345"/>
      <c r="E2" s="345"/>
    </row>
    <row r="3" spans="1:9" ht="26.25" x14ac:dyDescent="0.25">
      <c r="A3" s="136" t="s">
        <v>0</v>
      </c>
      <c r="B3" s="136" t="s">
        <v>1</v>
      </c>
      <c r="C3" s="135" t="s">
        <v>2</v>
      </c>
      <c r="D3" s="135" t="s">
        <v>77</v>
      </c>
      <c r="E3" s="135" t="s">
        <v>76</v>
      </c>
      <c r="F3" s="607">
        <v>0.24652777777777779</v>
      </c>
    </row>
    <row r="4" spans="1:9" ht="15.75" thickBot="1" x14ac:dyDescent="0.3">
      <c r="A4" s="133">
        <v>43850</v>
      </c>
      <c r="B4" s="133">
        <v>43856</v>
      </c>
      <c r="C4" s="132" t="s">
        <v>75</v>
      </c>
      <c r="D4" s="129">
        <f>SUMIF(F10:F35,1,D10:D35)</f>
        <v>0.2465277777777779</v>
      </c>
      <c r="E4" s="129" t="e">
        <f ca="1">SUM(INDIRECT(CONCATENATE("uke_",TEXT(VALUE(MID(CELL("filnavn",A1),FIND("]",CELL("filnavn",A1))+5,1))-1,0),"!E4")),D4)</f>
        <v>#VALUE!</v>
      </c>
      <c r="F4" s="607">
        <v>0</v>
      </c>
      <c r="G4" s="134"/>
    </row>
    <row r="5" spans="1:9" x14ac:dyDescent="0.25">
      <c r="A5" s="346" t="s">
        <v>74</v>
      </c>
      <c r="B5" s="346" t="s">
        <v>73</v>
      </c>
      <c r="C5" s="131" t="s">
        <v>72</v>
      </c>
      <c r="D5" s="129">
        <f>SUMIF(G10:G35,1,D10:D35)</f>
        <v>0</v>
      </c>
      <c r="E5" s="129" t="e">
        <f ca="1">SUM(INDIRECT(CONCATENATE("uke_",TEXT(VALUE(MID(CELL("filnavn",A1),FIND("]",CELL("filnavn",A1))+5,1))-1,0),"!E5")),D5)</f>
        <v>#VALUE!</v>
      </c>
      <c r="F5" s="607">
        <v>0</v>
      </c>
    </row>
    <row r="6" spans="1:9" x14ac:dyDescent="0.25">
      <c r="A6" s="346"/>
      <c r="B6" s="346"/>
      <c r="C6" s="130" t="s">
        <v>71</v>
      </c>
      <c r="D6" s="129">
        <f>SUMIF(H10:H35,1,D10:D35)</f>
        <v>0</v>
      </c>
      <c r="E6" s="129" t="e">
        <f ca="1">SUM(INDIRECT(CONCATENATE("uke_",TEXT(VALUE(MID(CELL("filnavn",A1),FIND("]",CELL("filnavn",A1))+5,1))-1,0),"!E6")),D6)</f>
        <v>#VALUE!</v>
      </c>
      <c r="F6" s="607">
        <v>4.1666666666666664E-2</v>
      </c>
    </row>
    <row r="7" spans="1:9" ht="21.75" thickBot="1" x14ac:dyDescent="0.4">
      <c r="A7" s="128">
        <f>SUM(D4:D7)</f>
        <v>0.28819444444444453</v>
      </c>
      <c r="B7" s="128" t="e">
        <f ca="1">E5</f>
        <v>#VALUE!</v>
      </c>
      <c r="C7" s="127" t="s">
        <v>70</v>
      </c>
      <c r="D7" s="126">
        <f>SUMIF(I10:I35,1,D10:D35)</f>
        <v>4.166666666666663E-2</v>
      </c>
      <c r="E7" s="126" t="e">
        <f ca="1">SUM(INDIRECT(CONCATENATE("uke_",TEXT(VALUE(MID(CELL("filnavn",A1),FIND("]",CELL("filnavn",A1))+5,1))-1,0),"!E7")),D7)</f>
        <v>#VALUE!</v>
      </c>
    </row>
    <row r="9" spans="1:9" ht="15.75" thickBot="1" x14ac:dyDescent="0.3">
      <c r="A9" s="125" t="s">
        <v>10</v>
      </c>
      <c r="B9" s="125" t="s">
        <v>69</v>
      </c>
      <c r="C9" s="125" t="s">
        <v>68</v>
      </c>
      <c r="D9" s="125" t="s">
        <v>67</v>
      </c>
      <c r="E9" s="125" t="s">
        <v>66</v>
      </c>
      <c r="F9" s="124" t="s">
        <v>5</v>
      </c>
      <c r="G9" s="124" t="s">
        <v>72</v>
      </c>
      <c r="H9" s="124" t="s">
        <v>71</v>
      </c>
      <c r="I9" s="124" t="s">
        <v>70</v>
      </c>
    </row>
    <row r="10" spans="1:9" ht="15.75" thickBot="1" x14ac:dyDescent="0.3">
      <c r="A10" s="120">
        <v>43850</v>
      </c>
      <c r="B10" s="123">
        <v>0.71875</v>
      </c>
      <c r="C10" s="123">
        <v>0.78125</v>
      </c>
      <c r="D10" s="119">
        <f t="shared" ref="D10:D15" si="0">C10-B10</f>
        <v>6.25E-2</v>
      </c>
      <c r="E10" s="121" t="s">
        <v>82</v>
      </c>
      <c r="F10" s="109">
        <f>IF(ColorIndex($E10)=ColorIndex($C$4),1,0)</f>
        <v>1</v>
      </c>
      <c r="G10" s="109">
        <f>IF(ColorIndex($E10)=ColorIndex($C$5),1,0)</f>
        <v>0</v>
      </c>
      <c r="H10" s="109">
        <f>IF(ColorIndex($E10)=ColorIndex($C$6),1,0)</f>
        <v>0</v>
      </c>
      <c r="I10" s="109">
        <f>IF(ColorIndex($E10)=ColorIndex($C$7),1,0)</f>
        <v>0</v>
      </c>
    </row>
    <row r="11" spans="1:9" ht="15.75" thickBot="1" x14ac:dyDescent="0.3">
      <c r="A11" s="122">
        <v>43851</v>
      </c>
      <c r="B11" s="112">
        <v>0.75</v>
      </c>
      <c r="C11" s="112">
        <v>0.81944444444444453</v>
      </c>
      <c r="D11" s="112">
        <f t="shared" si="0"/>
        <v>6.9444444444444531E-2</v>
      </c>
      <c r="E11" s="121" t="s">
        <v>81</v>
      </c>
      <c r="F11" s="109">
        <f>IF(ColorIndex($E11)=ColorIndex($C$4),1,0)</f>
        <v>1</v>
      </c>
      <c r="G11" s="109">
        <f>IF(ColorIndex($E11)=ColorIndex($C$5),1,0)</f>
        <v>0</v>
      </c>
      <c r="H11" s="109">
        <f>IF(ColorIndex($E11)=ColorIndex($C$6),1,0)</f>
        <v>0</v>
      </c>
      <c r="I11" s="109">
        <f>IF(ColorIndex($E11)=ColorIndex($C$7),1,0)</f>
        <v>0</v>
      </c>
    </row>
    <row r="12" spans="1:9" ht="15.75" thickBot="1" x14ac:dyDescent="0.3">
      <c r="A12" s="120">
        <v>43853</v>
      </c>
      <c r="B12" s="119">
        <v>0.75694444444444453</v>
      </c>
      <c r="C12" s="119">
        <v>0.81597222222222221</v>
      </c>
      <c r="D12" s="119">
        <f t="shared" si="0"/>
        <v>5.9027777777777679E-2</v>
      </c>
      <c r="E12" s="121" t="s">
        <v>80</v>
      </c>
      <c r="F12" s="109">
        <f>IF(ColorIndex($E12)=ColorIndex($C$4),1,0)</f>
        <v>1</v>
      </c>
      <c r="G12" s="109">
        <f>IF(ColorIndex($E12)=ColorIndex($C$5),1,0)</f>
        <v>0</v>
      </c>
      <c r="H12" s="109">
        <f>IF(ColorIndex($E12)=ColorIndex($C$6),1,0)</f>
        <v>0</v>
      </c>
      <c r="I12" s="109">
        <f>IF(ColorIndex($E12)=ColorIndex($C$7),1,0)</f>
        <v>0</v>
      </c>
    </row>
    <row r="13" spans="1:9" ht="15.75" thickBot="1" x14ac:dyDescent="0.3">
      <c r="A13" s="122">
        <v>43855</v>
      </c>
      <c r="B13" s="112">
        <v>0.80555555555555547</v>
      </c>
      <c r="C13" s="112">
        <v>0.86111111111111116</v>
      </c>
      <c r="D13" s="112">
        <f t="shared" si="0"/>
        <v>5.5555555555555691E-2</v>
      </c>
      <c r="E13" s="121" t="s">
        <v>79</v>
      </c>
      <c r="F13" s="109">
        <f>IF(ColorIndex($E13)=ColorIndex($C$4),1,0)</f>
        <v>1</v>
      </c>
      <c r="G13" s="109">
        <f>IF(ColorIndex($E13)=ColorIndex($C$5),1,0)</f>
        <v>0</v>
      </c>
      <c r="H13" s="109">
        <f>IF(ColorIndex($E13)=ColorIndex($C$6),1,0)</f>
        <v>0</v>
      </c>
      <c r="I13" s="109">
        <f>IF(ColorIndex($E13)=ColorIndex($C$7),1,0)</f>
        <v>0</v>
      </c>
    </row>
    <row r="14" spans="1:9" ht="15.75" thickBot="1" x14ac:dyDescent="0.3">
      <c r="A14" s="120">
        <v>43856</v>
      </c>
      <c r="B14" s="119">
        <v>0.91666666666666663</v>
      </c>
      <c r="C14" s="119">
        <v>0.93402777777777779</v>
      </c>
      <c r="D14" s="119">
        <f t="shared" si="0"/>
        <v>1.736111111111116E-2</v>
      </c>
      <c r="E14" s="115" t="s">
        <v>61</v>
      </c>
      <c r="F14" s="109">
        <f>IF(ColorIndex($E14)=ColorIndex($C$4),1,0)</f>
        <v>0</v>
      </c>
      <c r="G14" s="109">
        <f>IF(ColorIndex($E14)=ColorIndex($C$5),1,0)</f>
        <v>0</v>
      </c>
      <c r="H14" s="109">
        <f>IF(ColorIndex($E14)=ColorIndex($C$6),1,0)</f>
        <v>0</v>
      </c>
      <c r="I14" s="109">
        <f>IF(ColorIndex($E14)=ColorIndex($C$7),1,0)</f>
        <v>1</v>
      </c>
    </row>
    <row r="15" spans="1:9" ht="15.75" thickBot="1" x14ac:dyDescent="0.3">
      <c r="A15" s="118">
        <v>43856</v>
      </c>
      <c r="B15" s="117">
        <v>0.81944444444444453</v>
      </c>
      <c r="C15" s="117">
        <v>0.84375</v>
      </c>
      <c r="D15" s="116">
        <f t="shared" si="0"/>
        <v>2.4305555555555469E-2</v>
      </c>
      <c r="E15" s="115" t="s">
        <v>16</v>
      </c>
      <c r="F15" s="109">
        <f>IF(ColorIndex($E15)=ColorIndex($C$4),1,0)</f>
        <v>0</v>
      </c>
      <c r="G15" s="109">
        <f>IF(ColorIndex($E15)=ColorIndex($C$5),1,0)</f>
        <v>0</v>
      </c>
      <c r="H15" s="109">
        <f>IF(ColorIndex($E15)=ColorIndex($C$6),1,0)</f>
        <v>0</v>
      </c>
      <c r="I15" s="109">
        <f>IF(ColorIndex($E15)=ColorIndex($C$7),1,0)</f>
        <v>1</v>
      </c>
    </row>
    <row r="16" spans="1:9" x14ac:dyDescent="0.25">
      <c r="A16" s="113"/>
      <c r="B16" s="112"/>
      <c r="C16" s="112"/>
      <c r="D16" s="111"/>
      <c r="E16" s="114"/>
      <c r="F16" s="109">
        <f>IF(ColorIndex($E16)=ColorIndex($C$4),1,0)</f>
        <v>0</v>
      </c>
      <c r="G16" s="109">
        <f>IF(ColorIndex($E16)=ColorIndex($C$5),1,0)</f>
        <v>0</v>
      </c>
      <c r="H16" s="109">
        <f>IF(ColorIndex($E16)=ColorIndex($C$6),1,0)</f>
        <v>0</v>
      </c>
      <c r="I16" s="109">
        <f>IF(ColorIndex($E16)=ColorIndex($C$7),1,0)</f>
        <v>0</v>
      </c>
    </row>
    <row r="17" spans="1:9" ht="21.75" thickBot="1" x14ac:dyDescent="0.4">
      <c r="A17" s="347" t="s">
        <v>16</v>
      </c>
      <c r="B17" s="347"/>
      <c r="C17" s="347"/>
      <c r="D17" s="347"/>
      <c r="E17" s="347"/>
      <c r="F17" s="109">
        <f>IF(ColorIndex($E17)=ColorIndex($C$4),1,0)</f>
        <v>0</v>
      </c>
      <c r="G17" s="109">
        <f>IF(ColorIndex($E17)=ColorIndex($C$5),1,0)</f>
        <v>0</v>
      </c>
      <c r="H17" s="109">
        <f>IF(ColorIndex($E17)=ColorIndex($C$6),1,0)</f>
        <v>0</v>
      </c>
      <c r="I17" s="109">
        <f>IF(ColorIndex($E17)=ColorIndex($C$7),1,0)</f>
        <v>0</v>
      </c>
    </row>
    <row r="18" spans="1:9" x14ac:dyDescent="0.25">
      <c r="A18" s="113"/>
      <c r="B18" s="112"/>
      <c r="C18" s="112"/>
      <c r="D18" s="111"/>
      <c r="E18" s="110"/>
      <c r="F18" s="109">
        <f>IF(ColorIndex($E18)=ColorIndex($C$4),1,0)</f>
        <v>0</v>
      </c>
      <c r="G18" s="109">
        <f>IF(ColorIndex($E18)=ColorIndex($C$5),1,0)</f>
        <v>0</v>
      </c>
      <c r="H18" s="109">
        <f>IF(ColorIndex($E18)=ColorIndex($C$6),1,0)</f>
        <v>0</v>
      </c>
      <c r="I18" s="109">
        <f>IF(ColorIndex($E18)=ColorIndex($C$7),1,0)</f>
        <v>0</v>
      </c>
    </row>
    <row r="19" spans="1:9" x14ac:dyDescent="0.25">
      <c r="A19" s="113"/>
      <c r="B19" s="112"/>
      <c r="C19" s="112"/>
      <c r="D19" s="111"/>
      <c r="E19" s="110"/>
      <c r="F19" s="109">
        <f>IF(ColorIndex($E19)=ColorIndex($C$4),1,0)</f>
        <v>0</v>
      </c>
      <c r="G19" s="109">
        <f>IF(ColorIndex($E19)=ColorIndex($C$5),1,0)</f>
        <v>0</v>
      </c>
      <c r="H19" s="109">
        <f>IF(ColorIndex($E19)=ColorIndex($C$6),1,0)</f>
        <v>0</v>
      </c>
      <c r="I19" s="109">
        <f>IF(ColorIndex($E19)=ColorIndex($C$7),1,0)</f>
        <v>0</v>
      </c>
    </row>
    <row r="20" spans="1:9" x14ac:dyDescent="0.25">
      <c r="A20" s="113"/>
      <c r="B20" s="112"/>
      <c r="C20" s="112"/>
      <c r="D20" s="111"/>
      <c r="E20" s="110"/>
      <c r="F20" s="109">
        <f>IF(ColorIndex($E20)=ColorIndex($C$4),1,0)</f>
        <v>0</v>
      </c>
      <c r="G20" s="109">
        <f>IF(ColorIndex($E20)=ColorIndex($C$5),1,0)</f>
        <v>0</v>
      </c>
      <c r="H20" s="109">
        <f>IF(ColorIndex($E20)=ColorIndex($C$6),1,0)</f>
        <v>0</v>
      </c>
      <c r="I20" s="109">
        <f>IF(ColorIndex($E20)=ColorIndex($C$7),1,0)</f>
        <v>0</v>
      </c>
    </row>
    <row r="21" spans="1:9" x14ac:dyDescent="0.25">
      <c r="F21" s="109">
        <f>IF(ColorIndex($E21)=ColorIndex($C$4),1,0)</f>
        <v>0</v>
      </c>
      <c r="G21" s="109">
        <f>IF(ColorIndex($E21)=ColorIndex($C$5),1,0)</f>
        <v>0</v>
      </c>
      <c r="H21" s="109">
        <f>IF(ColorIndex($E21)=ColorIndex($C$6),1,0)</f>
        <v>0</v>
      </c>
      <c r="I21" s="109">
        <f>IF(ColorIndex($E21)=ColorIndex($C$7),1,0)</f>
        <v>0</v>
      </c>
    </row>
    <row r="22" spans="1:9" x14ac:dyDescent="0.25">
      <c r="F22" s="109">
        <f>IF(ColorIndex($E22)=ColorIndex($C$4),1,0)</f>
        <v>0</v>
      </c>
      <c r="G22" s="109">
        <f>IF(ColorIndex($E22)=ColorIndex($C$5),1,0)</f>
        <v>0</v>
      </c>
      <c r="H22" s="109">
        <f>IF(ColorIndex($E22)=ColorIndex($C$6),1,0)</f>
        <v>0</v>
      </c>
      <c r="I22" s="109">
        <f>IF(ColorIndex($E22)=ColorIndex($C$7),1,0)</f>
        <v>0</v>
      </c>
    </row>
    <row r="23" spans="1:9" x14ac:dyDescent="0.25">
      <c r="F23" s="109">
        <f>IF(ColorIndex($E23)=ColorIndex($C$4),1,0)</f>
        <v>0</v>
      </c>
      <c r="G23" s="109">
        <f>IF(ColorIndex($E23)=ColorIndex($C$5),1,0)</f>
        <v>0</v>
      </c>
      <c r="H23" s="109">
        <f>IF(ColorIndex($E23)=ColorIndex($C$6),1,0)</f>
        <v>0</v>
      </c>
      <c r="I23" s="109">
        <f>IF(ColorIndex($E23)=ColorIndex($C$7),1,0)</f>
        <v>0</v>
      </c>
    </row>
    <row r="24" spans="1:9" x14ac:dyDescent="0.25">
      <c r="F24" s="109">
        <f>IF(ColorIndex($E24)=ColorIndex($C$4),1,0)</f>
        <v>0</v>
      </c>
      <c r="G24" s="109">
        <f>IF(ColorIndex($E24)=ColorIndex($C$5),1,0)</f>
        <v>0</v>
      </c>
      <c r="H24" s="109">
        <f>IF(ColorIndex($E24)=ColorIndex($C$6),1,0)</f>
        <v>0</v>
      </c>
      <c r="I24" s="109">
        <f>IF(ColorIndex($E24)=ColorIndex($C$7),1,0)</f>
        <v>0</v>
      </c>
    </row>
    <row r="25" spans="1:9" x14ac:dyDescent="0.25">
      <c r="F25" s="109">
        <f>IF(ColorIndex($E25)=ColorIndex($C$4),1,0)</f>
        <v>0</v>
      </c>
      <c r="G25" s="109">
        <f>IF(ColorIndex($E25)=ColorIndex($C$5),1,0)</f>
        <v>0</v>
      </c>
      <c r="H25" s="109">
        <f>IF(ColorIndex($E25)=ColorIndex($C$6),1,0)</f>
        <v>0</v>
      </c>
      <c r="I25" s="109">
        <f>IF(ColorIndex($E25)=ColorIndex($C$7),1,0)</f>
        <v>0</v>
      </c>
    </row>
    <row r="26" spans="1:9" x14ac:dyDescent="0.25">
      <c r="F26" s="109">
        <f>IF(ColorIndex($E26)=ColorIndex($C$4),1,0)</f>
        <v>0</v>
      </c>
      <c r="G26" s="109">
        <f>IF(ColorIndex($E26)=ColorIndex($C$5),1,0)</f>
        <v>0</v>
      </c>
      <c r="H26" s="109">
        <f>IF(ColorIndex($E26)=ColorIndex($C$6),1,0)</f>
        <v>0</v>
      </c>
      <c r="I26" s="109">
        <f>IF(ColorIndex($E26)=ColorIndex($C$7),1,0)</f>
        <v>0</v>
      </c>
    </row>
    <row r="27" spans="1:9" x14ac:dyDescent="0.25">
      <c r="F27" s="109">
        <f>IF(ColorIndex($E27)=ColorIndex($C$4),1,0)</f>
        <v>0</v>
      </c>
      <c r="G27" s="109">
        <f>IF(ColorIndex($E27)=ColorIndex($C$5),1,0)</f>
        <v>0</v>
      </c>
      <c r="H27" s="109">
        <f>IF(ColorIndex($E27)=ColorIndex($C$6),1,0)</f>
        <v>0</v>
      </c>
      <c r="I27" s="109">
        <f>IF(ColorIndex($E27)=ColorIndex($C$7),1,0)</f>
        <v>0</v>
      </c>
    </row>
    <row r="28" spans="1:9" x14ac:dyDescent="0.25">
      <c r="F28" s="109">
        <f>IF(ColorIndex($E28)=ColorIndex($C$4),1,0)</f>
        <v>0</v>
      </c>
      <c r="G28" s="109">
        <f>IF(ColorIndex($E28)=ColorIndex($C$5),1,0)</f>
        <v>0</v>
      </c>
      <c r="H28" s="109">
        <f>IF(ColorIndex($E28)=ColorIndex($C$6),1,0)</f>
        <v>0</v>
      </c>
      <c r="I28" s="109">
        <f>IF(ColorIndex($E28)=ColorIndex($C$7),1,0)</f>
        <v>0</v>
      </c>
    </row>
    <row r="29" spans="1:9" x14ac:dyDescent="0.25">
      <c r="F29" s="109">
        <f>IF(ColorIndex($E29)=ColorIndex($C$4),1,0)</f>
        <v>0</v>
      </c>
      <c r="G29" s="109">
        <f>IF(ColorIndex($E29)=ColorIndex($C$5),1,0)</f>
        <v>0</v>
      </c>
      <c r="H29" s="109">
        <f>IF(ColorIndex($E29)=ColorIndex($C$6),1,0)</f>
        <v>0</v>
      </c>
      <c r="I29" s="109">
        <f>IF(ColorIndex($E29)=ColorIndex($C$7),1,0)</f>
        <v>0</v>
      </c>
    </row>
    <row r="30" spans="1:9" x14ac:dyDescent="0.25">
      <c r="F30" s="109">
        <f>IF(ColorIndex($E30)=ColorIndex($C$4),1,0)</f>
        <v>0</v>
      </c>
      <c r="G30" s="109">
        <f>IF(ColorIndex($E30)=ColorIndex($C$5),1,0)</f>
        <v>0</v>
      </c>
      <c r="H30" s="109">
        <f>IF(ColorIndex($E30)=ColorIndex($C$6),1,0)</f>
        <v>0</v>
      </c>
      <c r="I30" s="109">
        <f>IF(ColorIndex($E30)=ColorIndex($C$7),1,0)</f>
        <v>0</v>
      </c>
    </row>
    <row r="31" spans="1:9" x14ac:dyDescent="0.25">
      <c r="F31" s="109">
        <f>IF(ColorIndex($E31)=ColorIndex($C$4),1,0)</f>
        <v>0</v>
      </c>
      <c r="G31" s="109">
        <f>IF(ColorIndex($E31)=ColorIndex($C$5),1,0)</f>
        <v>0</v>
      </c>
      <c r="H31" s="109">
        <f>IF(ColorIndex($E31)=ColorIndex($C$6),1,0)</f>
        <v>0</v>
      </c>
      <c r="I31" s="109">
        <f>IF(ColorIndex($E31)=ColorIndex($C$7),1,0)</f>
        <v>0</v>
      </c>
    </row>
    <row r="32" spans="1:9" x14ac:dyDescent="0.25">
      <c r="F32" s="109">
        <f>IF(ColorIndex($E32)=ColorIndex($C$4),1,0)</f>
        <v>0</v>
      </c>
      <c r="G32" s="109">
        <f>IF(ColorIndex($E32)=ColorIndex($C$5),1,0)</f>
        <v>0</v>
      </c>
      <c r="H32" s="109">
        <f>IF(ColorIndex($E32)=ColorIndex($C$6),1,0)</f>
        <v>0</v>
      </c>
      <c r="I32" s="109">
        <f>IF(ColorIndex($E32)=ColorIndex($C$7),1,0)</f>
        <v>0</v>
      </c>
    </row>
    <row r="33" spans="6:9" x14ac:dyDescent="0.25">
      <c r="F33" s="109">
        <f>IF(ColorIndex($E33)=ColorIndex($C$4),1,0)</f>
        <v>0</v>
      </c>
      <c r="G33" s="109">
        <f>IF(ColorIndex($E33)=ColorIndex($C$5),1,0)</f>
        <v>0</v>
      </c>
      <c r="H33" s="109">
        <f>IF(ColorIndex($E33)=ColorIndex($C$6),1,0)</f>
        <v>0</v>
      </c>
      <c r="I33" s="109">
        <f>IF(ColorIndex($E33)=ColorIndex($C$7),1,0)</f>
        <v>0</v>
      </c>
    </row>
    <row r="34" spans="6:9" x14ac:dyDescent="0.25">
      <c r="F34" s="109">
        <f>IF(ColorIndex($E34)=ColorIndex($C$4),1,0)</f>
        <v>0</v>
      </c>
      <c r="G34" s="109">
        <f>IF(ColorIndex($E34)=ColorIndex($C$5),1,0)</f>
        <v>0</v>
      </c>
      <c r="H34" s="109">
        <f>IF(ColorIndex($E34)=ColorIndex($C$6),1,0)</f>
        <v>0</v>
      </c>
      <c r="I34" s="109">
        <f>IF(ColorIndex($E34)=ColorIndex($C$7),1,0)</f>
        <v>0</v>
      </c>
    </row>
    <row r="35" spans="6:9" x14ac:dyDescent="0.25">
      <c r="F35" s="109">
        <f>IF(ColorIndex($E35)=ColorIndex($C$4),1,0)</f>
        <v>0</v>
      </c>
      <c r="G35" s="109">
        <f>IF(ColorIndex($E35)=ColorIndex($C$5),1,0)</f>
        <v>0</v>
      </c>
      <c r="H35" s="109">
        <f>IF(ColorIndex($E35)=ColorIndex($C$6),1,0)</f>
        <v>0</v>
      </c>
      <c r="I35" s="109">
        <f>IF(ColorIndex($E35)=ColorIndex($C$7),1,0)</f>
        <v>0</v>
      </c>
    </row>
  </sheetData>
  <mergeCells count="4">
    <mergeCell ref="A2:E2"/>
    <mergeCell ref="A5:A6"/>
    <mergeCell ref="B5:B6"/>
    <mergeCell ref="A17:E17"/>
  </mergeCells>
  <pageMargins left="0.70866141732283472" right="0.70866141732283472" top="0.74803149606299213" bottom="0.74803149606299213" header="0.31496062992125984" footer="0.31496062992125984"/>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FD029-9C39-4314-9D11-77C3189D28F6}">
  <sheetPr codeName="Ark3"/>
  <dimension ref="A1:O35"/>
  <sheetViews>
    <sheetView topLeftCell="A2" workbookViewId="0">
      <selection activeCell="F3" sqref="F3:F6"/>
    </sheetView>
  </sheetViews>
  <sheetFormatPr baseColWidth="10" defaultRowHeight="15" x14ac:dyDescent="0.25"/>
  <cols>
    <col min="1" max="1" width="11.5" style="109" customWidth="1"/>
    <col min="2" max="3" width="13.375" style="109" customWidth="1"/>
    <col min="4" max="4" width="12.25" style="109" customWidth="1"/>
    <col min="5" max="5" width="25.125" style="109" customWidth="1"/>
    <col min="6" max="8" width="10.125" style="109" customWidth="1"/>
    <col min="9" max="16384" width="11" style="109"/>
  </cols>
  <sheetData>
    <row r="1" spans="1:15" ht="15.75" hidden="1" thickBot="1" x14ac:dyDescent="0.3"/>
    <row r="2" spans="1:15" ht="21.75" thickTop="1" x14ac:dyDescent="0.35">
      <c r="A2" s="345" t="s">
        <v>95</v>
      </c>
      <c r="B2" s="345"/>
      <c r="C2" s="345"/>
      <c r="D2" s="345"/>
      <c r="E2" s="345"/>
    </row>
    <row r="3" spans="1:15" ht="26.25" x14ac:dyDescent="0.25">
      <c r="A3" s="136" t="s">
        <v>0</v>
      </c>
      <c r="B3" s="136" t="s">
        <v>1</v>
      </c>
      <c r="C3" s="135" t="s">
        <v>2</v>
      </c>
      <c r="D3" s="135" t="s">
        <v>77</v>
      </c>
      <c r="E3" s="135" t="s">
        <v>76</v>
      </c>
      <c r="F3" s="607">
        <v>0.21180555555555555</v>
      </c>
    </row>
    <row r="4" spans="1:15" ht="15.75" thickBot="1" x14ac:dyDescent="0.3">
      <c r="A4" s="133">
        <v>43857</v>
      </c>
      <c r="B4" s="133">
        <v>43863</v>
      </c>
      <c r="C4" s="132" t="s">
        <v>75</v>
      </c>
      <c r="D4" s="129">
        <f>SUMIF(F10:F38,1,D10:D38)</f>
        <v>0.21180555555555569</v>
      </c>
      <c r="E4" s="129" t="e">
        <f ca="1">SUM(INDIRECT(CONCATENATE("uke_",TEXT(VALUE(MID(CELL("filnavn",A1),FIND("]",CELL("filnavn",A1))+5,1))-1,0),"!E4")),D4)</f>
        <v>#VALUE!</v>
      </c>
      <c r="F4" s="607">
        <v>1.3888888888888888E-2</v>
      </c>
      <c r="G4" s="134"/>
      <c r="I4" s="134"/>
    </row>
    <row r="5" spans="1:15" x14ac:dyDescent="0.25">
      <c r="A5" s="346" t="s">
        <v>74</v>
      </c>
      <c r="B5" s="346" t="s">
        <v>73</v>
      </c>
      <c r="C5" s="148" t="s">
        <v>72</v>
      </c>
      <c r="D5" s="129">
        <f>SUMIF(G10:G38,1,D10:D38)</f>
        <v>1.388888888888884E-2</v>
      </c>
      <c r="E5" s="129" t="e">
        <f ca="1">SUM(INDIRECT(CONCATENATE("uke_",TEXT(VALUE(MID(CELL("filnavn",A1),FIND("]",CELL("filnavn",A1))+5,1))-1,0),"!E5")),D5)</f>
        <v>#VALUE!</v>
      </c>
      <c r="F5" s="607">
        <v>4.1666666666666664E-2</v>
      </c>
    </row>
    <row r="6" spans="1:15" x14ac:dyDescent="0.25">
      <c r="A6" s="346"/>
      <c r="B6" s="346"/>
      <c r="C6" s="130" t="s">
        <v>71</v>
      </c>
      <c r="D6" s="129">
        <f>SUMIF(H10:H38,1,D10:D38)</f>
        <v>4.166666666666663E-2</v>
      </c>
      <c r="E6" s="129" t="e">
        <f ca="1">SUM(INDIRECT(CONCATENATE("uke_",TEXT(VALUE(MID(CELL("filnavn",A1),FIND("]",CELL("filnavn",A1))+5,1))-1,0),"!E6")),D6)</f>
        <v>#VALUE!</v>
      </c>
      <c r="F6" s="607">
        <v>0.16319444444444445</v>
      </c>
    </row>
    <row r="7" spans="1:15" ht="21.75" thickBot="1" x14ac:dyDescent="0.4">
      <c r="A7" s="128">
        <f>SUM(D4:D7)</f>
        <v>0.43055555555555558</v>
      </c>
      <c r="B7" s="128" t="e">
        <f ca="1">E5</f>
        <v>#VALUE!</v>
      </c>
      <c r="C7" s="127" t="s">
        <v>70</v>
      </c>
      <c r="D7" s="126">
        <f>SUMIF(I10:I38,1,D10:D38)</f>
        <v>0.16319444444444442</v>
      </c>
      <c r="E7" s="126" t="e">
        <f ca="1">SUM(INDIRECT(CONCATENATE("uke_",TEXT(VALUE(MID(CELL("filnavn",A1),FIND("]",CELL("filnavn",A1))+5,1))-1,0),"!E7")),D7)</f>
        <v>#VALUE!</v>
      </c>
    </row>
    <row r="9" spans="1:15" ht="15.75" thickBot="1" x14ac:dyDescent="0.3">
      <c r="A9" s="125" t="s">
        <v>10</v>
      </c>
      <c r="B9" s="125" t="s">
        <v>69</v>
      </c>
      <c r="C9" s="125" t="s">
        <v>68</v>
      </c>
      <c r="D9" s="125" t="s">
        <v>67</v>
      </c>
      <c r="E9" s="125" t="s">
        <v>66</v>
      </c>
      <c r="F9" s="147" t="s">
        <v>5</v>
      </c>
      <c r="G9" s="147" t="s">
        <v>72</v>
      </c>
      <c r="H9" s="147" t="s">
        <v>71</v>
      </c>
      <c r="I9" s="147" t="s">
        <v>70</v>
      </c>
      <c r="J9" s="147" t="s">
        <v>94</v>
      </c>
    </row>
    <row r="10" spans="1:15" x14ac:dyDescent="0.25">
      <c r="A10" s="122">
        <v>43857</v>
      </c>
      <c r="B10" s="146">
        <v>1.0416666666666666E-2</v>
      </c>
      <c r="C10" s="146">
        <v>0.13541666666666666</v>
      </c>
      <c r="D10" s="140">
        <f t="shared" ref="D10:D18" si="0">C10-B10</f>
        <v>0.12499999999999999</v>
      </c>
      <c r="E10" s="145" t="s">
        <v>93</v>
      </c>
      <c r="F10" s="109">
        <f>IF(ColorIndex($E10)=ColorIndex($C$4),1,0)</f>
        <v>0</v>
      </c>
      <c r="G10" s="109">
        <f>IF(ColorIndex($E10)=ColorIndex($C$5),1,0)</f>
        <v>0</v>
      </c>
      <c r="H10" s="109">
        <f>IF(ColorIndex($E10)=ColorIndex($C$6),1,0)</f>
        <v>0</v>
      </c>
      <c r="I10" s="109">
        <f>IF(ColorIndex($E10)=ColorIndex($C$7),1,0)</f>
        <v>1</v>
      </c>
      <c r="J10" s="143" t="str">
        <f>IF(SUM(D4:D7)=SUM(D10:D30),"ok","ikke ok")</f>
        <v>ok</v>
      </c>
      <c r="K10" s="348" t="s">
        <v>92</v>
      </c>
      <c r="L10" s="348"/>
      <c r="M10" s="348"/>
      <c r="N10" s="348"/>
      <c r="O10" s="348"/>
    </row>
    <row r="11" spans="1:15" ht="15.75" thickBot="1" x14ac:dyDescent="0.3">
      <c r="A11" s="120">
        <v>43858</v>
      </c>
      <c r="B11" s="144">
        <v>0.73611111111111116</v>
      </c>
      <c r="C11" s="144">
        <v>0.78819444444444453</v>
      </c>
      <c r="D11" s="139">
        <f t="shared" si="0"/>
        <v>5.208333333333337E-2</v>
      </c>
      <c r="E11" s="121" t="s">
        <v>91</v>
      </c>
      <c r="F11" s="109">
        <f>IF(ColorIndex($E11)=ColorIndex($C$4),1,0)</f>
        <v>1</v>
      </c>
      <c r="G11" s="109">
        <f>IF(ColorIndex($E11)=ColorIndex($C$5),1,0)</f>
        <v>0</v>
      </c>
      <c r="H11" s="109">
        <f>IF(ColorIndex($E11)=ColorIndex($C$6),1,0)</f>
        <v>0</v>
      </c>
      <c r="I11" s="109">
        <f>IF(ColorIndex($E11)=ColorIndex($C$7),1,0)</f>
        <v>0</v>
      </c>
      <c r="J11" s="143" t="str">
        <f>IF(SUM(D4:D7)=A7,"ok","ikke ok")</f>
        <v>ok</v>
      </c>
      <c r="K11" s="348" t="s">
        <v>90</v>
      </c>
      <c r="L11" s="348"/>
      <c r="M11" s="348"/>
      <c r="N11" s="348"/>
      <c r="O11" s="348"/>
    </row>
    <row r="12" spans="1:15" ht="15.75" thickBot="1" x14ac:dyDescent="0.3">
      <c r="A12" s="122">
        <v>43859</v>
      </c>
      <c r="B12" s="140">
        <v>0.51388888888888895</v>
      </c>
      <c r="C12" s="140">
        <v>0.52777777777777779</v>
      </c>
      <c r="D12" s="140">
        <f t="shared" si="0"/>
        <v>1.388888888888884E-2</v>
      </c>
      <c r="E12" s="142" t="s">
        <v>89</v>
      </c>
      <c r="F12" s="109">
        <f>IF(ColorIndex($E12)=ColorIndex($C$4),1,0)</f>
        <v>0</v>
      </c>
      <c r="G12" s="109">
        <f>IF(ColorIndex($E12)=ColorIndex($C$5),1,0)</f>
        <v>1</v>
      </c>
      <c r="H12" s="109">
        <f>IF(ColorIndex($E12)=ColorIndex($C$6),1,0)</f>
        <v>0</v>
      </c>
      <c r="I12" s="109">
        <f>IF(ColorIndex($E12)=ColorIndex($C$7),1,0)</f>
        <v>0</v>
      </c>
    </row>
    <row r="13" spans="1:15" ht="15.75" thickBot="1" x14ac:dyDescent="0.3">
      <c r="A13" s="120">
        <v>43859</v>
      </c>
      <c r="B13" s="139">
        <v>0.80902777777777779</v>
      </c>
      <c r="C13" s="139">
        <v>0.87152777777777779</v>
      </c>
      <c r="D13" s="139">
        <f t="shared" si="0"/>
        <v>6.25E-2</v>
      </c>
      <c r="E13" s="121" t="s">
        <v>88</v>
      </c>
      <c r="F13" s="109">
        <f>IF(ColorIndex($E13)=ColorIndex($C$4),1,0)</f>
        <v>1</v>
      </c>
      <c r="G13" s="109">
        <f>IF(ColorIndex($E13)=ColorIndex($C$5),1,0)</f>
        <v>0</v>
      </c>
      <c r="H13" s="109">
        <f>IF(ColorIndex($E13)=ColorIndex($C$6),1,0)</f>
        <v>0</v>
      </c>
      <c r="I13" s="109">
        <f>IF(ColorIndex($E13)=ColorIndex($C$7),1,0)</f>
        <v>0</v>
      </c>
    </row>
    <row r="14" spans="1:15" ht="15.75" thickBot="1" x14ac:dyDescent="0.3">
      <c r="A14" s="122">
        <v>43859</v>
      </c>
      <c r="B14" s="140">
        <v>0.89236111111111116</v>
      </c>
      <c r="C14" s="140">
        <v>0.93402777777777779</v>
      </c>
      <c r="D14" s="140">
        <f t="shared" si="0"/>
        <v>4.166666666666663E-2</v>
      </c>
      <c r="E14" s="141" t="s">
        <v>87</v>
      </c>
      <c r="F14" s="109">
        <f>IF(ColorIndex($E14)=ColorIndex($C$4),1,0)</f>
        <v>0</v>
      </c>
      <c r="G14" s="109">
        <f>IF(ColorIndex($E14)=ColorIndex($C$5),1,0)</f>
        <v>0</v>
      </c>
      <c r="H14" s="109">
        <f>IF(ColorIndex($E14)=ColorIndex($C$6),1,0)</f>
        <v>1</v>
      </c>
      <c r="I14" s="109">
        <f>IF(ColorIndex($E14)=ColorIndex($C$7),1,0)</f>
        <v>0</v>
      </c>
    </row>
    <row r="15" spans="1:15" ht="15.75" thickBot="1" x14ac:dyDescent="0.3">
      <c r="A15" s="120">
        <v>43860</v>
      </c>
      <c r="B15" s="139">
        <v>0.70138888888888884</v>
      </c>
      <c r="C15" s="139">
        <v>0.74305555555555547</v>
      </c>
      <c r="D15" s="139">
        <f t="shared" si="0"/>
        <v>4.166666666666663E-2</v>
      </c>
      <c r="E15" s="121" t="s">
        <v>86</v>
      </c>
      <c r="F15" s="109">
        <f>IF(ColorIndex($E15)=ColorIndex($C$4),1,0)</f>
        <v>1</v>
      </c>
      <c r="G15" s="109">
        <f>IF(ColorIndex($E15)=ColorIndex($C$5),1,0)</f>
        <v>0</v>
      </c>
      <c r="H15" s="109">
        <f>IF(ColorIndex($E15)=ColorIndex($C$6),1,0)</f>
        <v>0</v>
      </c>
      <c r="I15" s="109">
        <f>IF(ColorIndex($E15)=ColorIndex($C$7),1,0)</f>
        <v>0</v>
      </c>
    </row>
    <row r="16" spans="1:15" ht="15.75" thickBot="1" x14ac:dyDescent="0.3">
      <c r="A16" s="122">
        <v>43861</v>
      </c>
      <c r="B16" s="140">
        <v>0.80555555555555547</v>
      </c>
      <c r="C16" s="140">
        <v>0.86111111111111116</v>
      </c>
      <c r="D16" s="140">
        <f t="shared" si="0"/>
        <v>5.5555555555555691E-2</v>
      </c>
      <c r="E16" s="121" t="s">
        <v>85</v>
      </c>
      <c r="F16" s="109">
        <f>IF(ColorIndex($E16)=ColorIndex($C$4),1,0)</f>
        <v>1</v>
      </c>
      <c r="G16" s="109">
        <f>IF(ColorIndex($E16)=ColorIndex($C$5),1,0)</f>
        <v>0</v>
      </c>
      <c r="H16" s="109">
        <f>IF(ColorIndex($E16)=ColorIndex($C$6),1,0)</f>
        <v>0</v>
      </c>
      <c r="I16" s="109">
        <f>IF(ColorIndex($E16)=ColorIndex($C$7),1,0)</f>
        <v>0</v>
      </c>
    </row>
    <row r="17" spans="1:9" ht="15.75" thickBot="1" x14ac:dyDescent="0.3">
      <c r="A17" s="120">
        <v>43863</v>
      </c>
      <c r="B17" s="139">
        <v>0.95833333333333337</v>
      </c>
      <c r="C17" s="139">
        <v>0.98263888888888884</v>
      </c>
      <c r="D17" s="139">
        <f t="shared" si="0"/>
        <v>2.4305555555555469E-2</v>
      </c>
      <c r="E17" s="115" t="s">
        <v>84</v>
      </c>
      <c r="F17" s="109">
        <f>IF(ColorIndex($E17)=ColorIndex($C$4),1,0)</f>
        <v>0</v>
      </c>
      <c r="G17" s="109">
        <f>IF(ColorIndex($E17)=ColorIndex($C$5),1,0)</f>
        <v>0</v>
      </c>
      <c r="H17" s="109">
        <f>IF(ColorIndex($E17)=ColorIndex($C$6),1,0)</f>
        <v>0</v>
      </c>
      <c r="I17" s="109">
        <f>IF(ColorIndex($E17)=ColorIndex($C$7),1,0)</f>
        <v>1</v>
      </c>
    </row>
    <row r="18" spans="1:9" ht="15.75" thickBot="1" x14ac:dyDescent="0.3">
      <c r="A18" s="118">
        <v>43863</v>
      </c>
      <c r="B18" s="138">
        <v>0.98263888888888884</v>
      </c>
      <c r="C18" s="138">
        <v>0.99652777777777779</v>
      </c>
      <c r="D18" s="137">
        <f t="shared" si="0"/>
        <v>1.3888888888888951E-2</v>
      </c>
      <c r="E18" s="115" t="s">
        <v>16</v>
      </c>
      <c r="F18" s="109">
        <f>IF(ColorIndex($E18)=ColorIndex($C$4),1,0)</f>
        <v>0</v>
      </c>
      <c r="G18" s="109">
        <f>IF(ColorIndex($E18)=ColorIndex($C$5),1,0)</f>
        <v>0</v>
      </c>
      <c r="H18" s="109">
        <f>IF(ColorIndex($E18)=ColorIndex($C$6),1,0)</f>
        <v>0</v>
      </c>
      <c r="I18" s="109">
        <f>IF(ColorIndex($E18)=ColorIndex($C$7),1,0)</f>
        <v>1</v>
      </c>
    </row>
    <row r="19" spans="1:9" x14ac:dyDescent="0.25">
      <c r="A19" s="113"/>
      <c r="B19" s="112"/>
      <c r="C19" s="112"/>
      <c r="D19" s="111"/>
      <c r="E19" s="114"/>
      <c r="F19" s="109">
        <f>IF(ColorIndex($E19)=ColorIndex($C$4),1,0)</f>
        <v>0</v>
      </c>
      <c r="G19" s="109">
        <f>IF(ColorIndex($E19)=ColorIndex($C$5),1,0)</f>
        <v>0</v>
      </c>
      <c r="H19" s="109">
        <f>IF(ColorIndex($E19)=ColorIndex($C$6),1,0)</f>
        <v>0</v>
      </c>
      <c r="I19" s="109">
        <f>IF(ColorIndex($E19)=ColorIndex($C$7),1,0)</f>
        <v>0</v>
      </c>
    </row>
    <row r="20" spans="1:9" ht="21.75" thickBot="1" x14ac:dyDescent="0.4">
      <c r="A20" s="347" t="s">
        <v>16</v>
      </c>
      <c r="B20" s="347"/>
      <c r="C20" s="347"/>
      <c r="D20" s="347"/>
      <c r="E20" s="347"/>
      <c r="F20" s="109">
        <f>IF(ColorIndex($E20)=ColorIndex($C$4),1,0)</f>
        <v>0</v>
      </c>
      <c r="G20" s="109">
        <f>IF(ColorIndex($E20)=ColorIndex($C$5),1,0)</f>
        <v>0</v>
      </c>
      <c r="H20" s="109">
        <f>IF(ColorIndex($E20)=ColorIndex($C$6),1,0)</f>
        <v>0</v>
      </c>
      <c r="I20" s="109">
        <f>IF(ColorIndex($E20)=ColorIndex($C$7),1,0)</f>
        <v>0</v>
      </c>
    </row>
    <row r="21" spans="1:9" x14ac:dyDescent="0.25">
      <c r="A21" s="113"/>
      <c r="B21" s="112"/>
      <c r="C21" s="112"/>
      <c r="D21" s="111"/>
      <c r="E21" s="110"/>
      <c r="F21" s="109">
        <f>IF(ColorIndex($E21)=ColorIndex($C$4),1,0)</f>
        <v>0</v>
      </c>
      <c r="G21" s="109">
        <f>IF(ColorIndex($E21)=ColorIndex($C$5),1,0)</f>
        <v>0</v>
      </c>
      <c r="H21" s="109">
        <f>IF(ColorIndex($E21)=ColorIndex($C$6),1,0)</f>
        <v>0</v>
      </c>
      <c r="I21" s="109">
        <f>IF(ColorIndex($E21)=ColorIndex($C$7),1,0)</f>
        <v>0</v>
      </c>
    </row>
    <row r="22" spans="1:9" x14ac:dyDescent="0.25">
      <c r="A22" s="113"/>
      <c r="B22" s="112"/>
      <c r="C22" s="112"/>
      <c r="D22" s="111"/>
      <c r="E22" s="110"/>
      <c r="F22" s="109">
        <f>IF(ColorIndex($E22)=ColorIndex($C$4),1,0)</f>
        <v>0</v>
      </c>
      <c r="G22" s="109">
        <f>IF(ColorIndex($E22)=ColorIndex($C$5),1,0)</f>
        <v>0</v>
      </c>
      <c r="H22" s="109">
        <f>IF(ColorIndex($E22)=ColorIndex($C$6),1,0)</f>
        <v>0</v>
      </c>
      <c r="I22" s="109">
        <f>IF(ColorIndex($E22)=ColorIndex($C$7),1,0)</f>
        <v>0</v>
      </c>
    </row>
    <row r="23" spans="1:9" x14ac:dyDescent="0.25">
      <c r="A23" s="113"/>
      <c r="B23" s="112"/>
      <c r="C23" s="112"/>
      <c r="D23" s="111"/>
      <c r="E23" s="110"/>
      <c r="F23" s="109">
        <f>IF(ColorIndex($E23)=ColorIndex($C$4),1,0)</f>
        <v>0</v>
      </c>
      <c r="G23" s="109">
        <f>IF(ColorIndex($E23)=ColorIndex($C$5),1,0)</f>
        <v>0</v>
      </c>
      <c r="H23" s="109">
        <f>IF(ColorIndex($E23)=ColorIndex($C$6),1,0)</f>
        <v>0</v>
      </c>
      <c r="I23" s="109">
        <f>IF(ColorIndex($E23)=ColorIndex($C$7),1,0)</f>
        <v>0</v>
      </c>
    </row>
    <row r="24" spans="1:9" x14ac:dyDescent="0.25">
      <c r="F24" s="109">
        <f>IF(ColorIndex($E24)=ColorIndex($C$4),1,0)</f>
        <v>0</v>
      </c>
      <c r="G24" s="109">
        <f>IF(ColorIndex($E24)=ColorIndex($C$5),1,0)</f>
        <v>0</v>
      </c>
      <c r="H24" s="109">
        <f>IF(ColorIndex($E24)=ColorIndex($C$6),1,0)</f>
        <v>0</v>
      </c>
      <c r="I24" s="109">
        <f>IF(ColorIndex($E24)=ColorIndex($C$7),1,0)</f>
        <v>0</v>
      </c>
    </row>
    <row r="25" spans="1:9" x14ac:dyDescent="0.25">
      <c r="F25" s="109">
        <f>IF(ColorIndex($E25)=ColorIndex($C$4),1,0)</f>
        <v>0</v>
      </c>
      <c r="G25" s="109">
        <f>IF(ColorIndex($E25)=ColorIndex($C$5),1,0)</f>
        <v>0</v>
      </c>
      <c r="H25" s="109">
        <f>IF(ColorIndex($E25)=ColorIndex($C$6),1,0)</f>
        <v>0</v>
      </c>
      <c r="I25" s="109">
        <f>IF(ColorIndex($E25)=ColorIndex($C$7),1,0)</f>
        <v>0</v>
      </c>
    </row>
    <row r="26" spans="1:9" x14ac:dyDescent="0.25">
      <c r="F26" s="109">
        <f>IF(ColorIndex($E26)=ColorIndex($C$4),1,0)</f>
        <v>0</v>
      </c>
      <c r="G26" s="109">
        <f>IF(ColorIndex($E26)=ColorIndex($C$5),1,0)</f>
        <v>0</v>
      </c>
      <c r="H26" s="109">
        <f>IF(ColorIndex($E26)=ColorIndex($C$6),1,0)</f>
        <v>0</v>
      </c>
      <c r="I26" s="109">
        <f>IF(ColorIndex($E26)=ColorIndex($C$7),1,0)</f>
        <v>0</v>
      </c>
    </row>
    <row r="27" spans="1:9" x14ac:dyDescent="0.25">
      <c r="F27" s="109">
        <f>IF(ColorIndex($E27)=ColorIndex($C$4),1,0)</f>
        <v>0</v>
      </c>
      <c r="G27" s="109">
        <f>IF(ColorIndex($E27)=ColorIndex($C$5),1,0)</f>
        <v>0</v>
      </c>
      <c r="H27" s="109">
        <f>IF(ColorIndex($E27)=ColorIndex($C$6),1,0)</f>
        <v>0</v>
      </c>
      <c r="I27" s="109">
        <f>IF(ColorIndex($E27)=ColorIndex($C$7),1,0)</f>
        <v>0</v>
      </c>
    </row>
    <row r="28" spans="1:9" x14ac:dyDescent="0.25">
      <c r="F28" s="109">
        <f>IF(ColorIndex($E28)=ColorIndex($C$4),1,0)</f>
        <v>0</v>
      </c>
      <c r="G28" s="109">
        <f>IF(ColorIndex($E28)=ColorIndex($C$5),1,0)</f>
        <v>0</v>
      </c>
      <c r="H28" s="109">
        <f>IF(ColorIndex($E28)=ColorIndex($C$6),1,0)</f>
        <v>0</v>
      </c>
      <c r="I28" s="109">
        <f>IF(ColorIndex($E28)=ColorIndex($C$7),1,0)</f>
        <v>0</v>
      </c>
    </row>
    <row r="29" spans="1:9" x14ac:dyDescent="0.25">
      <c r="F29" s="109">
        <f>IF(ColorIndex($E29)=ColorIndex($C$4),1,0)</f>
        <v>0</v>
      </c>
      <c r="G29" s="109">
        <f>IF(ColorIndex($E29)=ColorIndex($C$5),1,0)</f>
        <v>0</v>
      </c>
      <c r="H29" s="109">
        <f>IF(ColorIndex($E29)=ColorIndex($C$6),1,0)</f>
        <v>0</v>
      </c>
      <c r="I29" s="109">
        <f>IF(ColorIndex($E29)=ColorIndex($C$7),1,0)</f>
        <v>0</v>
      </c>
    </row>
    <row r="30" spans="1:9" x14ac:dyDescent="0.25">
      <c r="F30" s="109">
        <f>IF(ColorIndex($E30)=ColorIndex($C$4),1,0)</f>
        <v>0</v>
      </c>
      <c r="G30" s="109">
        <f>IF(ColorIndex($E30)=ColorIndex($C$5),1,0)</f>
        <v>0</v>
      </c>
      <c r="H30" s="109">
        <f>IF(ColorIndex($E30)=ColorIndex($C$6),1,0)</f>
        <v>0</v>
      </c>
      <c r="I30" s="109">
        <f>IF(ColorIndex($E30)=ColorIndex($C$7),1,0)</f>
        <v>0</v>
      </c>
    </row>
    <row r="31" spans="1:9" x14ac:dyDescent="0.25">
      <c r="F31" s="109">
        <f>IF(ColorIndex($E31)=ColorIndex($C$4),1,0)</f>
        <v>0</v>
      </c>
      <c r="G31" s="109">
        <f>IF(ColorIndex($E31)=ColorIndex($C$5),1,0)</f>
        <v>0</v>
      </c>
      <c r="H31" s="109">
        <f>IF(ColorIndex($E31)=ColorIndex($C$6),1,0)</f>
        <v>0</v>
      </c>
      <c r="I31" s="109">
        <f>IF(ColorIndex($E31)=ColorIndex($C$7),1,0)</f>
        <v>0</v>
      </c>
    </row>
    <row r="32" spans="1:9" x14ac:dyDescent="0.25">
      <c r="F32" s="109">
        <f>IF(ColorIndex($E32)=ColorIndex($C$4),1,0)</f>
        <v>0</v>
      </c>
      <c r="G32" s="109">
        <f>IF(ColorIndex($E32)=ColorIndex($C$5),1,0)</f>
        <v>0</v>
      </c>
      <c r="H32" s="109">
        <f>IF(ColorIndex($E32)=ColorIndex($C$6),1,0)</f>
        <v>0</v>
      </c>
      <c r="I32" s="109">
        <f>IF(ColorIndex($E32)=ColorIndex($C$7),1,0)</f>
        <v>0</v>
      </c>
    </row>
    <row r="33" spans="6:9" x14ac:dyDescent="0.25">
      <c r="F33" s="109">
        <f>IF(ColorIndex($E33)=ColorIndex($C$4),1,0)</f>
        <v>0</v>
      </c>
      <c r="G33" s="109">
        <f>IF(ColorIndex($E33)=ColorIndex($C$5),1,0)</f>
        <v>0</v>
      </c>
      <c r="H33" s="109">
        <f>IF(ColorIndex($E33)=ColorIndex($C$6),1,0)</f>
        <v>0</v>
      </c>
      <c r="I33" s="109">
        <f>IF(ColorIndex($E33)=ColorIndex($C$7),1,0)</f>
        <v>0</v>
      </c>
    </row>
    <row r="34" spans="6:9" x14ac:dyDescent="0.25">
      <c r="F34" s="109">
        <f>IF(ColorIndex($E34)=ColorIndex($C$4),1,0)</f>
        <v>0</v>
      </c>
      <c r="G34" s="109">
        <f>IF(ColorIndex($E34)=ColorIndex($C$5),1,0)</f>
        <v>0</v>
      </c>
      <c r="H34" s="109">
        <f>IF(ColorIndex($E34)=ColorIndex($C$6),1,0)</f>
        <v>0</v>
      </c>
      <c r="I34" s="109">
        <f>IF(ColorIndex($E34)=ColorIndex($C$7),1,0)</f>
        <v>0</v>
      </c>
    </row>
    <row r="35" spans="6:9" x14ac:dyDescent="0.25">
      <c r="F35" s="109">
        <f>IF(ColorIndex($E35)=ColorIndex($C$4),1,0)</f>
        <v>0</v>
      </c>
      <c r="G35" s="109">
        <f>IF(ColorIndex($E35)=ColorIndex($C$5),1,0)</f>
        <v>0</v>
      </c>
      <c r="H35" s="109">
        <f>IF(ColorIndex($E35)=ColorIndex($C$6),1,0)</f>
        <v>0</v>
      </c>
      <c r="I35" s="109">
        <f>IF(ColorIndex($E35)=ColorIndex($C$7),1,0)</f>
        <v>0</v>
      </c>
    </row>
  </sheetData>
  <mergeCells count="6">
    <mergeCell ref="A2:E2"/>
    <mergeCell ref="A5:A6"/>
    <mergeCell ref="B5:B6"/>
    <mergeCell ref="A20:E20"/>
    <mergeCell ref="K10:O10"/>
    <mergeCell ref="K11:O11"/>
  </mergeCells>
  <pageMargins left="0.70866141732283472" right="0.70866141732283472"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J45"/>
  <sheetViews>
    <sheetView showGridLines="0" tabSelected="1" zoomScaleNormal="100" workbookViewId="0">
      <selection activeCell="F3" sqref="F3"/>
    </sheetView>
  </sheetViews>
  <sheetFormatPr baseColWidth="10" defaultColWidth="9" defaultRowHeight="12.75" x14ac:dyDescent="0.2"/>
  <cols>
    <col min="1" max="1" width="9.625" customWidth="1"/>
    <col min="2" max="2" width="6.625" customWidth="1"/>
    <col min="3" max="3" width="8.625" customWidth="1"/>
    <col min="4" max="4" width="7.625" customWidth="1"/>
    <col min="5" max="5" width="25.625" customWidth="1"/>
    <col min="6" max="7" width="13.125" customWidth="1"/>
    <col min="8" max="8" width="7.625"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60" t="s">
        <v>49</v>
      </c>
      <c r="B1" s="360"/>
      <c r="C1" s="360"/>
      <c r="D1" s="360"/>
      <c r="E1" s="31">
        <f>WEEKNUM(A10)</f>
        <v>6</v>
      </c>
      <c r="F1" s="16"/>
      <c r="G1" s="17"/>
      <c r="H1" s="14"/>
      <c r="J1" s="154" t="s">
        <v>96</v>
      </c>
    </row>
    <row r="2" spans="1:10" s="1" customFormat="1" ht="14.25" x14ac:dyDescent="0.2">
      <c r="A2" s="59" t="s">
        <v>0</v>
      </c>
      <c r="B2" s="59"/>
      <c r="C2" s="59" t="s">
        <v>1</v>
      </c>
      <c r="D2" s="59"/>
      <c r="E2" s="60" t="s">
        <v>2</v>
      </c>
      <c r="F2" s="60" t="s">
        <v>3</v>
      </c>
      <c r="G2" s="60" t="s">
        <v>4</v>
      </c>
      <c r="H2" s="10"/>
      <c r="J2" s="151" t="s">
        <v>97</v>
      </c>
    </row>
    <row r="3" spans="1:10" ht="13.5" thickBot="1" x14ac:dyDescent="0.25">
      <c r="A3" s="61">
        <f>A10</f>
        <v>43864</v>
      </c>
      <c r="B3" s="62"/>
      <c r="C3" s="61">
        <f>A24</f>
        <v>43870</v>
      </c>
      <c r="D3" s="62"/>
      <c r="E3" s="63" t="s">
        <v>5</v>
      </c>
      <c r="F3" s="64">
        <f>Sumcolor(E3,D10:D39)</f>
        <v>0.14583333333333326</v>
      </c>
      <c r="G3" s="65" t="e">
        <f ca="1">SUM('Uke5'!E4,'Uke5'!E6,'Uke6'!F3)</f>
        <v>#VALUE!</v>
      </c>
      <c r="H3" s="12"/>
      <c r="I3" s="74"/>
      <c r="J3" s="150" t="e">
        <f ca="1">IF(SUM(F3:F6)+SUM('Uke5'!E4:E7)=SUM(G3:G6),"ok","not ok")</f>
        <v>#VALUE!</v>
      </c>
    </row>
    <row r="4" spans="1:10" x14ac:dyDescent="0.2">
      <c r="A4" s="352" t="s">
        <v>6</v>
      </c>
      <c r="B4" s="352"/>
      <c r="C4" s="352" t="s">
        <v>50</v>
      </c>
      <c r="D4" s="352"/>
      <c r="E4" s="66" t="s">
        <v>7</v>
      </c>
      <c r="F4" s="64">
        <f>Sumcolor(E4,D10:D39)</f>
        <v>0</v>
      </c>
      <c r="G4" s="64">
        <f>F4</f>
        <v>0</v>
      </c>
      <c r="H4" s="12"/>
      <c r="I4" s="74"/>
      <c r="J4" s="153" t="s">
        <v>98</v>
      </c>
    </row>
    <row r="5" spans="1:10" x14ac:dyDescent="0.2">
      <c r="A5" s="355"/>
      <c r="B5" s="355"/>
      <c r="C5" s="361"/>
      <c r="D5" s="361"/>
      <c r="E5" s="67" t="s">
        <v>8</v>
      </c>
      <c r="F5" s="64">
        <f>Sumcolor(E5,D10:D39)</f>
        <v>0.16666666666666669</v>
      </c>
      <c r="G5" s="65">
        <f>F5</f>
        <v>0.16666666666666669</v>
      </c>
      <c r="H5" s="12"/>
      <c r="I5" s="74"/>
      <c r="J5" s="152" t="e">
        <f ca="1">SUM('Uke5'!E4:E7)</f>
        <v>#VALUE!</v>
      </c>
    </row>
    <row r="6" spans="1:10" ht="13.5" thickBot="1" x14ac:dyDescent="0.25">
      <c r="A6" s="68">
        <f>SUM(D10:D39)</f>
        <v>0.44791666666666646</v>
      </c>
      <c r="B6" s="69"/>
      <c r="C6" s="75" t="e">
        <f ca="1">SUM(G3:G6)</f>
        <v>#VALUE!</v>
      </c>
      <c r="D6" s="70"/>
      <c r="E6" s="71" t="s">
        <v>9</v>
      </c>
      <c r="F6" s="72">
        <f>Sumcolor(E6,D10:D39)</f>
        <v>0.13541666666666655</v>
      </c>
      <c r="G6" s="72" t="e">
        <f ca="1">SUM(F6,'Uke5'!E7,'Uke5'!E5)</f>
        <v>#VALUE!</v>
      </c>
      <c r="H6" s="12"/>
      <c r="I6" s="74"/>
      <c r="J6" s="11"/>
    </row>
    <row r="7" spans="1:10" x14ac:dyDescent="0.2">
      <c r="A7" s="18"/>
      <c r="B7" s="19"/>
      <c r="C7" s="20"/>
      <c r="D7" s="73"/>
      <c r="E7" s="19"/>
      <c r="F7" s="19"/>
      <c r="G7" s="19"/>
      <c r="H7" s="13"/>
      <c r="I7" s="1"/>
      <c r="J7" s="150"/>
    </row>
    <row r="8" spans="1:10" x14ac:dyDescent="0.2">
      <c r="A8" s="19"/>
      <c r="B8" s="22"/>
      <c r="C8" s="21"/>
      <c r="D8" s="22"/>
      <c r="E8" s="19"/>
      <c r="F8" s="19"/>
      <c r="G8" s="22"/>
      <c r="H8" s="13"/>
    </row>
    <row r="9" spans="1:10" ht="13.5" thickBot="1" x14ac:dyDescent="0.25">
      <c r="A9" s="32" t="s">
        <v>10</v>
      </c>
      <c r="B9" s="32" t="s">
        <v>11</v>
      </c>
      <c r="C9" s="32" t="s">
        <v>12</v>
      </c>
      <c r="D9" s="32" t="s">
        <v>13</v>
      </c>
      <c r="E9" s="32" t="s">
        <v>14</v>
      </c>
      <c r="F9" s="53" t="s">
        <v>15</v>
      </c>
      <c r="G9" s="22"/>
      <c r="H9" s="13"/>
    </row>
    <row r="10" spans="1:10" x14ac:dyDescent="0.2">
      <c r="A10" s="41">
        <v>43864</v>
      </c>
      <c r="B10" s="42">
        <v>1.0416666666666666E-2</v>
      </c>
      <c r="C10" s="42">
        <v>2.0833333333333332E-2</v>
      </c>
      <c r="D10" s="39">
        <f>(C10-B10)</f>
        <v>1.0416666666666666E-2</v>
      </c>
      <c r="E10" s="362" t="s">
        <v>51</v>
      </c>
      <c r="F10" s="54"/>
      <c r="G10" s="22"/>
    </row>
    <row r="11" spans="1:10" x14ac:dyDescent="0.2">
      <c r="A11" s="43"/>
      <c r="B11" s="44"/>
      <c r="C11" s="44"/>
      <c r="D11" s="23"/>
      <c r="E11" s="363"/>
      <c r="F11" s="55"/>
      <c r="G11" s="22"/>
    </row>
    <row r="12" spans="1:10" x14ac:dyDescent="0.2">
      <c r="A12" s="45">
        <v>43865</v>
      </c>
      <c r="B12" s="46">
        <v>0.90277777777777779</v>
      </c>
      <c r="C12" s="46">
        <v>0.95138888888888884</v>
      </c>
      <c r="D12" s="149">
        <f>(C12-B12)</f>
        <v>4.8611111111111049E-2</v>
      </c>
      <c r="E12" s="349" t="s">
        <v>52</v>
      </c>
      <c r="F12" s="55"/>
      <c r="G12" s="22"/>
    </row>
    <row r="13" spans="1:10" x14ac:dyDescent="0.2">
      <c r="A13" s="47"/>
      <c r="B13" s="48"/>
      <c r="C13" s="48"/>
      <c r="D13" s="24"/>
      <c r="E13" s="350"/>
      <c r="F13" s="55"/>
      <c r="G13" s="22"/>
    </row>
    <row r="14" spans="1:10" x14ac:dyDescent="0.2">
      <c r="A14" s="45">
        <v>43865</v>
      </c>
      <c r="B14" s="46">
        <v>0.95138888888888884</v>
      </c>
      <c r="C14" s="46">
        <v>0.98749999999999993</v>
      </c>
      <c r="D14" s="37">
        <f>(C14-B14)</f>
        <v>3.6111111111111094E-2</v>
      </c>
      <c r="E14" s="349" t="s">
        <v>53</v>
      </c>
      <c r="F14" s="55"/>
      <c r="G14" s="22"/>
    </row>
    <row r="15" spans="1:10" x14ac:dyDescent="0.2">
      <c r="A15" s="49"/>
      <c r="B15" s="50"/>
      <c r="C15" s="50"/>
      <c r="D15" s="24"/>
      <c r="E15" s="350"/>
      <c r="F15" s="55"/>
      <c r="G15" s="22"/>
    </row>
    <row r="16" spans="1:10" x14ac:dyDescent="0.2">
      <c r="A16" s="45">
        <v>43866</v>
      </c>
      <c r="B16" s="46">
        <v>0.41666666666666669</v>
      </c>
      <c r="C16" s="46">
        <v>0.4826388888888889</v>
      </c>
      <c r="D16" s="35">
        <f>(C16-B16)</f>
        <v>6.597222222222221E-2</v>
      </c>
      <c r="E16" s="349" t="s">
        <v>55</v>
      </c>
      <c r="F16" s="55"/>
      <c r="G16" s="22"/>
    </row>
    <row r="17" spans="1:8" x14ac:dyDescent="0.2">
      <c r="A17" s="49"/>
      <c r="B17" s="50"/>
      <c r="C17" s="50"/>
      <c r="D17" s="24"/>
      <c r="E17" s="350"/>
      <c r="F17" s="55"/>
      <c r="G17" s="22"/>
    </row>
    <row r="18" spans="1:8" x14ac:dyDescent="0.2">
      <c r="A18" s="45">
        <v>43866</v>
      </c>
      <c r="B18" s="46">
        <v>0.5</v>
      </c>
      <c r="C18" s="46">
        <v>0.5625</v>
      </c>
      <c r="D18" s="38">
        <f>(C18-B18)</f>
        <v>6.25E-2</v>
      </c>
      <c r="E18" s="349" t="s">
        <v>56</v>
      </c>
      <c r="F18" s="55"/>
      <c r="G18" s="22"/>
    </row>
    <row r="19" spans="1:8" x14ac:dyDescent="0.2">
      <c r="A19" s="49"/>
      <c r="B19" s="50"/>
      <c r="C19" s="50"/>
      <c r="D19" s="24"/>
      <c r="E19" s="350"/>
      <c r="F19" s="55"/>
      <c r="G19" s="22"/>
    </row>
    <row r="20" spans="1:8" x14ac:dyDescent="0.2">
      <c r="A20" s="45">
        <v>43866</v>
      </c>
      <c r="B20" s="46">
        <v>0.72916666666666663</v>
      </c>
      <c r="C20" s="46">
        <v>0.76041666666666663</v>
      </c>
      <c r="D20" s="35">
        <f>(C20-B20)</f>
        <v>3.125E-2</v>
      </c>
      <c r="E20" s="349" t="s">
        <v>54</v>
      </c>
      <c r="F20" s="55"/>
      <c r="G20" s="22"/>
    </row>
    <row r="21" spans="1:8" x14ac:dyDescent="0.2">
      <c r="A21" s="49"/>
      <c r="B21" s="50"/>
      <c r="C21" s="50"/>
      <c r="D21" s="24"/>
      <c r="E21" s="350"/>
      <c r="F21" s="55"/>
      <c r="G21" s="22"/>
    </row>
    <row r="22" spans="1:8" x14ac:dyDescent="0.2">
      <c r="A22" s="45">
        <v>43867</v>
      </c>
      <c r="B22" s="46">
        <v>0.41666666666666669</v>
      </c>
      <c r="C22" s="46">
        <v>0.52083333333333337</v>
      </c>
      <c r="D22" s="38">
        <f>(C22-B22)</f>
        <v>0.10416666666666669</v>
      </c>
      <c r="E22" s="349" t="s">
        <v>57</v>
      </c>
      <c r="F22" s="55"/>
      <c r="G22" s="22"/>
    </row>
    <row r="23" spans="1:8" x14ac:dyDescent="0.2">
      <c r="A23" s="49"/>
      <c r="B23" s="50"/>
      <c r="C23" s="50"/>
      <c r="D23" s="24"/>
      <c r="E23" s="350"/>
      <c r="F23" s="55"/>
      <c r="G23" s="22"/>
    </row>
    <row r="24" spans="1:8" x14ac:dyDescent="0.2">
      <c r="A24" s="45">
        <v>43870</v>
      </c>
      <c r="B24" s="46">
        <v>0.90972222222222221</v>
      </c>
      <c r="C24" s="46">
        <v>0.99861111111111101</v>
      </c>
      <c r="D24" s="36">
        <f>(C24-B24)</f>
        <v>8.8888888888888795E-2</v>
      </c>
      <c r="E24" s="33" t="s">
        <v>60</v>
      </c>
      <c r="F24" s="55"/>
    </row>
    <row r="25" spans="1:8" ht="13.5" thickBot="1" x14ac:dyDescent="0.25">
      <c r="A25" s="51"/>
      <c r="B25" s="52"/>
      <c r="C25" s="52"/>
      <c r="D25" s="25"/>
      <c r="E25" s="34" t="s">
        <v>59</v>
      </c>
      <c r="F25" s="56"/>
    </row>
    <row r="26" spans="1:8" ht="12.75" customHeight="1" x14ac:dyDescent="0.2"/>
    <row r="27" spans="1:8" ht="12.75" customHeight="1" x14ac:dyDescent="0.2"/>
    <row r="28" spans="1:8" ht="12.75" customHeight="1" x14ac:dyDescent="0.2"/>
    <row r="29" spans="1:8" x14ac:dyDescent="0.2">
      <c r="A29" s="22"/>
      <c r="B29" s="22"/>
      <c r="C29" s="22"/>
      <c r="D29" s="22"/>
      <c r="E29" s="22"/>
      <c r="F29" s="22"/>
      <c r="G29" s="22"/>
      <c r="H29" s="5"/>
    </row>
    <row r="30" spans="1:8" ht="19.5" thickBot="1" x14ac:dyDescent="0.25">
      <c r="A30" s="40" t="s">
        <v>16</v>
      </c>
      <c r="B30" s="57"/>
      <c r="C30" s="58"/>
      <c r="D30" s="26"/>
      <c r="E30" s="26"/>
      <c r="F30" s="22"/>
      <c r="G30" s="22"/>
      <c r="H30" s="5"/>
    </row>
    <row r="31" spans="1:8" ht="13.5" thickBot="1" x14ac:dyDescent="0.25">
      <c r="A31" s="27"/>
      <c r="B31" s="28"/>
      <c r="C31" s="8"/>
      <c r="D31" s="9"/>
      <c r="E31" s="29"/>
      <c r="F31" s="27"/>
      <c r="G31" s="27"/>
      <c r="H31" s="6"/>
    </row>
    <row r="32" spans="1:8" ht="15.75" customHeight="1" x14ac:dyDescent="0.2">
      <c r="A32" s="351" t="s">
        <v>58</v>
      </c>
      <c r="B32" s="352"/>
      <c r="C32" s="352"/>
      <c r="D32" s="352"/>
      <c r="E32" s="353"/>
      <c r="F32" s="22"/>
      <c r="G32" s="22"/>
      <c r="H32" s="7"/>
    </row>
    <row r="33" spans="1:8" ht="12.75" customHeight="1" x14ac:dyDescent="0.2">
      <c r="A33" s="354"/>
      <c r="B33" s="355"/>
      <c r="C33" s="355"/>
      <c r="D33" s="355"/>
      <c r="E33" s="356"/>
      <c r="F33" s="30"/>
      <c r="G33" s="30"/>
      <c r="H33" s="15"/>
    </row>
    <row r="34" spans="1:8" ht="12.75" customHeight="1" x14ac:dyDescent="0.2">
      <c r="A34" s="354"/>
      <c r="B34" s="355"/>
      <c r="C34" s="355"/>
      <c r="D34" s="355"/>
      <c r="E34" s="356"/>
      <c r="F34" s="30"/>
      <c r="G34" s="30"/>
      <c r="H34" s="15"/>
    </row>
    <row r="35" spans="1:8" ht="12.75" customHeight="1" x14ac:dyDescent="0.2">
      <c r="A35" s="354"/>
      <c r="B35" s="355"/>
      <c r="C35" s="355"/>
      <c r="D35" s="355"/>
      <c r="E35" s="356"/>
      <c r="F35" s="30"/>
      <c r="G35" s="30"/>
      <c r="H35" s="15"/>
    </row>
    <row r="36" spans="1:8" ht="12.75" customHeight="1" x14ac:dyDescent="0.2">
      <c r="A36" s="354"/>
      <c r="B36" s="355"/>
      <c r="C36" s="355"/>
      <c r="D36" s="355"/>
      <c r="E36" s="356"/>
      <c r="F36" s="30"/>
      <c r="G36" s="30"/>
      <c r="H36" s="15"/>
    </row>
    <row r="37" spans="1:8" ht="12.75" customHeight="1" x14ac:dyDescent="0.2">
      <c r="A37" s="354"/>
      <c r="B37" s="355"/>
      <c r="C37" s="355"/>
      <c r="D37" s="355"/>
      <c r="E37" s="356"/>
      <c r="F37" s="30"/>
      <c r="G37" s="30"/>
      <c r="H37" s="15"/>
    </row>
    <row r="38" spans="1:8" ht="12.75" customHeight="1" x14ac:dyDescent="0.2">
      <c r="A38" s="354"/>
      <c r="B38" s="355"/>
      <c r="C38" s="355"/>
      <c r="D38" s="355"/>
      <c r="E38" s="356"/>
      <c r="F38" s="30"/>
      <c r="G38" s="30"/>
      <c r="H38" s="15"/>
    </row>
    <row r="39" spans="1:8" ht="12.75" customHeight="1" x14ac:dyDescent="0.2">
      <c r="A39" s="354"/>
      <c r="B39" s="355"/>
      <c r="C39" s="355"/>
      <c r="D39" s="355"/>
      <c r="E39" s="356"/>
      <c r="F39" s="30"/>
      <c r="G39" s="30"/>
      <c r="H39" s="15"/>
    </row>
    <row r="40" spans="1:8" ht="12.75" customHeight="1" x14ac:dyDescent="0.2">
      <c r="A40" s="354"/>
      <c r="B40" s="355"/>
      <c r="C40" s="355"/>
      <c r="D40" s="355"/>
      <c r="E40" s="356"/>
      <c r="F40" s="30"/>
      <c r="G40" s="30"/>
      <c r="H40" s="15"/>
    </row>
    <row r="41" spans="1:8" ht="12.75" customHeight="1" x14ac:dyDescent="0.2">
      <c r="A41" s="354"/>
      <c r="B41" s="355"/>
      <c r="C41" s="355"/>
      <c r="D41" s="355"/>
      <c r="E41" s="356"/>
      <c r="F41" s="30"/>
      <c r="G41" s="30"/>
      <c r="H41" s="15"/>
    </row>
    <row r="42" spans="1:8" ht="12.75" customHeight="1" x14ac:dyDescent="0.2">
      <c r="A42" s="354"/>
      <c r="B42" s="355"/>
      <c r="C42" s="355"/>
      <c r="D42" s="355"/>
      <c r="E42" s="356"/>
      <c r="F42" s="30"/>
      <c r="G42" s="30"/>
      <c r="H42" s="15"/>
    </row>
    <row r="43" spans="1:8" ht="12.75" customHeight="1" x14ac:dyDescent="0.2">
      <c r="A43" s="354"/>
      <c r="B43" s="355"/>
      <c r="C43" s="355"/>
      <c r="D43" s="355"/>
      <c r="E43" s="356"/>
      <c r="F43" s="30"/>
      <c r="G43" s="30"/>
      <c r="H43" s="15"/>
    </row>
    <row r="44" spans="1:8" ht="13.5" customHeight="1" x14ac:dyDescent="0.2">
      <c r="A44" s="354"/>
      <c r="B44" s="355"/>
      <c r="C44" s="355"/>
      <c r="D44" s="355"/>
      <c r="E44" s="356"/>
      <c r="F44" s="22"/>
      <c r="G44" s="22"/>
    </row>
    <row r="45" spans="1:8" ht="13.5" thickBot="1" x14ac:dyDescent="0.25">
      <c r="A45" s="357"/>
      <c r="B45" s="358"/>
      <c r="C45" s="358"/>
      <c r="D45" s="358"/>
      <c r="E45" s="359"/>
      <c r="F45" s="22"/>
      <c r="G45" s="22"/>
    </row>
  </sheetData>
  <mergeCells count="11">
    <mergeCell ref="E22:E23"/>
    <mergeCell ref="A32:E45"/>
    <mergeCell ref="A1:D1"/>
    <mergeCell ref="A4:B5"/>
    <mergeCell ref="C4:D5"/>
    <mergeCell ref="E10:E11"/>
    <mergeCell ref="E12:E13"/>
    <mergeCell ref="E20:E21"/>
    <mergeCell ref="E14:E15"/>
    <mergeCell ref="E16:E17"/>
    <mergeCell ref="E18:E19"/>
  </mergeCells>
  <conditionalFormatting sqref="H29:H30">
    <cfRule type="expression" dxfId="287" priority="16">
      <formula>ISNUMBER(SEARCH(TEXT(#REF!,"ddd"),#REF!))</formula>
    </cfRule>
  </conditionalFormatting>
  <conditionalFormatting sqref="A10:D12 A24:C24">
    <cfRule type="expression" dxfId="286" priority="17">
      <formula>ISNUMBER(SEARCH(TEXT(#REF!,"ddd"),#REF!))</formula>
    </cfRule>
  </conditionalFormatting>
  <conditionalFormatting sqref="D14:D17">
    <cfRule type="expression" dxfId="285" priority="14">
      <formula>ISNUMBER(SEARCH(TEXT(#REF!,"ddd"),#REF!))</formula>
    </cfRule>
  </conditionalFormatting>
  <conditionalFormatting sqref="A14:C17">
    <cfRule type="expression" dxfId="284" priority="11">
      <formula>ISNUMBER(SEARCH(TEXT(#REF!,"ddd"),#REF!))</formula>
    </cfRule>
  </conditionalFormatting>
  <conditionalFormatting sqref="A13:D13">
    <cfRule type="expression" dxfId="283" priority="13">
      <formula>ISNUMBER(SEARCH(TEXT(#REF!,"ddd"),#REF!))</formula>
    </cfRule>
  </conditionalFormatting>
  <conditionalFormatting sqref="D18:D19">
    <cfRule type="expression" dxfId="282" priority="7">
      <formula>ISNUMBER(SEARCH(TEXT(#REF!,"ddd"),#REF!))</formula>
    </cfRule>
  </conditionalFormatting>
  <conditionalFormatting sqref="A18:C19">
    <cfRule type="expression" dxfId="281" priority="6">
      <formula>ISNUMBER(SEARCH(TEXT(#REF!,"ddd"),#REF!))</formula>
    </cfRule>
  </conditionalFormatting>
  <conditionalFormatting sqref="D20:D21">
    <cfRule type="expression" dxfId="280" priority="5">
      <formula>ISNUMBER(SEARCH(TEXT(#REF!,"ddd"),#REF!))</formula>
    </cfRule>
  </conditionalFormatting>
  <conditionalFormatting sqref="A20:C21">
    <cfRule type="expression" dxfId="279" priority="4">
      <formula>ISNUMBER(SEARCH(TEXT(#REF!,"ddd"),#REF!))</formula>
    </cfRule>
  </conditionalFormatting>
  <conditionalFormatting sqref="D22:D23">
    <cfRule type="expression" dxfId="278" priority="3">
      <formula>ISNUMBER(SEARCH(TEXT(#REF!,"ddd"),#REF!))</formula>
    </cfRule>
  </conditionalFormatting>
  <conditionalFormatting sqref="A22:C23">
    <cfRule type="expression" dxfId="277" priority="2">
      <formula>ISNUMBER(SEARCH(TEXT(#REF!,"ddd"),#REF!))</formula>
    </cfRule>
  </conditionalFormatting>
  <dataValidations count="4">
    <dataValidation type="custom" allowBlank="1" showInputMessage="1" showErrorMessage="1" sqref="C10" xr:uid="{79581C00-94AE-46E7-A9A6-0BD765E61E4F}">
      <formula1>AND($C10&lt;=1,ISNUMBER($C10),($C10&gt;=$B10))</formula1>
    </dataValidation>
    <dataValidation type="custom" allowBlank="1" showInputMessage="1" showErrorMessage="1" sqref="C11:C13 B10:B13 B14:C17 B24:C24" xr:uid="{7A60060D-6613-4DAC-8121-C9502F284634}">
      <formula1>AND($B10&lt;=1,ISNUMBER($B10))</formula1>
    </dataValidation>
    <dataValidation type="custom" allowBlank="1" showInputMessage="1" showErrorMessage="1" sqref="B18:C18 B21:C23" xr:uid="{9FDF69AF-AC2B-4D5E-BD9D-BBC6A132B653}">
      <formula1>AND($K18&lt;=1,ISNUMBER($K18))</formula1>
    </dataValidation>
    <dataValidation type="custom" allowBlank="1" showInputMessage="1" showErrorMessage="1" sqref="B19:C20" xr:uid="{921B4B43-A4DD-4AB5-9901-6BA33F53F2D6}">
      <formula1>AND(#REF!&lt;=1,ISNUMBER(#REF!))</formula1>
    </dataValidation>
  </dataValidations>
  <pageMargins left="0.11811023622047245" right="0" top="0.11811023622047245" bottom="0" header="0" footer="0"/>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6FE06-FE51-4270-A3BF-E94095974452}">
  <sheetPr codeName="Sheet10"/>
  <dimension ref="A1:M63"/>
  <sheetViews>
    <sheetView showGridLines="0" zoomScale="117" zoomScaleNormal="117" workbookViewId="0">
      <selection activeCell="E28" sqref="E28:F29"/>
    </sheetView>
  </sheetViews>
  <sheetFormatPr baseColWidth="10" defaultColWidth="9" defaultRowHeight="12.75" x14ac:dyDescent="0.2"/>
  <cols>
    <col min="1" max="1" width="10" style="79" customWidth="1"/>
    <col min="2" max="2" width="5.625" style="79" customWidth="1"/>
    <col min="3" max="3" width="8.875" style="79" bestFit="1" customWidth="1"/>
    <col min="4" max="4" width="8.625" style="79" customWidth="1"/>
    <col min="5" max="5" width="29.625" style="79" customWidth="1"/>
    <col min="6" max="6" width="14.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WEEKNUM(A10)</f>
        <v>7</v>
      </c>
      <c r="F1" s="77"/>
      <c r="G1" s="78"/>
      <c r="H1"/>
      <c r="I1"/>
      <c r="J1"/>
      <c r="K1"/>
      <c r="L1"/>
      <c r="M1"/>
    </row>
    <row r="2" spans="1:13" s="82" customFormat="1" x14ac:dyDescent="0.2">
      <c r="A2" s="80" t="s">
        <v>0</v>
      </c>
      <c r="B2" s="80"/>
      <c r="C2" s="80" t="s">
        <v>1</v>
      </c>
      <c r="D2" s="80"/>
      <c r="E2" s="81" t="s">
        <v>2</v>
      </c>
      <c r="F2" s="81" t="s">
        <v>3</v>
      </c>
      <c r="G2" s="81" t="s">
        <v>4</v>
      </c>
      <c r="H2"/>
      <c r="I2"/>
      <c r="J2"/>
      <c r="K2"/>
      <c r="L2"/>
      <c r="M2"/>
    </row>
    <row r="3" spans="1:13" ht="13.5" thickBot="1" x14ac:dyDescent="0.25">
      <c r="A3" s="83">
        <f>MIN(A10:A45)</f>
        <v>43871</v>
      </c>
      <c r="B3" s="84"/>
      <c r="C3" s="83">
        <f>MAXA(A10:A45)</f>
        <v>43876</v>
      </c>
      <c r="D3" s="84"/>
      <c r="E3" s="85" t="s">
        <v>5</v>
      </c>
      <c r="F3" s="86">
        <f>Sumcolor(E3,D10:D45)</f>
        <v>0</v>
      </c>
      <c r="G3" s="86" t="e">
        <f ca="1">SUM(INDIRECT(CONCATENATE("Uke",TEXT(VALUE(MID(CELL("filnavn",A1),FIND("]",CELL("filnavn",A1))+4,1))-1,0),"!G3")),F3)</f>
        <v>#VALUE!</v>
      </c>
      <c r="H3"/>
      <c r="I3"/>
      <c r="J3"/>
      <c r="K3"/>
      <c r="L3"/>
      <c r="M3"/>
    </row>
    <row r="4" spans="1:13" x14ac:dyDescent="0.2">
      <c r="A4" s="365" t="s">
        <v>6</v>
      </c>
      <c r="B4" s="365"/>
      <c r="C4" s="365" t="s">
        <v>50</v>
      </c>
      <c r="D4" s="365"/>
      <c r="E4" s="87" t="s">
        <v>7</v>
      </c>
      <c r="F4" s="86">
        <f>Sumcolor(E4,D10:D45)</f>
        <v>0</v>
      </c>
      <c r="G4" s="86">
        <f ca="1">SUM(INDIRECT(CONCATENATE("Uke",TEXT(VALUE(MID(CELL("filnavn",A1),FIND("]",CELL("filnavn",A1))+4,1))-1,0),"!G4")),F4)</f>
        <v>0</v>
      </c>
      <c r="H4"/>
      <c r="I4"/>
      <c r="J4"/>
      <c r="K4"/>
      <c r="L4"/>
      <c r="M4"/>
    </row>
    <row r="5" spans="1:13" x14ac:dyDescent="0.2">
      <c r="A5" s="366"/>
      <c r="B5" s="366"/>
      <c r="C5" s="366"/>
      <c r="D5" s="366"/>
      <c r="E5" s="88" t="s">
        <v>8</v>
      </c>
      <c r="F5" s="86">
        <f>Sumcolor(E5,D10:D45)</f>
        <v>0.30555555555555552</v>
      </c>
      <c r="G5" s="86">
        <f ca="1">SUM(INDIRECT(CONCATENATE("Uke",TEXT(VALUE(MID(CELL("filnavn",A1),FIND("]",CELL("filnavn",A1))+4,1))-1,0),"!G5")),F5)</f>
        <v>0.47222222222222221</v>
      </c>
      <c r="H5"/>
      <c r="I5" s="157"/>
      <c r="J5"/>
      <c r="K5"/>
      <c r="L5"/>
      <c r="M5"/>
    </row>
    <row r="6" spans="1:13" ht="13.5" thickBot="1" x14ac:dyDescent="0.25">
      <c r="A6" s="89">
        <f>SUM(D10:D45)</f>
        <v>0.62152777777777768</v>
      </c>
      <c r="B6" s="90"/>
      <c r="C6" s="91" t="e">
        <f ca="1">SUM(G3:G6)</f>
        <v>#VALUE!</v>
      </c>
      <c r="D6" s="92"/>
      <c r="E6" s="93" t="s">
        <v>9</v>
      </c>
      <c r="F6" s="94">
        <f>Sumcolor(E6,D10:D45)</f>
        <v>0.31597222222222221</v>
      </c>
      <c r="G6" s="94" t="e">
        <f ca="1">SUM(INDIRECT(CONCATENATE("Uke",TEXT(VALUE(MID(CELL("filnavn",A1),FIND("]",CELL("filnavn",A1))+4,1))-1,0),"!G6")),F6)</f>
        <v>#VALUE!</v>
      </c>
      <c r="H6"/>
      <c r="I6" s="157"/>
      <c r="J6"/>
      <c r="K6"/>
      <c r="L6"/>
      <c r="M6"/>
    </row>
    <row r="7" spans="1:13" x14ac:dyDescent="0.2">
      <c r="A7" s="95"/>
      <c r="B7" s="96"/>
      <c r="C7" s="97"/>
      <c r="D7" s="98"/>
      <c r="E7" s="96"/>
      <c r="F7" s="96"/>
      <c r="G7" s="96"/>
      <c r="H7"/>
      <c r="I7"/>
      <c r="J7"/>
      <c r="K7"/>
      <c r="L7"/>
      <c r="M7"/>
    </row>
    <row r="8" spans="1:13" x14ac:dyDescent="0.2">
      <c r="A8" s="96"/>
      <c r="C8" s="99"/>
      <c r="E8" s="96"/>
      <c r="F8" s="96"/>
      <c r="H8"/>
      <c r="I8"/>
      <c r="J8"/>
      <c r="K8"/>
      <c r="L8"/>
      <c r="M8"/>
    </row>
    <row r="9" spans="1:13" ht="13.5" thickBot="1" x14ac:dyDescent="0.25">
      <c r="A9" s="80" t="s">
        <v>10</v>
      </c>
      <c r="B9" s="80" t="s">
        <v>11</v>
      </c>
      <c r="C9" s="80" t="s">
        <v>12</v>
      </c>
      <c r="D9" s="80" t="s">
        <v>13</v>
      </c>
      <c r="E9" s="80" t="s">
        <v>14</v>
      </c>
      <c r="G9" s="100" t="s">
        <v>15</v>
      </c>
      <c r="H9"/>
      <c r="I9"/>
      <c r="J9"/>
      <c r="K9"/>
      <c r="L9"/>
      <c r="M9"/>
    </row>
    <row r="10" spans="1:13" x14ac:dyDescent="0.2">
      <c r="A10" s="367">
        <v>43871</v>
      </c>
      <c r="B10" s="369">
        <v>0.58333333333333337</v>
      </c>
      <c r="C10" s="369">
        <v>0.64583333333333337</v>
      </c>
      <c r="D10" s="377">
        <f>(C10-B10)</f>
        <v>6.25E-2</v>
      </c>
      <c r="E10" s="381" t="s">
        <v>99</v>
      </c>
      <c r="F10" s="382"/>
      <c r="G10" s="371"/>
      <c r="H10"/>
      <c r="I10"/>
      <c r="J10"/>
      <c r="K10"/>
      <c r="L10"/>
      <c r="M10"/>
    </row>
    <row r="11" spans="1:13" x14ac:dyDescent="0.2">
      <c r="A11" s="368"/>
      <c r="B11" s="370"/>
      <c r="C11" s="370"/>
      <c r="D11" s="378"/>
      <c r="E11" s="383"/>
      <c r="F11" s="384"/>
      <c r="G11" s="372"/>
      <c r="H11"/>
      <c r="I11"/>
      <c r="J11"/>
      <c r="K11"/>
      <c r="L11"/>
      <c r="M11"/>
    </row>
    <row r="12" spans="1:13" x14ac:dyDescent="0.2">
      <c r="A12" s="373">
        <v>43871</v>
      </c>
      <c r="B12" s="375">
        <v>0.54166666666666663</v>
      </c>
      <c r="C12" s="375">
        <v>0.56944444444444442</v>
      </c>
      <c r="D12" s="379">
        <f>(C12-B12)</f>
        <v>2.777777777777779E-2</v>
      </c>
      <c r="E12" s="385" t="s">
        <v>104</v>
      </c>
      <c r="F12" s="386"/>
      <c r="G12" s="372"/>
      <c r="H12"/>
      <c r="I12"/>
      <c r="J12"/>
      <c r="K12"/>
      <c r="L12"/>
      <c r="M12"/>
    </row>
    <row r="13" spans="1:13" x14ac:dyDescent="0.2">
      <c r="A13" s="374"/>
      <c r="B13" s="376"/>
      <c r="C13" s="376"/>
      <c r="D13" s="380"/>
      <c r="E13" s="387"/>
      <c r="F13" s="388"/>
      <c r="G13" s="372"/>
      <c r="H13"/>
      <c r="I13"/>
      <c r="J13"/>
      <c r="K13"/>
      <c r="L13"/>
      <c r="M13"/>
    </row>
    <row r="14" spans="1:13" ht="12.75" customHeight="1" x14ac:dyDescent="0.2">
      <c r="A14" s="373">
        <v>43873</v>
      </c>
      <c r="B14" s="375">
        <v>0.43402777777777773</v>
      </c>
      <c r="C14" s="375">
        <v>0.46875</v>
      </c>
      <c r="D14" s="379">
        <f>(C14-B14)</f>
        <v>3.4722222222222265E-2</v>
      </c>
      <c r="E14" s="385" t="s">
        <v>105</v>
      </c>
      <c r="F14" s="386"/>
      <c r="G14" s="372"/>
      <c r="H14"/>
      <c r="I14"/>
      <c r="J14"/>
      <c r="K14"/>
      <c r="L14"/>
      <c r="M14"/>
    </row>
    <row r="15" spans="1:13" x14ac:dyDescent="0.2">
      <c r="A15" s="374"/>
      <c r="B15" s="376"/>
      <c r="C15" s="376"/>
      <c r="D15" s="380"/>
      <c r="E15" s="387"/>
      <c r="F15" s="388"/>
      <c r="G15" s="372"/>
      <c r="H15"/>
      <c r="I15"/>
      <c r="J15"/>
      <c r="K15"/>
      <c r="L15"/>
      <c r="M15"/>
    </row>
    <row r="16" spans="1:13" x14ac:dyDescent="0.2">
      <c r="A16" s="389">
        <v>43873</v>
      </c>
      <c r="B16" s="390">
        <v>0.47222222222222227</v>
      </c>
      <c r="C16" s="390">
        <v>0.47916666666666669</v>
      </c>
      <c r="D16" s="395">
        <f>(C16-B16)</f>
        <v>6.9444444444444198E-3</v>
      </c>
      <c r="E16" s="391" t="s">
        <v>100</v>
      </c>
      <c r="F16" s="392"/>
      <c r="G16" s="372"/>
      <c r="H16"/>
      <c r="I16"/>
      <c r="J16"/>
      <c r="K16"/>
      <c r="L16"/>
      <c r="M16"/>
    </row>
    <row r="17" spans="1:13" x14ac:dyDescent="0.2">
      <c r="A17" s="368"/>
      <c r="B17" s="370"/>
      <c r="C17" s="370"/>
      <c r="D17" s="378"/>
      <c r="E17" s="393"/>
      <c r="F17" s="394"/>
      <c r="G17" s="372"/>
      <c r="H17"/>
      <c r="I17"/>
      <c r="J17"/>
      <c r="K17"/>
      <c r="L17"/>
      <c r="M17"/>
    </row>
    <row r="18" spans="1:13" x14ac:dyDescent="0.2">
      <c r="A18" s="373">
        <v>43874</v>
      </c>
      <c r="B18" s="375">
        <v>0.33333333333333331</v>
      </c>
      <c r="C18" s="375">
        <v>0.375</v>
      </c>
      <c r="D18" s="379">
        <f>(C18-B18)</f>
        <v>4.1666666666666685E-2</v>
      </c>
      <c r="E18" s="385" t="s">
        <v>106</v>
      </c>
      <c r="F18" s="386"/>
      <c r="G18" s="372"/>
      <c r="H18"/>
      <c r="I18"/>
      <c r="J18"/>
      <c r="K18"/>
      <c r="L18"/>
      <c r="M18"/>
    </row>
    <row r="19" spans="1:13" x14ac:dyDescent="0.2">
      <c r="A19" s="374"/>
      <c r="B19" s="376"/>
      <c r="C19" s="376"/>
      <c r="D19" s="380"/>
      <c r="E19" s="387"/>
      <c r="F19" s="388"/>
      <c r="G19" s="372"/>
      <c r="H19"/>
      <c r="I19"/>
      <c r="J19"/>
      <c r="K19"/>
      <c r="L19"/>
      <c r="M19"/>
    </row>
    <row r="20" spans="1:13" ht="12.75" customHeight="1" x14ac:dyDescent="0.2">
      <c r="A20" s="389">
        <v>43874</v>
      </c>
      <c r="B20" s="390">
        <v>0.41666666666666669</v>
      </c>
      <c r="C20" s="390">
        <v>0.47916666666666669</v>
      </c>
      <c r="D20" s="395">
        <f>(C20-B20)</f>
        <v>6.25E-2</v>
      </c>
      <c r="E20" s="391" t="s">
        <v>101</v>
      </c>
      <c r="F20" s="392"/>
      <c r="G20" s="372"/>
      <c r="H20"/>
      <c r="I20"/>
      <c r="J20"/>
      <c r="K20"/>
      <c r="L20"/>
      <c r="M20"/>
    </row>
    <row r="21" spans="1:13" x14ac:dyDescent="0.2">
      <c r="A21" s="368"/>
      <c r="B21" s="370"/>
      <c r="C21" s="370"/>
      <c r="D21" s="378"/>
      <c r="E21" s="393"/>
      <c r="F21" s="394"/>
      <c r="G21" s="372"/>
      <c r="H21"/>
      <c r="I21"/>
      <c r="J21"/>
      <c r="K21"/>
      <c r="L21"/>
      <c r="M21"/>
    </row>
    <row r="22" spans="1:13" ht="12.75" customHeight="1" x14ac:dyDescent="0.2">
      <c r="A22" s="389">
        <v>43875</v>
      </c>
      <c r="B22" s="390">
        <v>0.4236111111111111</v>
      </c>
      <c r="C22" s="390">
        <v>0.49305555555555558</v>
      </c>
      <c r="D22" s="395">
        <f>(C22-B22)</f>
        <v>6.9444444444444475E-2</v>
      </c>
      <c r="E22" s="391" t="s">
        <v>102</v>
      </c>
      <c r="F22" s="392"/>
      <c r="G22" s="372"/>
      <c r="H22"/>
      <c r="I22"/>
      <c r="J22"/>
      <c r="K22"/>
      <c r="L22"/>
      <c r="M22"/>
    </row>
    <row r="23" spans="1:13" x14ac:dyDescent="0.2">
      <c r="A23" s="368"/>
      <c r="B23" s="370"/>
      <c r="C23" s="370"/>
      <c r="D23" s="378"/>
      <c r="E23" s="393"/>
      <c r="F23" s="394"/>
      <c r="G23" s="372"/>
      <c r="H23"/>
      <c r="I23"/>
      <c r="J23"/>
      <c r="K23"/>
      <c r="L23"/>
      <c r="M23"/>
    </row>
    <row r="24" spans="1:13" x14ac:dyDescent="0.2">
      <c r="A24" s="389">
        <v>43875</v>
      </c>
      <c r="B24" s="390">
        <v>0.51388888888888895</v>
      </c>
      <c r="C24" s="390">
        <v>0.54166666666666663</v>
      </c>
      <c r="D24" s="402">
        <f>(C24-B24)</f>
        <v>2.7777777777777679E-2</v>
      </c>
      <c r="E24" s="391" t="s">
        <v>103</v>
      </c>
      <c r="F24" s="392"/>
      <c r="G24" s="372"/>
      <c r="H24"/>
      <c r="I24"/>
      <c r="J24"/>
      <c r="K24"/>
      <c r="L24"/>
      <c r="M24"/>
    </row>
    <row r="25" spans="1:13" x14ac:dyDescent="0.2">
      <c r="A25" s="368"/>
      <c r="B25" s="370"/>
      <c r="C25" s="370"/>
      <c r="D25" s="403"/>
      <c r="E25" s="393"/>
      <c r="F25" s="394"/>
      <c r="G25" s="372"/>
      <c r="H25"/>
      <c r="I25"/>
      <c r="J25"/>
      <c r="K25"/>
      <c r="L25"/>
      <c r="M25"/>
    </row>
    <row r="26" spans="1:13" ht="12.75" customHeight="1" x14ac:dyDescent="0.2">
      <c r="A26" s="373">
        <v>43875</v>
      </c>
      <c r="B26" s="375">
        <v>0.55208333333333337</v>
      </c>
      <c r="C26" s="375">
        <v>0.60416666666666663</v>
      </c>
      <c r="D26" s="404">
        <f>(C26-B26)</f>
        <v>5.2083333333333259E-2</v>
      </c>
      <c r="E26" s="385" t="s">
        <v>107</v>
      </c>
      <c r="F26" s="386"/>
      <c r="G26" s="372"/>
      <c r="H26"/>
      <c r="I26"/>
      <c r="J26"/>
      <c r="K26"/>
      <c r="L26"/>
      <c r="M26"/>
    </row>
    <row r="27" spans="1:13" ht="12.75" customHeight="1" x14ac:dyDescent="0.2">
      <c r="A27" s="374"/>
      <c r="B27" s="376"/>
      <c r="C27" s="376"/>
      <c r="D27" s="405"/>
      <c r="E27" s="387"/>
      <c r="F27" s="388"/>
      <c r="G27" s="372"/>
      <c r="H27"/>
      <c r="I27"/>
      <c r="J27"/>
      <c r="K27"/>
      <c r="L27"/>
      <c r="M27"/>
    </row>
    <row r="28" spans="1:13" ht="12.75" customHeight="1" x14ac:dyDescent="0.2">
      <c r="A28" s="373">
        <v>43875</v>
      </c>
      <c r="B28" s="375">
        <v>0.60416666666666663</v>
      </c>
      <c r="C28" s="375">
        <v>0.72222222222222221</v>
      </c>
      <c r="D28" s="404">
        <f>(C28-B28)</f>
        <v>0.11805555555555558</v>
      </c>
      <c r="E28" s="385" t="s">
        <v>108</v>
      </c>
      <c r="F28" s="386"/>
      <c r="G28" s="155"/>
      <c r="H28"/>
      <c r="I28"/>
      <c r="J28"/>
      <c r="K28"/>
      <c r="L28"/>
      <c r="M28"/>
    </row>
    <row r="29" spans="1:13" x14ac:dyDescent="0.2">
      <c r="A29" s="408"/>
      <c r="B29" s="407"/>
      <c r="C29" s="407"/>
      <c r="D29" s="406"/>
      <c r="E29" s="409"/>
      <c r="F29" s="410"/>
      <c r="G29" s="155"/>
      <c r="H29"/>
      <c r="I29"/>
      <c r="J29"/>
      <c r="K29"/>
      <c r="L29"/>
      <c r="M29"/>
    </row>
    <row r="30" spans="1:13" ht="12.75" customHeight="1" x14ac:dyDescent="0.2">
      <c r="A30" s="396">
        <v>43876</v>
      </c>
      <c r="B30" s="398">
        <v>0.59722222222222221</v>
      </c>
      <c r="C30" s="398">
        <v>0.67361111111111116</v>
      </c>
      <c r="D30" s="400">
        <f>(C30-B30)</f>
        <v>7.6388888888888951E-2</v>
      </c>
      <c r="E30" s="411" t="s">
        <v>103</v>
      </c>
      <c r="F30" s="412"/>
      <c r="G30" s="155"/>
      <c r="H30"/>
      <c r="I30"/>
      <c r="J30"/>
      <c r="K30"/>
      <c r="L30"/>
      <c r="M30"/>
    </row>
    <row r="31" spans="1:13" ht="13.5" thickBot="1" x14ac:dyDescent="0.25">
      <c r="A31" s="397"/>
      <c r="B31" s="399"/>
      <c r="C31" s="399"/>
      <c r="D31" s="401"/>
      <c r="E31" s="413"/>
      <c r="F31" s="414"/>
      <c r="G31" s="155"/>
      <c r="H31"/>
      <c r="I31"/>
      <c r="J31"/>
      <c r="K31"/>
      <c r="L31"/>
      <c r="M31"/>
    </row>
    <row r="32" spans="1:13" x14ac:dyDescent="0.2">
      <c r="A32" s="373">
        <v>43876</v>
      </c>
      <c r="B32" s="375">
        <v>0.6875</v>
      </c>
      <c r="C32" s="375">
        <v>0.72916666666666663</v>
      </c>
      <c r="D32" s="404">
        <f>(C32-B32)</f>
        <v>4.166666666666663E-2</v>
      </c>
      <c r="E32" s="385" t="s">
        <v>109</v>
      </c>
      <c r="F32" s="386"/>
      <c r="G32" s="155"/>
      <c r="H32"/>
      <c r="I32"/>
      <c r="J32"/>
      <c r="K32"/>
      <c r="L32"/>
      <c r="M32"/>
    </row>
    <row r="33" spans="1:13" ht="13.5" thickBot="1" x14ac:dyDescent="0.25">
      <c r="A33" s="415"/>
      <c r="B33" s="416"/>
      <c r="C33" s="416"/>
      <c r="D33" s="417"/>
      <c r="E33" s="418"/>
      <c r="F33" s="419"/>
      <c r="G33" s="156"/>
      <c r="H33"/>
      <c r="I33"/>
      <c r="J33"/>
      <c r="K33"/>
      <c r="L33"/>
      <c r="M33"/>
    </row>
    <row r="34" spans="1:13" x14ac:dyDescent="0.2">
      <c r="A34"/>
      <c r="B34"/>
      <c r="C34"/>
      <c r="D34"/>
      <c r="E34"/>
      <c r="F34"/>
      <c r="G34"/>
      <c r="H34"/>
      <c r="I34"/>
      <c r="J34"/>
      <c r="K34"/>
      <c r="L34"/>
      <c r="M34"/>
    </row>
    <row r="35" spans="1:13" ht="19.5" thickBot="1" x14ac:dyDescent="0.25">
      <c r="A35" s="101" t="s">
        <v>16</v>
      </c>
      <c r="B35" s="102"/>
      <c r="C35" s="103"/>
      <c r="D35" s="104"/>
      <c r="E35" s="104"/>
      <c r="H35"/>
      <c r="I35"/>
      <c r="J35"/>
      <c r="K35"/>
      <c r="L35"/>
      <c r="M35"/>
    </row>
    <row r="36" spans="1:13" x14ac:dyDescent="0.2">
      <c r="B36" s="105"/>
      <c r="C36" s="106"/>
      <c r="D36" s="107"/>
      <c r="E36" s="108"/>
      <c r="H36"/>
      <c r="I36"/>
      <c r="J36"/>
      <c r="K36"/>
      <c r="L36"/>
      <c r="M36"/>
    </row>
    <row r="37" spans="1:13" ht="15.75" customHeight="1" x14ac:dyDescent="0.2">
      <c r="H37"/>
      <c r="I37"/>
      <c r="J37"/>
      <c r="K37"/>
      <c r="L37"/>
      <c r="M37"/>
    </row>
    <row r="38" spans="1:13" ht="12.75" customHeight="1" x14ac:dyDescent="0.2">
      <c r="F38" s="97"/>
      <c r="H38"/>
      <c r="I38"/>
      <c r="J38"/>
      <c r="K38"/>
      <c r="L38"/>
      <c r="M38"/>
    </row>
    <row r="39" spans="1:13" ht="12.75" customHeight="1" x14ac:dyDescent="0.2">
      <c r="F39" s="97"/>
      <c r="H39"/>
      <c r="I39"/>
      <c r="J39"/>
      <c r="K39"/>
      <c r="L39"/>
      <c r="M39"/>
    </row>
    <row r="40" spans="1:13" ht="12.75" customHeight="1" x14ac:dyDescent="0.2">
      <c r="F40" s="97"/>
      <c r="H40"/>
      <c r="I40"/>
      <c r="J40"/>
      <c r="K40"/>
      <c r="L40"/>
      <c r="M40"/>
    </row>
    <row r="41" spans="1:13" ht="12.75" customHeight="1" x14ac:dyDescent="0.2">
      <c r="F41" s="97"/>
      <c r="H41"/>
      <c r="I41"/>
      <c r="J41"/>
      <c r="K41"/>
      <c r="L41"/>
      <c r="M41"/>
    </row>
    <row r="42" spans="1:13" ht="12.75" customHeight="1" x14ac:dyDescent="0.2">
      <c r="F42" s="97"/>
      <c r="H42"/>
      <c r="I42"/>
      <c r="J42"/>
      <c r="K42"/>
      <c r="L42"/>
      <c r="M42"/>
    </row>
    <row r="43" spans="1:13" ht="12.75" customHeight="1" x14ac:dyDescent="0.2">
      <c r="F43" s="97"/>
      <c r="H43"/>
      <c r="I43"/>
      <c r="J43"/>
      <c r="K43"/>
      <c r="L43"/>
      <c r="M43"/>
    </row>
    <row r="44" spans="1:13" ht="12.75" customHeight="1" x14ac:dyDescent="0.2">
      <c r="F44" s="97"/>
      <c r="H44"/>
      <c r="I44"/>
      <c r="J44"/>
      <c r="K44"/>
      <c r="L44"/>
      <c r="M44"/>
    </row>
    <row r="45" spans="1:13" ht="12.75" customHeight="1" x14ac:dyDescent="0.2">
      <c r="F45" s="97"/>
      <c r="H45"/>
      <c r="I45"/>
      <c r="J45"/>
      <c r="K45"/>
      <c r="L45"/>
      <c r="M45"/>
    </row>
    <row r="46" spans="1:13" ht="12.75" customHeight="1" x14ac:dyDescent="0.2">
      <c r="F46" s="97"/>
      <c r="H46"/>
      <c r="I46"/>
      <c r="J46"/>
      <c r="K46"/>
      <c r="L46"/>
      <c r="M46"/>
    </row>
    <row r="47" spans="1:13" ht="12.75" customHeight="1" x14ac:dyDescent="0.2">
      <c r="F47" s="97"/>
      <c r="H47"/>
      <c r="I47"/>
      <c r="J47"/>
      <c r="K47"/>
      <c r="L47"/>
      <c r="M47"/>
    </row>
    <row r="48" spans="1:13" ht="12.75" customHeight="1" x14ac:dyDescent="0.2">
      <c r="F48" s="97"/>
      <c r="H48"/>
      <c r="I48"/>
      <c r="J48"/>
      <c r="K48"/>
      <c r="L48"/>
      <c r="M48"/>
    </row>
    <row r="49" spans="8:13" ht="13.5" customHeight="1" x14ac:dyDescent="0.2">
      <c r="H49"/>
      <c r="I49"/>
      <c r="J49"/>
      <c r="K49"/>
      <c r="L49"/>
      <c r="M49"/>
    </row>
    <row r="50" spans="8:13" x14ac:dyDescent="0.2">
      <c r="H50"/>
      <c r="I50"/>
      <c r="J50"/>
      <c r="K50"/>
      <c r="L50"/>
      <c r="M50"/>
    </row>
    <row r="51" spans="8:13" x14ac:dyDescent="0.2">
      <c r="H51"/>
      <c r="I51"/>
      <c r="J51"/>
      <c r="K51"/>
      <c r="L51"/>
      <c r="M51"/>
    </row>
    <row r="52" spans="8:13" x14ac:dyDescent="0.2">
      <c r="H52"/>
      <c r="I52"/>
      <c r="J52"/>
      <c r="K52"/>
      <c r="L52"/>
      <c r="M52"/>
    </row>
    <row r="53" spans="8:13" x14ac:dyDescent="0.2">
      <c r="H53"/>
      <c r="I53"/>
      <c r="J53"/>
      <c r="K53"/>
      <c r="L53"/>
      <c r="M53"/>
    </row>
    <row r="54" spans="8:13" x14ac:dyDescent="0.2">
      <c r="H54"/>
      <c r="I54"/>
      <c r="J54"/>
      <c r="K54"/>
      <c r="L54"/>
      <c r="M54"/>
    </row>
    <row r="55" spans="8:13" x14ac:dyDescent="0.2">
      <c r="H55"/>
      <c r="I55"/>
      <c r="J55"/>
      <c r="K55"/>
      <c r="L55"/>
      <c r="M55"/>
    </row>
    <row r="56" spans="8:13" x14ac:dyDescent="0.2">
      <c r="H56"/>
      <c r="I56"/>
      <c r="J56"/>
      <c r="K56"/>
      <c r="L56"/>
      <c r="M56"/>
    </row>
    <row r="57" spans="8:13" x14ac:dyDescent="0.2">
      <c r="H57"/>
      <c r="I57"/>
      <c r="J57"/>
      <c r="K57"/>
      <c r="L57"/>
      <c r="M57"/>
    </row>
    <row r="58" spans="8:13" x14ac:dyDescent="0.2">
      <c r="H58"/>
      <c r="I58"/>
      <c r="J58"/>
      <c r="K58"/>
      <c r="L58"/>
      <c r="M58"/>
    </row>
    <row r="59" spans="8:13" x14ac:dyDescent="0.2">
      <c r="H59"/>
      <c r="I59"/>
      <c r="J59"/>
      <c r="K59"/>
      <c r="L59"/>
      <c r="M59"/>
    </row>
    <row r="60" spans="8:13" x14ac:dyDescent="0.2">
      <c r="H60"/>
      <c r="I60"/>
      <c r="J60"/>
      <c r="K60"/>
      <c r="L60"/>
      <c r="M60"/>
    </row>
    <row r="61" spans="8:13" x14ac:dyDescent="0.2">
      <c r="H61"/>
      <c r="I61"/>
      <c r="J61"/>
      <c r="K61"/>
      <c r="L61"/>
      <c r="M61"/>
    </row>
    <row r="62" spans="8:13" x14ac:dyDescent="0.2">
      <c r="H62"/>
      <c r="I62"/>
      <c r="J62"/>
      <c r="K62"/>
      <c r="L62"/>
      <c r="M62"/>
    </row>
    <row r="63" spans="8:13" x14ac:dyDescent="0.2">
      <c r="H63"/>
      <c r="I63"/>
      <c r="J63"/>
      <c r="K63"/>
      <c r="L63"/>
      <c r="M63"/>
    </row>
  </sheetData>
  <mergeCells count="72">
    <mergeCell ref="A32:A33"/>
    <mergeCell ref="B32:B33"/>
    <mergeCell ref="C32:C33"/>
    <mergeCell ref="D32:D33"/>
    <mergeCell ref="E32:F33"/>
    <mergeCell ref="E22:F23"/>
    <mergeCell ref="E24:F25"/>
    <mergeCell ref="E26:F27"/>
    <mergeCell ref="E28:F29"/>
    <mergeCell ref="E30:F31"/>
    <mergeCell ref="D28:D29"/>
    <mergeCell ref="C28:C29"/>
    <mergeCell ref="B28:B29"/>
    <mergeCell ref="A28:A29"/>
    <mergeCell ref="A26:A27"/>
    <mergeCell ref="B26:B27"/>
    <mergeCell ref="C26:C27"/>
    <mergeCell ref="G26:G27"/>
    <mergeCell ref="G22:G23"/>
    <mergeCell ref="G24:G25"/>
    <mergeCell ref="A30:A31"/>
    <mergeCell ref="B30:B31"/>
    <mergeCell ref="C30:C31"/>
    <mergeCell ref="D30:D31"/>
    <mergeCell ref="D22:D23"/>
    <mergeCell ref="A22:A23"/>
    <mergeCell ref="B22:B23"/>
    <mergeCell ref="C22:C23"/>
    <mergeCell ref="A24:A25"/>
    <mergeCell ref="B24:B25"/>
    <mergeCell ref="C24:C25"/>
    <mergeCell ref="D24:D25"/>
    <mergeCell ref="D26:D27"/>
    <mergeCell ref="A18:A19"/>
    <mergeCell ref="B18:B19"/>
    <mergeCell ref="C18:C19"/>
    <mergeCell ref="G18:G19"/>
    <mergeCell ref="A20:A21"/>
    <mergeCell ref="B20:B21"/>
    <mergeCell ref="C20:C21"/>
    <mergeCell ref="G20:G21"/>
    <mergeCell ref="E18:F19"/>
    <mergeCell ref="E20:F21"/>
    <mergeCell ref="D18:D19"/>
    <mergeCell ref="D20:D21"/>
    <mergeCell ref="A14:A15"/>
    <mergeCell ref="B14:B15"/>
    <mergeCell ref="C14:C15"/>
    <mergeCell ref="G14:G15"/>
    <mergeCell ref="A16:A17"/>
    <mergeCell ref="B16:B17"/>
    <mergeCell ref="C16:C17"/>
    <mergeCell ref="G16:G17"/>
    <mergeCell ref="E14:F15"/>
    <mergeCell ref="E16:F17"/>
    <mergeCell ref="D14:D15"/>
    <mergeCell ref="D16:D17"/>
    <mergeCell ref="G10:G11"/>
    <mergeCell ref="A12:A13"/>
    <mergeCell ref="B12:B13"/>
    <mergeCell ref="C12:C13"/>
    <mergeCell ref="G12:G13"/>
    <mergeCell ref="D10:D11"/>
    <mergeCell ref="D12:D13"/>
    <mergeCell ref="E10:F11"/>
    <mergeCell ref="E12:F13"/>
    <mergeCell ref="A1:D1"/>
    <mergeCell ref="A4:B5"/>
    <mergeCell ref="C4:D5"/>
    <mergeCell ref="A10:A11"/>
    <mergeCell ref="B10:B11"/>
    <mergeCell ref="C10:C11"/>
  </mergeCells>
  <conditionalFormatting sqref="A10:D10 A24:C24 A12:D12">
    <cfRule type="expression" dxfId="276" priority="11">
      <formula>ISNUMBER(SEARCH(TEXT(#REF!,"ddd"),#REF!))</formula>
    </cfRule>
  </conditionalFormatting>
  <conditionalFormatting sqref="D14 D16">
    <cfRule type="expression" dxfId="275" priority="10">
      <formula>ISNUMBER(SEARCH(TEXT(#REF!,"ddd"),#REF!))</formula>
    </cfRule>
  </conditionalFormatting>
  <conditionalFormatting sqref="A14:C14 A16:C16">
    <cfRule type="expression" dxfId="274" priority="9">
      <formula>ISNUMBER(SEARCH(TEXT(#REF!,"ddd"),#REF!))</formula>
    </cfRule>
  </conditionalFormatting>
  <conditionalFormatting sqref="D18">
    <cfRule type="expression" dxfId="273" priority="8">
      <formula>ISNUMBER(SEARCH(TEXT(#REF!,"ddd"),#REF!))</formula>
    </cfRule>
  </conditionalFormatting>
  <conditionalFormatting sqref="A18:C18">
    <cfRule type="expression" dxfId="272" priority="7">
      <formula>ISNUMBER(SEARCH(TEXT(#REF!,"ddd"),#REF!))</formula>
    </cfRule>
  </conditionalFormatting>
  <conditionalFormatting sqref="D20">
    <cfRule type="expression" dxfId="271" priority="6">
      <formula>ISNUMBER(SEARCH(TEXT(#REF!,"ddd"),#REF!))</formula>
    </cfRule>
  </conditionalFormatting>
  <conditionalFormatting sqref="A20:C20">
    <cfRule type="expression" dxfId="270" priority="5">
      <formula>ISNUMBER(SEARCH(TEXT(#REF!,"ddd"),#REF!))</formula>
    </cfRule>
  </conditionalFormatting>
  <conditionalFormatting sqref="D22">
    <cfRule type="expression" dxfId="269" priority="4">
      <formula>ISNUMBER(SEARCH(TEXT(#REF!,"ddd"),#REF!))</formula>
    </cfRule>
  </conditionalFormatting>
  <conditionalFormatting sqref="A22:C22">
    <cfRule type="expression" dxfId="268" priority="3">
      <formula>ISNUMBER(SEARCH(TEXT(#REF!,"ddd"),#REF!))</formula>
    </cfRule>
  </conditionalFormatting>
  <conditionalFormatting sqref="A26:C26 A28:C28 A30:C30">
    <cfRule type="expression" dxfId="267" priority="2">
      <formula>ISNUMBER(SEARCH(TEXT(#REF!,"ddd"),#REF!))</formula>
    </cfRule>
  </conditionalFormatting>
  <conditionalFormatting sqref="A32:C32">
    <cfRule type="expression" dxfId="266" priority="1">
      <formula>ISNUMBER(SEARCH(TEXT(#REF!,"ddd"),#REF!))</formula>
    </cfRule>
  </conditionalFormatting>
  <pageMargins left="0.11811023622047245" right="0" top="0.11811023622047245" bottom="0" header="0" footer="0"/>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4E43E-2317-42BE-AEA6-A6E853E84EDC}">
  <sheetPr codeName="Sheet11"/>
  <dimension ref="A1:M63"/>
  <sheetViews>
    <sheetView showGridLines="0" zoomScale="117" zoomScaleNormal="117" workbookViewId="0">
      <selection activeCell="C3" sqref="C3"/>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WEEKNUM(A10)</f>
        <v>8</v>
      </c>
      <c r="F1" s="77"/>
      <c r="G1" s="78"/>
      <c r="H1"/>
      <c r="I1"/>
      <c r="J1"/>
      <c r="K1"/>
      <c r="L1"/>
      <c r="M1"/>
    </row>
    <row r="2" spans="1:13" s="82" customFormat="1" x14ac:dyDescent="0.2">
      <c r="A2" s="80" t="s">
        <v>0</v>
      </c>
      <c r="B2" s="80"/>
      <c r="C2" s="80" t="s">
        <v>1</v>
      </c>
      <c r="D2" s="80"/>
      <c r="E2" s="81" t="s">
        <v>2</v>
      </c>
      <c r="F2" s="81" t="s">
        <v>3</v>
      </c>
      <c r="G2" s="81" t="s">
        <v>4</v>
      </c>
      <c r="H2"/>
      <c r="I2"/>
      <c r="J2"/>
      <c r="K2"/>
      <c r="L2"/>
      <c r="M2"/>
    </row>
    <row r="3" spans="1:13" ht="13.5" thickBot="1" x14ac:dyDescent="0.25">
      <c r="A3" s="83">
        <f>MIN(A10:A45)</f>
        <v>43878</v>
      </c>
      <c r="B3" s="84"/>
      <c r="C3" s="83">
        <f>MAXA(A10:A45)</f>
        <v>43884</v>
      </c>
      <c r="D3" s="84"/>
      <c r="E3" s="85" t="s">
        <v>5</v>
      </c>
      <c r="F3" s="159">
        <f>Sumcolor(E3,D10:D45)</f>
        <v>0.43749999999999989</v>
      </c>
      <c r="G3" s="159" t="e">
        <f ca="1">SUM(INDIRECT(CONCATENATE("Uke",TEXT(VALUE(MID(CELL("filnavn",A1),FIND("]",CELL("filnavn",A1))+4,1))-1,0),"!G3")),F3)</f>
        <v>#VALUE!</v>
      </c>
      <c r="H3"/>
      <c r="I3"/>
      <c r="J3"/>
      <c r="K3"/>
      <c r="L3"/>
      <c r="M3"/>
    </row>
    <row r="4" spans="1:13" x14ac:dyDescent="0.2">
      <c r="A4" s="365" t="s">
        <v>6</v>
      </c>
      <c r="B4" s="365"/>
      <c r="C4" s="365" t="s">
        <v>50</v>
      </c>
      <c r="D4" s="365"/>
      <c r="E4" s="87" t="s">
        <v>7</v>
      </c>
      <c r="F4" s="159">
        <f>Sumcolor(E4,D10:D45)</f>
        <v>0.12847222222222221</v>
      </c>
      <c r="G4" s="159">
        <f ca="1">SUM(INDIRECT(CONCATENATE("Uke",TEXT(VALUE(MID(CELL("filnavn",A1),FIND("]",CELL("filnavn",A1))+4,1))-1,0),"!G4")),F4)</f>
        <v>0.12847222222222221</v>
      </c>
      <c r="H4"/>
      <c r="I4"/>
      <c r="J4"/>
      <c r="K4"/>
      <c r="L4"/>
      <c r="M4"/>
    </row>
    <row r="5" spans="1:13" x14ac:dyDescent="0.2">
      <c r="A5" s="366"/>
      <c r="B5" s="366"/>
      <c r="C5" s="366"/>
      <c r="D5" s="366"/>
      <c r="E5" s="158" t="s">
        <v>8</v>
      </c>
      <c r="F5" s="159">
        <f>Sumcolor(E5,D10:D45)</f>
        <v>3.4722222222222099E-2</v>
      </c>
      <c r="G5" s="159">
        <f ca="1">SUM(INDIRECT(CONCATENATE("Uke",TEXT(VALUE(MID(CELL("filnavn",A1),FIND("]",CELL("filnavn",A1))+4,1))-1,0),"!G5")),F5)</f>
        <v>0.50694444444444431</v>
      </c>
      <c r="H5"/>
      <c r="I5" s="157"/>
      <c r="J5"/>
      <c r="K5"/>
      <c r="L5"/>
      <c r="M5"/>
    </row>
    <row r="6" spans="1:13" ht="13.5" thickBot="1" x14ac:dyDescent="0.25">
      <c r="A6" s="89">
        <f>SUM(D10:D45)</f>
        <v>0.84374999999999978</v>
      </c>
      <c r="B6" s="90"/>
      <c r="C6" s="91" t="e">
        <f ca="1">SUM(G3:G6)</f>
        <v>#VALUE!</v>
      </c>
      <c r="D6" s="92"/>
      <c r="E6" s="93" t="s">
        <v>9</v>
      </c>
      <c r="F6" s="160">
        <f>Sumcolor(E6,D10:D45)</f>
        <v>0.24305555555555558</v>
      </c>
      <c r="G6" s="160" t="e">
        <f ca="1">SUM(INDIRECT(CONCATENATE("Uke",TEXT(VALUE(MID(CELL("filnavn",A1),FIND("]",CELL("filnavn",A1))+4,1))-1,0),"!G6")),F6)</f>
        <v>#VALUE!</v>
      </c>
      <c r="H6"/>
      <c r="I6" s="157"/>
      <c r="J6"/>
      <c r="K6"/>
      <c r="L6"/>
      <c r="M6"/>
    </row>
    <row r="7" spans="1:13" x14ac:dyDescent="0.2">
      <c r="A7" s="95"/>
      <c r="B7" s="96"/>
      <c r="C7" s="97"/>
      <c r="D7" s="98"/>
      <c r="E7" s="96"/>
      <c r="F7" s="96"/>
      <c r="G7" s="96"/>
      <c r="H7"/>
      <c r="I7"/>
      <c r="J7"/>
      <c r="K7"/>
      <c r="L7"/>
      <c r="M7"/>
    </row>
    <row r="8" spans="1:13" x14ac:dyDescent="0.2">
      <c r="A8" s="96"/>
      <c r="C8" s="99"/>
      <c r="E8" s="96"/>
      <c r="F8" s="96"/>
      <c r="H8"/>
      <c r="I8"/>
      <c r="J8"/>
      <c r="K8"/>
      <c r="L8"/>
      <c r="M8"/>
    </row>
    <row r="9" spans="1:13" ht="13.5" thickBot="1" x14ac:dyDescent="0.25">
      <c r="A9" s="80" t="s">
        <v>10</v>
      </c>
      <c r="B9" s="80" t="s">
        <v>11</v>
      </c>
      <c r="C9" s="80" t="s">
        <v>12</v>
      </c>
      <c r="D9" s="80" t="s">
        <v>13</v>
      </c>
      <c r="E9" s="80" t="s">
        <v>14</v>
      </c>
      <c r="G9" s="100" t="s">
        <v>15</v>
      </c>
      <c r="H9"/>
      <c r="I9"/>
      <c r="J9"/>
      <c r="K9"/>
      <c r="L9"/>
      <c r="M9"/>
    </row>
    <row r="10" spans="1:13" x14ac:dyDescent="0.2">
      <c r="A10" s="464">
        <v>43878</v>
      </c>
      <c r="B10" s="465">
        <v>0.58680555555555558</v>
      </c>
      <c r="C10" s="465">
        <v>0.60069444444444442</v>
      </c>
      <c r="D10" s="466">
        <f>(C10-B10)</f>
        <v>1.388888888888884E-2</v>
      </c>
      <c r="E10" s="460" t="s">
        <v>100</v>
      </c>
      <c r="F10" s="461"/>
      <c r="G10" s="371"/>
      <c r="H10"/>
      <c r="I10"/>
      <c r="J10"/>
      <c r="K10"/>
      <c r="L10"/>
      <c r="M10"/>
    </row>
    <row r="11" spans="1:13" x14ac:dyDescent="0.2">
      <c r="A11" s="439"/>
      <c r="B11" s="441"/>
      <c r="C11" s="441"/>
      <c r="D11" s="443"/>
      <c r="E11" s="462"/>
      <c r="F11" s="463"/>
      <c r="G11" s="372"/>
      <c r="H11"/>
      <c r="I11"/>
      <c r="J11"/>
      <c r="K11"/>
      <c r="L11"/>
      <c r="M11"/>
    </row>
    <row r="12" spans="1:13" x14ac:dyDescent="0.2">
      <c r="A12" s="450">
        <v>43878</v>
      </c>
      <c r="B12" s="452">
        <v>0.60069444444444442</v>
      </c>
      <c r="C12" s="452">
        <v>0.66666666666666663</v>
      </c>
      <c r="D12" s="454">
        <f>(C12-B12)</f>
        <v>6.597222222222221E-2</v>
      </c>
      <c r="E12" s="456" t="s">
        <v>110</v>
      </c>
      <c r="F12" s="457"/>
      <c r="G12" s="372"/>
      <c r="H12"/>
      <c r="I12"/>
      <c r="J12"/>
      <c r="K12"/>
      <c r="L12"/>
      <c r="M12"/>
    </row>
    <row r="13" spans="1:13" x14ac:dyDescent="0.2">
      <c r="A13" s="451"/>
      <c r="B13" s="453"/>
      <c r="C13" s="453"/>
      <c r="D13" s="455"/>
      <c r="E13" s="458"/>
      <c r="F13" s="459"/>
      <c r="G13" s="372"/>
      <c r="H13"/>
      <c r="I13"/>
      <c r="J13"/>
      <c r="K13"/>
      <c r="L13"/>
      <c r="M13"/>
    </row>
    <row r="14" spans="1:13" ht="12.75" customHeight="1" x14ac:dyDescent="0.2">
      <c r="A14" s="438">
        <v>43880</v>
      </c>
      <c r="B14" s="440">
        <v>0.41666666666666669</v>
      </c>
      <c r="C14" s="440">
        <v>0.42708333333333331</v>
      </c>
      <c r="D14" s="442">
        <f>(C14-B14)</f>
        <v>1.041666666666663E-2</v>
      </c>
      <c r="E14" s="444" t="s">
        <v>100</v>
      </c>
      <c r="F14" s="445"/>
      <c r="G14" s="372"/>
      <c r="H14"/>
      <c r="I14"/>
      <c r="J14"/>
      <c r="K14"/>
      <c r="L14"/>
      <c r="M14"/>
    </row>
    <row r="15" spans="1:13" x14ac:dyDescent="0.2">
      <c r="A15" s="439"/>
      <c r="B15" s="441"/>
      <c r="C15" s="441"/>
      <c r="D15" s="443"/>
      <c r="E15" s="446"/>
      <c r="F15" s="447"/>
      <c r="G15" s="372"/>
      <c r="H15"/>
      <c r="I15"/>
      <c r="J15"/>
      <c r="K15"/>
      <c r="L15"/>
      <c r="M15"/>
    </row>
    <row r="16" spans="1:13" x14ac:dyDescent="0.2">
      <c r="A16" s="428">
        <v>43880</v>
      </c>
      <c r="B16" s="430">
        <v>0.42708333333333331</v>
      </c>
      <c r="C16" s="430">
        <v>0.60416666666666663</v>
      </c>
      <c r="D16" s="448">
        <f>(C16-B16)</f>
        <v>0.17708333333333331</v>
      </c>
      <c r="E16" s="434" t="s">
        <v>111</v>
      </c>
      <c r="F16" s="435"/>
      <c r="G16" s="372"/>
      <c r="H16"/>
      <c r="I16"/>
      <c r="J16"/>
      <c r="K16"/>
      <c r="L16"/>
      <c r="M16"/>
    </row>
    <row r="17" spans="1:13" x14ac:dyDescent="0.2">
      <c r="A17" s="429"/>
      <c r="B17" s="431"/>
      <c r="C17" s="431"/>
      <c r="D17" s="449"/>
      <c r="E17" s="436"/>
      <c r="F17" s="437"/>
      <c r="G17" s="372"/>
      <c r="H17"/>
      <c r="I17"/>
      <c r="J17"/>
      <c r="K17"/>
      <c r="L17"/>
      <c r="M17"/>
    </row>
    <row r="18" spans="1:13" ht="12.75" customHeight="1" x14ac:dyDescent="0.2">
      <c r="A18" s="450">
        <v>43880</v>
      </c>
      <c r="B18" s="452">
        <v>0.60416666666666663</v>
      </c>
      <c r="C18" s="452">
        <v>0.66666666666666663</v>
      </c>
      <c r="D18" s="454">
        <f>(C18-B18)</f>
        <v>6.25E-2</v>
      </c>
      <c r="E18" s="456" t="s">
        <v>112</v>
      </c>
      <c r="F18" s="457"/>
      <c r="G18" s="372"/>
      <c r="H18"/>
      <c r="I18"/>
      <c r="J18"/>
      <c r="K18"/>
      <c r="L18"/>
      <c r="M18"/>
    </row>
    <row r="19" spans="1:13" x14ac:dyDescent="0.2">
      <c r="A19" s="451"/>
      <c r="B19" s="453"/>
      <c r="C19" s="453"/>
      <c r="D19" s="455"/>
      <c r="E19" s="458"/>
      <c r="F19" s="459"/>
      <c r="G19" s="372"/>
      <c r="H19"/>
      <c r="I19"/>
      <c r="J19"/>
      <c r="K19"/>
      <c r="L19"/>
      <c r="M19"/>
    </row>
    <row r="20" spans="1:13" ht="12.75" customHeight="1" x14ac:dyDescent="0.2">
      <c r="A20" s="438">
        <v>43881</v>
      </c>
      <c r="B20" s="440">
        <v>0.41666666666666669</v>
      </c>
      <c r="C20" s="440">
        <v>0.42708333333333331</v>
      </c>
      <c r="D20" s="442">
        <f>(C20-B20)</f>
        <v>1.041666666666663E-2</v>
      </c>
      <c r="E20" s="444" t="s">
        <v>100</v>
      </c>
      <c r="F20" s="445"/>
      <c r="G20" s="372"/>
      <c r="H20"/>
      <c r="I20"/>
      <c r="J20"/>
      <c r="K20"/>
      <c r="L20"/>
      <c r="M20"/>
    </row>
    <row r="21" spans="1:13" x14ac:dyDescent="0.2">
      <c r="A21" s="439"/>
      <c r="B21" s="441"/>
      <c r="C21" s="441"/>
      <c r="D21" s="443"/>
      <c r="E21" s="446"/>
      <c r="F21" s="447"/>
      <c r="G21" s="372"/>
      <c r="H21"/>
      <c r="I21"/>
      <c r="J21"/>
      <c r="K21"/>
      <c r="L21"/>
      <c r="M21"/>
    </row>
    <row r="22" spans="1:13" ht="12.75" customHeight="1" x14ac:dyDescent="0.2">
      <c r="A22" s="428">
        <v>43881</v>
      </c>
      <c r="B22" s="430">
        <v>0.42708333333333331</v>
      </c>
      <c r="C22" s="430">
        <v>0.54166666666666663</v>
      </c>
      <c r="D22" s="448">
        <f>(C22-B22)</f>
        <v>0.11458333333333331</v>
      </c>
      <c r="E22" s="434" t="s">
        <v>116</v>
      </c>
      <c r="F22" s="435"/>
      <c r="G22" s="372"/>
      <c r="H22"/>
      <c r="I22"/>
      <c r="J22"/>
      <c r="K22"/>
      <c r="L22"/>
      <c r="M22"/>
    </row>
    <row r="23" spans="1:13" x14ac:dyDescent="0.2">
      <c r="A23" s="429"/>
      <c r="B23" s="431"/>
      <c r="C23" s="431"/>
      <c r="D23" s="449"/>
      <c r="E23" s="436"/>
      <c r="F23" s="437"/>
      <c r="G23" s="372"/>
      <c r="H23"/>
      <c r="I23"/>
      <c r="J23"/>
      <c r="K23"/>
      <c r="L23"/>
      <c r="M23"/>
    </row>
    <row r="24" spans="1:13" x14ac:dyDescent="0.2">
      <c r="A24" s="428">
        <v>43883</v>
      </c>
      <c r="B24" s="430">
        <v>0.63888888888888895</v>
      </c>
      <c r="C24" s="430">
        <v>0.78472222222222221</v>
      </c>
      <c r="D24" s="432">
        <f>(C24-B24)</f>
        <v>0.14583333333333326</v>
      </c>
      <c r="E24" s="434" t="s">
        <v>117</v>
      </c>
      <c r="F24" s="435"/>
      <c r="G24" s="372"/>
      <c r="H24"/>
      <c r="I24"/>
      <c r="J24"/>
      <c r="K24"/>
      <c r="L24"/>
      <c r="M24"/>
    </row>
    <row r="25" spans="1:13" x14ac:dyDescent="0.2">
      <c r="A25" s="429"/>
      <c r="B25" s="431"/>
      <c r="C25" s="431"/>
      <c r="D25" s="433"/>
      <c r="E25" s="436"/>
      <c r="F25" s="437"/>
      <c r="G25" s="372"/>
      <c r="H25"/>
      <c r="I25"/>
      <c r="J25"/>
      <c r="K25"/>
      <c r="L25"/>
      <c r="M25"/>
    </row>
    <row r="26" spans="1:13" ht="12.75" customHeight="1" x14ac:dyDescent="0.2">
      <c r="A26" s="373">
        <v>43884</v>
      </c>
      <c r="B26" s="375">
        <v>0.54166666666666663</v>
      </c>
      <c r="C26" s="375">
        <v>0.60416666666666663</v>
      </c>
      <c r="D26" s="404">
        <f>(C26-B26)</f>
        <v>6.25E-2</v>
      </c>
      <c r="E26" s="385" t="s">
        <v>113</v>
      </c>
      <c r="F26" s="386"/>
      <c r="G26" s="372"/>
      <c r="H26"/>
      <c r="I26"/>
      <c r="J26"/>
      <c r="K26"/>
      <c r="L26"/>
      <c r="M26"/>
    </row>
    <row r="27" spans="1:13" ht="12.75" customHeight="1" x14ac:dyDescent="0.2">
      <c r="A27" s="374"/>
      <c r="B27" s="376"/>
      <c r="C27" s="376"/>
      <c r="D27" s="405"/>
      <c r="E27" s="387"/>
      <c r="F27" s="388"/>
      <c r="G27" s="372"/>
      <c r="H27"/>
      <c r="I27"/>
      <c r="J27"/>
      <c r="K27"/>
      <c r="L27"/>
      <c r="M27"/>
    </row>
    <row r="28" spans="1:13" ht="12.75" customHeight="1" x14ac:dyDescent="0.2">
      <c r="A28" s="373">
        <v>43884</v>
      </c>
      <c r="B28" s="375">
        <v>0.625</v>
      </c>
      <c r="C28" s="375">
        <v>0.77083333333333337</v>
      </c>
      <c r="D28" s="404">
        <f>(C28-B28)</f>
        <v>0.14583333333333337</v>
      </c>
      <c r="E28" s="385" t="s">
        <v>114</v>
      </c>
      <c r="F28" s="386"/>
      <c r="G28" s="155"/>
      <c r="H28"/>
      <c r="I28"/>
      <c r="J28"/>
      <c r="K28"/>
      <c r="L28"/>
      <c r="M28"/>
    </row>
    <row r="29" spans="1:13" ht="13.5" thickBot="1" x14ac:dyDescent="0.25">
      <c r="A29" s="425"/>
      <c r="B29" s="426"/>
      <c r="C29" s="426"/>
      <c r="D29" s="427"/>
      <c r="E29" s="409"/>
      <c r="F29" s="410"/>
      <c r="G29" s="155"/>
      <c r="H29"/>
      <c r="I29"/>
      <c r="J29"/>
      <c r="K29"/>
      <c r="L29"/>
      <c r="M29"/>
    </row>
    <row r="30" spans="1:13" ht="12.75" customHeight="1" x14ac:dyDescent="0.2">
      <c r="A30" s="420">
        <v>43884</v>
      </c>
      <c r="B30" s="421">
        <v>0.91666666666666663</v>
      </c>
      <c r="C30" s="421">
        <v>0.95138888888888884</v>
      </c>
      <c r="D30" s="422">
        <f>(C30-B30)</f>
        <v>3.472222222222221E-2</v>
      </c>
      <c r="E30" s="423" t="s">
        <v>115</v>
      </c>
      <c r="F30" s="424"/>
      <c r="G30" s="155"/>
      <c r="H30"/>
      <c r="I30"/>
      <c r="J30"/>
      <c r="K30"/>
      <c r="L30"/>
      <c r="M30"/>
    </row>
    <row r="31" spans="1:13" ht="13.5" thickBot="1" x14ac:dyDescent="0.25">
      <c r="A31" s="415"/>
      <c r="B31" s="416"/>
      <c r="C31" s="416"/>
      <c r="D31" s="417"/>
      <c r="E31" s="418"/>
      <c r="F31" s="419"/>
      <c r="G31" s="156"/>
      <c r="H31"/>
      <c r="I31"/>
      <c r="J31"/>
      <c r="K31"/>
      <c r="L31"/>
      <c r="M31"/>
    </row>
    <row r="32" spans="1:13" x14ac:dyDescent="0.2">
      <c r="H32"/>
      <c r="I32"/>
      <c r="J32"/>
      <c r="K32"/>
      <c r="L32"/>
      <c r="M32"/>
    </row>
    <row r="33" spans="1:13" x14ac:dyDescent="0.2">
      <c r="H33"/>
      <c r="I33"/>
      <c r="J33"/>
      <c r="K33"/>
      <c r="L33"/>
      <c r="M33"/>
    </row>
    <row r="34" spans="1:13" x14ac:dyDescent="0.2">
      <c r="A34"/>
      <c r="B34"/>
      <c r="C34"/>
      <c r="D34"/>
      <c r="E34"/>
      <c r="F34"/>
      <c r="G34"/>
      <c r="H34"/>
      <c r="I34"/>
      <c r="J34"/>
      <c r="K34"/>
      <c r="L34"/>
      <c r="M34"/>
    </row>
    <row r="35" spans="1:13" ht="19.5" thickBot="1" x14ac:dyDescent="0.25">
      <c r="A35" s="101" t="s">
        <v>16</v>
      </c>
      <c r="B35" s="102"/>
      <c r="C35" s="103"/>
      <c r="D35" s="104"/>
      <c r="E35" s="104"/>
      <c r="F35" s="104"/>
      <c r="G35" s="104"/>
      <c r="H35"/>
      <c r="I35"/>
      <c r="J35"/>
      <c r="K35"/>
      <c r="L35"/>
      <c r="M35"/>
    </row>
    <row r="36" spans="1:13" x14ac:dyDescent="0.2">
      <c r="B36" s="105"/>
      <c r="C36" s="106"/>
      <c r="D36" s="107"/>
      <c r="E36" s="108"/>
      <c r="F36"/>
      <c r="G36"/>
      <c r="H36"/>
      <c r="I36"/>
      <c r="J36"/>
      <c r="K36"/>
      <c r="L36"/>
      <c r="M36"/>
    </row>
    <row r="37" spans="1:13" ht="15.75" customHeight="1" x14ac:dyDescent="0.2">
      <c r="H37"/>
      <c r="I37"/>
      <c r="J37"/>
      <c r="K37"/>
      <c r="L37"/>
      <c r="M37"/>
    </row>
    <row r="38" spans="1:13" ht="12.75" customHeight="1" x14ac:dyDescent="0.2">
      <c r="F38" s="97"/>
      <c r="H38"/>
      <c r="I38"/>
      <c r="J38"/>
      <c r="K38"/>
      <c r="L38"/>
      <c r="M38"/>
    </row>
    <row r="39" spans="1:13" ht="12.75" customHeight="1" x14ac:dyDescent="0.2">
      <c r="F39" s="97"/>
      <c r="H39"/>
      <c r="I39"/>
      <c r="J39"/>
      <c r="K39"/>
      <c r="L39"/>
      <c r="M39"/>
    </row>
    <row r="40" spans="1:13" ht="12.75" customHeight="1" x14ac:dyDescent="0.2">
      <c r="F40" s="97"/>
      <c r="H40"/>
      <c r="I40"/>
      <c r="J40"/>
      <c r="K40"/>
      <c r="L40"/>
      <c r="M40"/>
    </row>
    <row r="41" spans="1:13" ht="12.75" customHeight="1" x14ac:dyDescent="0.2">
      <c r="F41" s="97"/>
      <c r="H41"/>
      <c r="I41"/>
      <c r="J41"/>
      <c r="K41"/>
      <c r="L41"/>
      <c r="M41"/>
    </row>
    <row r="42" spans="1:13" ht="12.75" customHeight="1" x14ac:dyDescent="0.2">
      <c r="F42" s="97"/>
      <c r="H42"/>
      <c r="I42"/>
      <c r="J42"/>
      <c r="K42"/>
      <c r="L42"/>
      <c r="M42"/>
    </row>
    <row r="43" spans="1:13" ht="12.75" customHeight="1" x14ac:dyDescent="0.2">
      <c r="F43" s="97"/>
      <c r="H43"/>
      <c r="I43"/>
      <c r="J43"/>
      <c r="K43"/>
      <c r="L43"/>
      <c r="M43"/>
    </row>
    <row r="44" spans="1:13" ht="12.75" customHeight="1" x14ac:dyDescent="0.2">
      <c r="F44" s="97"/>
      <c r="H44"/>
      <c r="I44"/>
      <c r="J44"/>
      <c r="K44"/>
      <c r="L44"/>
      <c r="M44"/>
    </row>
    <row r="45" spans="1:13" ht="12.75" customHeight="1" x14ac:dyDescent="0.2">
      <c r="F45" s="97"/>
      <c r="H45"/>
      <c r="I45"/>
      <c r="J45"/>
      <c r="K45"/>
      <c r="L45"/>
      <c r="M45"/>
    </row>
    <row r="46" spans="1:13" ht="12.75" customHeight="1" x14ac:dyDescent="0.2">
      <c r="F46" s="97"/>
      <c r="H46"/>
      <c r="I46"/>
      <c r="J46"/>
      <c r="K46"/>
      <c r="L46"/>
      <c r="M46"/>
    </row>
    <row r="47" spans="1:13" ht="12.75" customHeight="1" x14ac:dyDescent="0.2">
      <c r="F47" s="97"/>
      <c r="H47"/>
      <c r="I47"/>
      <c r="J47"/>
      <c r="K47"/>
      <c r="L47"/>
      <c r="M47"/>
    </row>
    <row r="48" spans="1:13" ht="12.75" customHeight="1" x14ac:dyDescent="0.2">
      <c r="F48" s="97"/>
      <c r="H48"/>
      <c r="I48"/>
      <c r="J48"/>
      <c r="K48"/>
      <c r="L48"/>
      <c r="M48"/>
    </row>
    <row r="49" spans="8:13" ht="13.5" customHeight="1" x14ac:dyDescent="0.2">
      <c r="H49"/>
      <c r="I49"/>
      <c r="J49"/>
      <c r="K49"/>
      <c r="L49"/>
      <c r="M49"/>
    </row>
    <row r="50" spans="8:13" x14ac:dyDescent="0.2">
      <c r="H50"/>
      <c r="I50"/>
      <c r="J50"/>
      <c r="K50"/>
      <c r="L50"/>
      <c r="M50"/>
    </row>
    <row r="51" spans="8:13" x14ac:dyDescent="0.2">
      <c r="H51"/>
      <c r="I51"/>
      <c r="J51"/>
      <c r="K51"/>
      <c r="L51"/>
      <c r="M51"/>
    </row>
    <row r="52" spans="8:13" x14ac:dyDescent="0.2">
      <c r="H52"/>
      <c r="I52"/>
      <c r="J52"/>
      <c r="K52"/>
      <c r="L52"/>
      <c r="M52"/>
    </row>
    <row r="53" spans="8:13" x14ac:dyDescent="0.2">
      <c r="H53"/>
      <c r="I53"/>
      <c r="J53"/>
      <c r="K53"/>
      <c r="L53"/>
      <c r="M53"/>
    </row>
    <row r="54" spans="8:13" x14ac:dyDescent="0.2">
      <c r="H54"/>
      <c r="I54"/>
      <c r="J54"/>
      <c r="K54"/>
      <c r="L54"/>
      <c r="M54"/>
    </row>
    <row r="55" spans="8:13" x14ac:dyDescent="0.2">
      <c r="H55"/>
      <c r="I55"/>
      <c r="J55"/>
      <c r="K55"/>
      <c r="L55"/>
      <c r="M55"/>
    </row>
    <row r="56" spans="8:13" x14ac:dyDescent="0.2">
      <c r="H56"/>
      <c r="I56"/>
      <c r="J56"/>
      <c r="K56"/>
      <c r="L56"/>
      <c r="M56"/>
    </row>
    <row r="57" spans="8:13" x14ac:dyDescent="0.2">
      <c r="H57"/>
      <c r="I57"/>
      <c r="J57"/>
      <c r="K57"/>
      <c r="L57"/>
      <c r="M57"/>
    </row>
    <row r="58" spans="8:13" x14ac:dyDescent="0.2">
      <c r="H58"/>
      <c r="I58"/>
      <c r="J58"/>
      <c r="K58"/>
      <c r="L58"/>
      <c r="M58"/>
    </row>
    <row r="59" spans="8:13" x14ac:dyDescent="0.2">
      <c r="H59"/>
      <c r="I59"/>
      <c r="J59"/>
      <c r="K59"/>
      <c r="L59"/>
      <c r="M59"/>
    </row>
    <row r="60" spans="8:13" x14ac:dyDescent="0.2">
      <c r="H60"/>
      <c r="I60"/>
      <c r="J60"/>
      <c r="K60"/>
      <c r="L60"/>
      <c r="M60"/>
    </row>
    <row r="61" spans="8:13" x14ac:dyDescent="0.2">
      <c r="H61"/>
      <c r="I61"/>
      <c r="J61"/>
      <c r="K61"/>
      <c r="L61"/>
      <c r="M61"/>
    </row>
    <row r="62" spans="8:13" x14ac:dyDescent="0.2">
      <c r="H62"/>
      <c r="I62"/>
      <c r="J62"/>
      <c r="K62"/>
      <c r="L62"/>
      <c r="M62"/>
    </row>
    <row r="63" spans="8:13" x14ac:dyDescent="0.2">
      <c r="H63"/>
      <c r="I63"/>
      <c r="J63"/>
      <c r="K63"/>
      <c r="L63"/>
      <c r="M63"/>
    </row>
  </sheetData>
  <mergeCells count="67">
    <mergeCell ref="A1:D1"/>
    <mergeCell ref="A4:B5"/>
    <mergeCell ref="C4:D5"/>
    <mergeCell ref="A10:A11"/>
    <mergeCell ref="B10:B11"/>
    <mergeCell ref="C10:C11"/>
    <mergeCell ref="D10:D11"/>
    <mergeCell ref="G14:G15"/>
    <mergeCell ref="E10:F11"/>
    <mergeCell ref="G10:G11"/>
    <mergeCell ref="A12:A13"/>
    <mergeCell ref="B12:B13"/>
    <mergeCell ref="C12:C13"/>
    <mergeCell ref="D12:D13"/>
    <mergeCell ref="E12:F13"/>
    <mergeCell ref="G12:G13"/>
    <mergeCell ref="A14:A15"/>
    <mergeCell ref="B14:B15"/>
    <mergeCell ref="C14:C15"/>
    <mergeCell ref="D14:D15"/>
    <mergeCell ref="E14:F15"/>
    <mergeCell ref="G18:G19"/>
    <mergeCell ref="A16:A17"/>
    <mergeCell ref="B16:B17"/>
    <mergeCell ref="C16:C17"/>
    <mergeCell ref="D16:D17"/>
    <mergeCell ref="G16:G17"/>
    <mergeCell ref="A18:A19"/>
    <mergeCell ref="B18:B19"/>
    <mergeCell ref="C18:C19"/>
    <mergeCell ref="D18:D19"/>
    <mergeCell ref="E18:F19"/>
    <mergeCell ref="E16:F17"/>
    <mergeCell ref="G22:G23"/>
    <mergeCell ref="A20:A21"/>
    <mergeCell ref="B20:B21"/>
    <mergeCell ref="C20:C21"/>
    <mergeCell ref="D20:D21"/>
    <mergeCell ref="E20:F21"/>
    <mergeCell ref="G20:G21"/>
    <mergeCell ref="A22:A23"/>
    <mergeCell ref="B22:B23"/>
    <mergeCell ref="C22:C23"/>
    <mergeCell ref="D22:D23"/>
    <mergeCell ref="E22:F23"/>
    <mergeCell ref="G26:G27"/>
    <mergeCell ref="A24:A25"/>
    <mergeCell ref="B24:B25"/>
    <mergeCell ref="C24:C25"/>
    <mergeCell ref="D24:D25"/>
    <mergeCell ref="E24:F25"/>
    <mergeCell ref="G24:G25"/>
    <mergeCell ref="A26:A27"/>
    <mergeCell ref="B26:B27"/>
    <mergeCell ref="C26:C27"/>
    <mergeCell ref="D26:D27"/>
    <mergeCell ref="E26:F27"/>
    <mergeCell ref="A28:A29"/>
    <mergeCell ref="B28:B29"/>
    <mergeCell ref="C28:C29"/>
    <mergeCell ref="D28:D29"/>
    <mergeCell ref="E28:F29"/>
    <mergeCell ref="A30:A31"/>
    <mergeCell ref="B30:B31"/>
    <mergeCell ref="C30:C31"/>
    <mergeCell ref="D30:D31"/>
    <mergeCell ref="E30:F31"/>
  </mergeCells>
  <conditionalFormatting sqref="A10:D10 A24:C24 A12:D12">
    <cfRule type="expression" dxfId="265" priority="11">
      <formula>ISNUMBER(SEARCH(TEXT(#REF!,"ddd"),#REF!))</formula>
    </cfRule>
  </conditionalFormatting>
  <conditionalFormatting sqref="D14 D16">
    <cfRule type="expression" dxfId="264" priority="10">
      <formula>ISNUMBER(SEARCH(TEXT(#REF!,"ddd"),#REF!))</formula>
    </cfRule>
  </conditionalFormatting>
  <conditionalFormatting sqref="A14:C14 A16:C16">
    <cfRule type="expression" dxfId="263" priority="9">
      <formula>ISNUMBER(SEARCH(TEXT(#REF!,"ddd"),#REF!))</formula>
    </cfRule>
  </conditionalFormatting>
  <conditionalFormatting sqref="D18">
    <cfRule type="expression" dxfId="262" priority="8">
      <formula>ISNUMBER(SEARCH(TEXT(#REF!,"ddd"),#REF!))</formula>
    </cfRule>
  </conditionalFormatting>
  <conditionalFormatting sqref="A18:C18">
    <cfRule type="expression" dxfId="261" priority="7">
      <formula>ISNUMBER(SEARCH(TEXT(#REF!,"ddd"),#REF!))</formula>
    </cfRule>
  </conditionalFormatting>
  <conditionalFormatting sqref="D20">
    <cfRule type="expression" dxfId="260" priority="6">
      <formula>ISNUMBER(SEARCH(TEXT(#REF!,"ddd"),#REF!))</formula>
    </cfRule>
  </conditionalFormatting>
  <conditionalFormatting sqref="A20:C20">
    <cfRule type="expression" dxfId="259" priority="5">
      <formula>ISNUMBER(SEARCH(TEXT(#REF!,"ddd"),#REF!))</formula>
    </cfRule>
  </conditionalFormatting>
  <conditionalFormatting sqref="D22">
    <cfRule type="expression" dxfId="258" priority="4">
      <formula>ISNUMBER(SEARCH(TEXT(#REF!,"ddd"),#REF!))</formula>
    </cfRule>
  </conditionalFormatting>
  <conditionalFormatting sqref="A22:C22">
    <cfRule type="expression" dxfId="257" priority="3">
      <formula>ISNUMBER(SEARCH(TEXT(#REF!,"ddd"),#REF!))</formula>
    </cfRule>
  </conditionalFormatting>
  <conditionalFormatting sqref="A26:C26 A28:C28">
    <cfRule type="expression" dxfId="256" priority="2">
      <formula>ISNUMBER(SEARCH(TEXT(#REF!,"ddd"),#REF!))</formula>
    </cfRule>
  </conditionalFormatting>
  <conditionalFormatting sqref="A30:C30">
    <cfRule type="expression" dxfId="255"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6205E-49DA-45C3-A621-ACE7A2D01AFF}">
  <sheetPr codeName="Sheet12"/>
  <dimension ref="A1:M68"/>
  <sheetViews>
    <sheetView showGridLines="0" topLeftCell="A29" zoomScale="117" zoomScaleNormal="117" workbookViewId="0">
      <selection activeCell="E29" sqref="E29:F30"/>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WEEKNUM(A9)</f>
        <v>9</v>
      </c>
      <c r="F1" s="77"/>
      <c r="G1" s="78"/>
      <c r="H1"/>
      <c r="I1"/>
      <c r="J1"/>
      <c r="K1"/>
      <c r="L1"/>
      <c r="M1"/>
    </row>
    <row r="2" spans="1:13" s="82" customFormat="1" x14ac:dyDescent="0.2">
      <c r="A2" s="80" t="s">
        <v>0</v>
      </c>
      <c r="B2" s="80"/>
      <c r="C2" s="80" t="s">
        <v>1</v>
      </c>
      <c r="D2" s="80"/>
      <c r="E2" s="81" t="s">
        <v>2</v>
      </c>
      <c r="F2" s="81" t="s">
        <v>3</v>
      </c>
      <c r="G2" s="81" t="s">
        <v>4</v>
      </c>
      <c r="H2"/>
      <c r="I2"/>
      <c r="J2"/>
      <c r="K2"/>
      <c r="L2"/>
      <c r="M2"/>
    </row>
    <row r="3" spans="1:13" ht="13.5" thickBot="1" x14ac:dyDescent="0.25">
      <c r="A3" s="83">
        <f>MIN(A9:A46)</f>
        <v>43885</v>
      </c>
      <c r="B3" s="84"/>
      <c r="C3" s="83">
        <f>MAXA(A9:A46)</f>
        <v>43891</v>
      </c>
      <c r="D3" s="84"/>
      <c r="E3" s="85" t="s">
        <v>5</v>
      </c>
      <c r="F3" s="159">
        <f>Sumcolor(E3,D9:D46)</f>
        <v>0.32986111111111105</v>
      </c>
      <c r="G3" s="159" t="e">
        <f ca="1">SUM(INDIRECT(CONCATENATE("Uke",TEXT(VALUE(MID(CELL("filnavn",A1),FIND("]",CELL("filnavn",A1))+4,1))-1,0),"!G3")),F3)</f>
        <v>#VALUE!</v>
      </c>
      <c r="H3"/>
      <c r="I3"/>
      <c r="J3"/>
      <c r="K3"/>
      <c r="L3"/>
      <c r="M3"/>
    </row>
    <row r="4" spans="1:13" x14ac:dyDescent="0.2">
      <c r="A4" s="365" t="s">
        <v>6</v>
      </c>
      <c r="B4" s="365"/>
      <c r="C4" s="365" t="s">
        <v>50</v>
      </c>
      <c r="D4" s="365"/>
      <c r="E4" s="87" t="s">
        <v>7</v>
      </c>
      <c r="F4" s="159">
        <f>Sumcolor(E4,D9:D46)</f>
        <v>0.31180555555555567</v>
      </c>
      <c r="G4" s="159">
        <f ca="1">SUM(INDIRECT(CONCATENATE("Uke",TEXT(VALUE(MID(CELL("filnavn",A1),FIND("]",CELL("filnavn",A1))+4,1))-1,0),"!G4")),F4)</f>
        <v>0.44027777777777788</v>
      </c>
      <c r="H4"/>
      <c r="I4"/>
      <c r="J4"/>
      <c r="K4"/>
      <c r="L4"/>
      <c r="M4"/>
    </row>
    <row r="5" spans="1:13" x14ac:dyDescent="0.2">
      <c r="A5" s="366"/>
      <c r="B5" s="366"/>
      <c r="C5" s="366"/>
      <c r="D5" s="366"/>
      <c r="E5" s="158" t="s">
        <v>8</v>
      </c>
      <c r="F5" s="159">
        <f>Sumcolor(E5,D9:D46)</f>
        <v>7.638888888888884E-2</v>
      </c>
      <c r="G5" s="159">
        <f ca="1">SUM(INDIRECT(CONCATENATE("Uke",TEXT(VALUE(MID(CELL("filnavn",A1),FIND("]",CELL("filnavn",A1))+4,1))-1,0),"!G5")),F5)</f>
        <v>0.58333333333333315</v>
      </c>
      <c r="H5"/>
      <c r="I5" s="157"/>
      <c r="J5"/>
      <c r="K5"/>
      <c r="L5"/>
      <c r="M5"/>
    </row>
    <row r="6" spans="1:13" ht="13.5" thickBot="1" x14ac:dyDescent="0.25">
      <c r="A6" s="89">
        <f>SUM(D9:D46)</f>
        <v>0.96458333333333324</v>
      </c>
      <c r="B6" s="90"/>
      <c r="C6" s="91" t="e">
        <f ca="1">SUM(G3:G6)</f>
        <v>#VALUE!</v>
      </c>
      <c r="D6" s="92"/>
      <c r="E6" s="93" t="s">
        <v>9</v>
      </c>
      <c r="F6" s="160">
        <f>Sumcolor(E6,D9:D46)</f>
        <v>0.24652777777777768</v>
      </c>
      <c r="G6" s="160" t="e">
        <f ca="1">SUM(INDIRECT(CONCATENATE("Uke",TEXT(VALUE(MID(CELL("filnavn",A1),FIND("]",CELL("filnavn",A1))+4,1))-1,0),"!G6")),F6)</f>
        <v>#VALUE!</v>
      </c>
      <c r="H6"/>
      <c r="I6" s="157"/>
      <c r="J6"/>
      <c r="K6"/>
      <c r="L6"/>
      <c r="M6"/>
    </row>
    <row r="7" spans="1:13" x14ac:dyDescent="0.2">
      <c r="A7" s="96"/>
      <c r="C7" s="99"/>
      <c r="E7" s="96"/>
      <c r="F7" s="96"/>
      <c r="H7"/>
      <c r="I7"/>
      <c r="J7"/>
      <c r="K7"/>
      <c r="L7"/>
      <c r="M7"/>
    </row>
    <row r="8" spans="1:13" ht="13.5" thickBot="1" x14ac:dyDescent="0.25">
      <c r="A8" s="80" t="s">
        <v>10</v>
      </c>
      <c r="B8" s="80" t="s">
        <v>11</v>
      </c>
      <c r="C8" s="80" t="s">
        <v>12</v>
      </c>
      <c r="D8" s="80" t="s">
        <v>13</v>
      </c>
      <c r="E8" s="80" t="s">
        <v>14</v>
      </c>
      <c r="G8" s="100" t="s">
        <v>15</v>
      </c>
      <c r="H8"/>
      <c r="I8"/>
      <c r="J8"/>
      <c r="K8"/>
      <c r="L8"/>
      <c r="M8"/>
    </row>
    <row r="9" spans="1:13" x14ac:dyDescent="0.2">
      <c r="A9" s="464">
        <v>43885</v>
      </c>
      <c r="B9" s="465">
        <v>0.61458333333333337</v>
      </c>
      <c r="C9" s="465">
        <v>0.625</v>
      </c>
      <c r="D9" s="466">
        <f>(C9-B9)</f>
        <v>1.041666666666663E-2</v>
      </c>
      <c r="E9" s="460" t="s">
        <v>100</v>
      </c>
      <c r="F9" s="461"/>
      <c r="G9" s="371"/>
      <c r="H9"/>
      <c r="I9"/>
      <c r="J9"/>
      <c r="K9"/>
      <c r="L9"/>
      <c r="M9"/>
    </row>
    <row r="10" spans="1:13" x14ac:dyDescent="0.2">
      <c r="A10" s="439"/>
      <c r="B10" s="441"/>
      <c r="C10" s="441"/>
      <c r="D10" s="443"/>
      <c r="E10" s="462"/>
      <c r="F10" s="463"/>
      <c r="G10" s="372"/>
      <c r="H10"/>
      <c r="I10"/>
      <c r="J10"/>
      <c r="K10"/>
      <c r="L10"/>
      <c r="M10"/>
    </row>
    <row r="11" spans="1:13" x14ac:dyDescent="0.2">
      <c r="A11" s="450">
        <v>43885</v>
      </c>
      <c r="B11" s="452">
        <v>0.625</v>
      </c>
      <c r="C11" s="452">
        <v>0.64583333333333337</v>
      </c>
      <c r="D11" s="454">
        <f>(C11-B11)</f>
        <v>2.083333333333337E-2</v>
      </c>
      <c r="E11" s="456" t="s">
        <v>122</v>
      </c>
      <c r="F11" s="457"/>
      <c r="G11" s="372"/>
      <c r="H11"/>
      <c r="I11"/>
      <c r="J11"/>
      <c r="K11"/>
      <c r="L11"/>
      <c r="M11"/>
    </row>
    <row r="12" spans="1:13" x14ac:dyDescent="0.2">
      <c r="A12" s="451"/>
      <c r="B12" s="453"/>
      <c r="C12" s="453"/>
      <c r="D12" s="455"/>
      <c r="E12" s="458"/>
      <c r="F12" s="459"/>
      <c r="G12" s="372"/>
      <c r="H12"/>
      <c r="I12"/>
      <c r="J12"/>
      <c r="K12"/>
      <c r="L12"/>
      <c r="M12"/>
    </row>
    <row r="13" spans="1:13" ht="12.75" customHeight="1" x14ac:dyDescent="0.2">
      <c r="A13" s="450">
        <v>43886</v>
      </c>
      <c r="B13" s="452">
        <v>0.85416666666666663</v>
      </c>
      <c r="C13" s="452">
        <v>0.99930555555555556</v>
      </c>
      <c r="D13" s="454">
        <f>(C13-B13)</f>
        <v>0.14513888888888893</v>
      </c>
      <c r="E13" s="456" t="s">
        <v>118</v>
      </c>
      <c r="F13" s="457"/>
      <c r="G13" s="372"/>
      <c r="H13"/>
      <c r="I13"/>
      <c r="J13"/>
      <c r="K13"/>
      <c r="L13"/>
      <c r="M13"/>
    </row>
    <row r="14" spans="1:13" x14ac:dyDescent="0.2">
      <c r="A14" s="451"/>
      <c r="B14" s="453"/>
      <c r="C14" s="453"/>
      <c r="D14" s="455"/>
      <c r="E14" s="458"/>
      <c r="F14" s="459"/>
      <c r="G14" s="372"/>
      <c r="H14"/>
      <c r="I14"/>
      <c r="J14"/>
      <c r="K14"/>
      <c r="L14"/>
      <c r="M14"/>
    </row>
    <row r="15" spans="1:13" x14ac:dyDescent="0.2">
      <c r="A15" s="450">
        <v>43887</v>
      </c>
      <c r="B15" s="452">
        <v>0</v>
      </c>
      <c r="C15" s="452">
        <v>0.14583333333333334</v>
      </c>
      <c r="D15" s="454">
        <f>(C15-B15)</f>
        <v>0.14583333333333334</v>
      </c>
      <c r="E15" s="456" t="s">
        <v>118</v>
      </c>
      <c r="F15" s="457"/>
      <c r="G15" s="372"/>
      <c r="H15"/>
      <c r="I15"/>
      <c r="J15"/>
      <c r="K15"/>
      <c r="L15"/>
      <c r="M15"/>
    </row>
    <row r="16" spans="1:13" x14ac:dyDescent="0.2">
      <c r="A16" s="467"/>
      <c r="B16" s="468"/>
      <c r="C16" s="468"/>
      <c r="D16" s="469"/>
      <c r="E16" s="470"/>
      <c r="F16" s="471"/>
      <c r="G16" s="372"/>
      <c r="H16"/>
      <c r="I16"/>
      <c r="J16"/>
      <c r="K16"/>
      <c r="L16"/>
      <c r="M16"/>
    </row>
    <row r="17" spans="1:13" ht="12.75" customHeight="1" x14ac:dyDescent="0.2">
      <c r="A17" s="472">
        <v>43888</v>
      </c>
      <c r="B17" s="474">
        <v>0.41666666666666669</v>
      </c>
      <c r="C17" s="474">
        <v>0.42708333333333331</v>
      </c>
      <c r="D17" s="476">
        <f>(C17-B17)</f>
        <v>1.041666666666663E-2</v>
      </c>
      <c r="E17" s="478" t="s">
        <v>120</v>
      </c>
      <c r="F17" s="479"/>
      <c r="G17" s="372"/>
      <c r="H17"/>
      <c r="I17"/>
      <c r="J17"/>
      <c r="K17"/>
      <c r="L17"/>
      <c r="M17"/>
    </row>
    <row r="18" spans="1:13" x14ac:dyDescent="0.2">
      <c r="A18" s="473"/>
      <c r="B18" s="475"/>
      <c r="C18" s="475"/>
      <c r="D18" s="477"/>
      <c r="E18" s="480"/>
      <c r="F18" s="481"/>
      <c r="G18" s="372"/>
      <c r="H18"/>
      <c r="I18"/>
      <c r="J18"/>
      <c r="K18"/>
      <c r="L18"/>
      <c r="M18"/>
    </row>
    <row r="19" spans="1:13" ht="12.75" customHeight="1" x14ac:dyDescent="0.2">
      <c r="A19" s="472">
        <v>43889</v>
      </c>
      <c r="B19" s="474">
        <v>0.50694444444444442</v>
      </c>
      <c r="C19" s="474">
        <v>0.5625</v>
      </c>
      <c r="D19" s="476">
        <f>(C19-B19)</f>
        <v>5.555555555555558E-2</v>
      </c>
      <c r="E19" s="478" t="s">
        <v>121</v>
      </c>
      <c r="F19" s="479"/>
      <c r="G19" s="372"/>
      <c r="H19"/>
      <c r="I19"/>
      <c r="J19"/>
      <c r="K19"/>
      <c r="L19"/>
      <c r="M19"/>
    </row>
    <row r="20" spans="1:13" x14ac:dyDescent="0.2">
      <c r="A20" s="439"/>
      <c r="B20" s="441"/>
      <c r="C20" s="441"/>
      <c r="D20" s="443"/>
      <c r="E20" s="462"/>
      <c r="F20" s="463"/>
      <c r="G20" s="372"/>
      <c r="H20"/>
      <c r="I20"/>
      <c r="J20"/>
      <c r="K20"/>
      <c r="L20"/>
      <c r="M20"/>
    </row>
    <row r="21" spans="1:13" ht="12.75" customHeight="1" x14ac:dyDescent="0.2">
      <c r="A21" s="428">
        <v>43889</v>
      </c>
      <c r="B21" s="430">
        <v>0.78472222222222221</v>
      </c>
      <c r="C21" s="430">
        <v>0.98263888888888884</v>
      </c>
      <c r="D21" s="432">
        <f>(C21-B21)</f>
        <v>0.19791666666666663</v>
      </c>
      <c r="E21" s="434" t="s">
        <v>119</v>
      </c>
      <c r="F21" s="435"/>
      <c r="G21" s="372"/>
      <c r="H21"/>
      <c r="I21"/>
      <c r="J21"/>
      <c r="K21"/>
      <c r="L21"/>
      <c r="M21"/>
    </row>
    <row r="22" spans="1:13" x14ac:dyDescent="0.2">
      <c r="A22" s="484"/>
      <c r="B22" s="485"/>
      <c r="C22" s="485"/>
      <c r="D22" s="486"/>
      <c r="E22" s="482"/>
      <c r="F22" s="483"/>
      <c r="G22" s="372"/>
      <c r="H22"/>
      <c r="I22"/>
      <c r="J22"/>
      <c r="K22"/>
      <c r="L22"/>
      <c r="M22"/>
    </row>
    <row r="23" spans="1:13" x14ac:dyDescent="0.2">
      <c r="A23" s="373">
        <v>43890</v>
      </c>
      <c r="B23" s="375">
        <v>0.51041666666666663</v>
      </c>
      <c r="C23" s="375">
        <v>0.58333333333333337</v>
      </c>
      <c r="D23" s="404">
        <f>(C23-B23)</f>
        <v>7.2916666666666741E-2</v>
      </c>
      <c r="E23" s="385" t="s">
        <v>123</v>
      </c>
      <c r="F23" s="386"/>
      <c r="G23" s="372"/>
      <c r="H23"/>
      <c r="I23"/>
      <c r="J23"/>
      <c r="K23"/>
      <c r="L23"/>
      <c r="M23"/>
    </row>
    <row r="24" spans="1:13" x14ac:dyDescent="0.2">
      <c r="A24" s="425"/>
      <c r="B24" s="426"/>
      <c r="C24" s="426"/>
      <c r="D24" s="427"/>
      <c r="E24" s="409"/>
      <c r="F24" s="410"/>
      <c r="G24" s="372"/>
      <c r="H24"/>
      <c r="I24"/>
      <c r="J24"/>
      <c r="K24"/>
      <c r="L24"/>
      <c r="M24"/>
    </row>
    <row r="25" spans="1:13" ht="25.5" x14ac:dyDescent="0.2">
      <c r="A25" s="167">
        <v>43890</v>
      </c>
      <c r="B25" s="168">
        <v>0.58333333333333337</v>
      </c>
      <c r="C25" s="168">
        <v>0.625</v>
      </c>
      <c r="D25" s="169">
        <f>(C25-B25)</f>
        <v>4.166666666666663E-2</v>
      </c>
      <c r="E25" s="170" t="s">
        <v>124</v>
      </c>
      <c r="F25" s="171"/>
      <c r="G25" s="372"/>
      <c r="H25"/>
      <c r="I25"/>
      <c r="J25"/>
      <c r="K25"/>
      <c r="L25"/>
      <c r="M25"/>
    </row>
    <row r="26" spans="1:13" hidden="1" x14ac:dyDescent="0.2">
      <c r="A26" s="164"/>
      <c r="B26" s="165"/>
      <c r="C26" s="165"/>
      <c r="D26" s="166"/>
      <c r="E26" s="162"/>
      <c r="F26" s="163"/>
      <c r="G26" s="372"/>
      <c r="H26"/>
      <c r="I26"/>
      <c r="J26"/>
      <c r="K26"/>
      <c r="L26"/>
      <c r="M26"/>
    </row>
    <row r="27" spans="1:13" ht="25.5" x14ac:dyDescent="0.2">
      <c r="A27" s="167">
        <v>43890</v>
      </c>
      <c r="B27" s="168">
        <v>0.625</v>
      </c>
      <c r="C27" s="168">
        <v>0.68055555555555547</v>
      </c>
      <c r="D27" s="169">
        <f>(C27-B27)</f>
        <v>5.5555555555555469E-2</v>
      </c>
      <c r="E27" s="170" t="s">
        <v>125</v>
      </c>
      <c r="F27" s="171"/>
      <c r="G27" s="155"/>
      <c r="H27"/>
      <c r="I27"/>
      <c r="J27"/>
      <c r="K27"/>
      <c r="L27"/>
      <c r="M27"/>
    </row>
    <row r="28" spans="1:13" hidden="1" x14ac:dyDescent="0.2">
      <c r="A28" s="164"/>
      <c r="B28" s="165"/>
      <c r="C28" s="165"/>
      <c r="D28" s="166"/>
      <c r="E28" s="162"/>
      <c r="F28" s="163"/>
      <c r="G28" s="155"/>
      <c r="H28"/>
      <c r="I28"/>
      <c r="J28"/>
      <c r="K28"/>
      <c r="L28"/>
      <c r="M28"/>
    </row>
    <row r="29" spans="1:13" x14ac:dyDescent="0.2">
      <c r="A29" s="487">
        <v>43891</v>
      </c>
      <c r="B29" s="488">
        <v>0.66666666666666663</v>
      </c>
      <c r="C29" s="488">
        <v>0.6875</v>
      </c>
      <c r="D29" s="489">
        <f>(C29-B29)</f>
        <v>2.083333333333337E-2</v>
      </c>
      <c r="E29" s="490" t="s">
        <v>127</v>
      </c>
      <c r="F29" s="491"/>
      <c r="G29" s="155"/>
      <c r="H29"/>
      <c r="I29"/>
      <c r="J29"/>
      <c r="K29"/>
      <c r="L29"/>
      <c r="M29"/>
    </row>
    <row r="30" spans="1:13" x14ac:dyDescent="0.2">
      <c r="A30" s="425"/>
      <c r="B30" s="426"/>
      <c r="C30" s="426"/>
      <c r="D30" s="427"/>
      <c r="E30" s="409"/>
      <c r="F30" s="410"/>
      <c r="G30" s="155"/>
      <c r="H30"/>
      <c r="I30"/>
      <c r="J30"/>
      <c r="K30"/>
      <c r="L30"/>
      <c r="M30"/>
    </row>
    <row r="31" spans="1:13" x14ac:dyDescent="0.2">
      <c r="A31" s="494">
        <v>43891</v>
      </c>
      <c r="B31" s="495">
        <v>0.78472222222222221</v>
      </c>
      <c r="C31" s="495">
        <v>0.91666666666666663</v>
      </c>
      <c r="D31" s="496">
        <f>(C31-B31)</f>
        <v>0.13194444444444442</v>
      </c>
      <c r="E31" s="497" t="s">
        <v>119</v>
      </c>
      <c r="F31" s="498"/>
      <c r="G31" s="155"/>
      <c r="H31"/>
      <c r="I31"/>
      <c r="J31"/>
      <c r="K31"/>
      <c r="L31"/>
      <c r="M31"/>
    </row>
    <row r="32" spans="1:13" x14ac:dyDescent="0.2">
      <c r="A32" s="484"/>
      <c r="B32" s="485"/>
      <c r="C32" s="485"/>
      <c r="D32" s="486"/>
      <c r="E32" s="482"/>
      <c r="F32" s="483"/>
      <c r="G32" s="155"/>
      <c r="H32"/>
      <c r="I32"/>
      <c r="J32"/>
      <c r="K32"/>
      <c r="L32"/>
      <c r="M32"/>
    </row>
    <row r="33" spans="1:13" x14ac:dyDescent="0.2">
      <c r="A33" s="408">
        <v>43891</v>
      </c>
      <c r="B33" s="407">
        <v>0.9375</v>
      </c>
      <c r="C33" s="407">
        <v>0.99305555555555547</v>
      </c>
      <c r="D33" s="406">
        <f>(C33-B33)</f>
        <v>5.5555555555555469E-2</v>
      </c>
      <c r="E33" s="492" t="s">
        <v>126</v>
      </c>
      <c r="F33" s="493"/>
      <c r="G33" s="155"/>
      <c r="H33"/>
      <c r="I33"/>
      <c r="J33"/>
      <c r="K33"/>
      <c r="L33"/>
      <c r="M33"/>
    </row>
    <row r="34" spans="1:13" ht="13.5" thickBot="1" x14ac:dyDescent="0.25">
      <c r="A34" s="415"/>
      <c r="B34" s="416"/>
      <c r="C34" s="416"/>
      <c r="D34" s="417"/>
      <c r="E34" s="418"/>
      <c r="F34" s="419"/>
      <c r="G34" s="156"/>
      <c r="H34"/>
      <c r="I34"/>
      <c r="J34"/>
      <c r="K34"/>
      <c r="L34"/>
      <c r="M34"/>
    </row>
    <row r="35" spans="1:13" x14ac:dyDescent="0.2">
      <c r="H35"/>
      <c r="I35"/>
      <c r="J35"/>
      <c r="K35"/>
      <c r="L35"/>
      <c r="M35"/>
    </row>
    <row r="36" spans="1:13" ht="19.5" thickBot="1" x14ac:dyDescent="0.25">
      <c r="A36" s="101" t="s">
        <v>16</v>
      </c>
      <c r="B36" s="102"/>
      <c r="C36" s="103"/>
      <c r="D36" s="104"/>
      <c r="E36" s="104"/>
      <c r="F36" s="104"/>
      <c r="G36" s="104"/>
      <c r="H36"/>
      <c r="I36"/>
      <c r="J36"/>
      <c r="K36"/>
      <c r="L36"/>
      <c r="M36"/>
    </row>
    <row r="37" spans="1:13" ht="12.75" customHeight="1" x14ac:dyDescent="0.2">
      <c r="H37"/>
      <c r="I37"/>
      <c r="J37"/>
      <c r="K37"/>
      <c r="L37"/>
      <c r="M37"/>
    </row>
    <row r="38" spans="1:13" ht="12.75" customHeight="1" x14ac:dyDescent="0.2">
      <c r="H38"/>
      <c r="I38"/>
      <c r="J38"/>
      <c r="K38"/>
      <c r="L38"/>
      <c r="M38"/>
    </row>
    <row r="39" spans="1:13" ht="12.75" customHeight="1" x14ac:dyDescent="0.2">
      <c r="F39" s="97"/>
      <c r="H39"/>
      <c r="I39"/>
      <c r="J39"/>
      <c r="K39"/>
      <c r="L39"/>
      <c r="M39"/>
    </row>
    <row r="40" spans="1:13" ht="12.75" customHeight="1" x14ac:dyDescent="0.2">
      <c r="F40" s="97"/>
      <c r="H40"/>
      <c r="I40"/>
      <c r="J40"/>
      <c r="K40"/>
      <c r="L40"/>
      <c r="M40"/>
    </row>
    <row r="41" spans="1:13" ht="12.75" customHeight="1" x14ac:dyDescent="0.2">
      <c r="F41" s="97"/>
      <c r="H41"/>
      <c r="I41"/>
      <c r="J41"/>
      <c r="K41"/>
      <c r="L41"/>
      <c r="M41"/>
    </row>
    <row r="42" spans="1:13" ht="12.75" customHeight="1" x14ac:dyDescent="0.2">
      <c r="F42" s="97"/>
      <c r="H42"/>
      <c r="I42"/>
      <c r="J42"/>
      <c r="K42"/>
      <c r="L42"/>
      <c r="M42"/>
    </row>
    <row r="43" spans="1:13" ht="12.75" customHeight="1" x14ac:dyDescent="0.2">
      <c r="F43" s="97"/>
      <c r="H43"/>
      <c r="I43"/>
      <c r="J43"/>
      <c r="K43"/>
      <c r="L43"/>
      <c r="M43"/>
    </row>
    <row r="44" spans="1:13" ht="12.75" customHeight="1" x14ac:dyDescent="0.2">
      <c r="F44" s="97"/>
      <c r="H44"/>
      <c r="I44"/>
      <c r="J44"/>
      <c r="K44"/>
      <c r="L44"/>
      <c r="M44"/>
    </row>
    <row r="45" spans="1:13" ht="12.75" customHeight="1" x14ac:dyDescent="0.2">
      <c r="F45" s="97"/>
      <c r="H45"/>
      <c r="I45"/>
      <c r="J45"/>
      <c r="K45"/>
      <c r="L45"/>
      <c r="M45"/>
    </row>
    <row r="46" spans="1:13" ht="13.5" customHeight="1" x14ac:dyDescent="0.2">
      <c r="F46" s="97"/>
      <c r="H46"/>
      <c r="I46"/>
      <c r="J46"/>
      <c r="K46"/>
      <c r="L46"/>
      <c r="M46"/>
    </row>
    <row r="47" spans="1:13" x14ac:dyDescent="0.2">
      <c r="F47" s="97"/>
      <c r="H47"/>
      <c r="I47"/>
      <c r="J47"/>
      <c r="K47"/>
      <c r="L47"/>
      <c r="M47"/>
    </row>
    <row r="48" spans="1:13" x14ac:dyDescent="0.2">
      <c r="F48" s="97"/>
      <c r="H48"/>
      <c r="I48"/>
      <c r="J48"/>
      <c r="K48"/>
      <c r="L48"/>
      <c r="M48"/>
    </row>
    <row r="49" spans="6:13" x14ac:dyDescent="0.2">
      <c r="F49" s="97"/>
      <c r="H49"/>
      <c r="I49"/>
      <c r="J49"/>
      <c r="K49"/>
      <c r="L49"/>
      <c r="M49"/>
    </row>
    <row r="50" spans="6:13" x14ac:dyDescent="0.2">
      <c r="H50"/>
      <c r="I50"/>
      <c r="J50"/>
      <c r="K50"/>
      <c r="L50"/>
      <c r="M50"/>
    </row>
    <row r="51" spans="6:13" x14ac:dyDescent="0.2">
      <c r="H51"/>
      <c r="I51"/>
      <c r="J51"/>
      <c r="K51"/>
      <c r="L51"/>
      <c r="M51"/>
    </row>
    <row r="52" spans="6:13" x14ac:dyDescent="0.2">
      <c r="H52"/>
      <c r="I52"/>
      <c r="J52"/>
      <c r="K52"/>
      <c r="L52"/>
      <c r="M52"/>
    </row>
    <row r="53" spans="6:13" x14ac:dyDescent="0.2">
      <c r="H53"/>
      <c r="I53"/>
      <c r="J53"/>
      <c r="K53"/>
      <c r="L53"/>
      <c r="M53"/>
    </row>
    <row r="54" spans="6:13" x14ac:dyDescent="0.2">
      <c r="H54"/>
      <c r="I54"/>
      <c r="J54"/>
      <c r="K54"/>
      <c r="L54"/>
      <c r="M54"/>
    </row>
    <row r="55" spans="6:13" x14ac:dyDescent="0.2">
      <c r="H55"/>
      <c r="I55"/>
      <c r="J55"/>
      <c r="K55"/>
      <c r="L55"/>
      <c r="M55"/>
    </row>
    <row r="56" spans="6:13" x14ac:dyDescent="0.2">
      <c r="H56"/>
      <c r="I56"/>
      <c r="J56"/>
      <c r="K56"/>
      <c r="L56"/>
      <c r="M56"/>
    </row>
    <row r="57" spans="6:13" x14ac:dyDescent="0.2">
      <c r="H57"/>
      <c r="I57"/>
      <c r="J57"/>
      <c r="K57"/>
      <c r="L57"/>
      <c r="M57"/>
    </row>
    <row r="58" spans="6:13" x14ac:dyDescent="0.2">
      <c r="H58"/>
      <c r="I58"/>
      <c r="J58"/>
      <c r="K58"/>
      <c r="L58"/>
      <c r="M58"/>
    </row>
    <row r="59" spans="6:13" x14ac:dyDescent="0.2">
      <c r="H59"/>
      <c r="I59"/>
      <c r="J59"/>
      <c r="K59"/>
      <c r="L59"/>
      <c r="M59"/>
    </row>
    <row r="60" spans="6:13" x14ac:dyDescent="0.2">
      <c r="H60"/>
      <c r="I60"/>
      <c r="J60"/>
      <c r="K60"/>
      <c r="L60"/>
      <c r="M60"/>
    </row>
    <row r="68" spans="2:7" x14ac:dyDescent="0.2">
      <c r="B68" s="105"/>
      <c r="C68" s="106"/>
      <c r="D68" s="107"/>
      <c r="E68" s="108"/>
      <c r="F68"/>
      <c r="G68"/>
    </row>
  </sheetData>
  <mergeCells count="67">
    <mergeCell ref="A31:A32"/>
    <mergeCell ref="B31:B32"/>
    <mergeCell ref="C31:C32"/>
    <mergeCell ref="D31:D32"/>
    <mergeCell ref="E31:F32"/>
    <mergeCell ref="A33:A34"/>
    <mergeCell ref="B33:B34"/>
    <mergeCell ref="C33:C34"/>
    <mergeCell ref="D33:D34"/>
    <mergeCell ref="E33:F34"/>
    <mergeCell ref="A29:A30"/>
    <mergeCell ref="B29:B30"/>
    <mergeCell ref="C29:C30"/>
    <mergeCell ref="D29:D30"/>
    <mergeCell ref="E29:F30"/>
    <mergeCell ref="G25:G26"/>
    <mergeCell ref="G23:G24"/>
    <mergeCell ref="A23:A24"/>
    <mergeCell ref="B23:B24"/>
    <mergeCell ref="C23:C24"/>
    <mergeCell ref="D23:D24"/>
    <mergeCell ref="E23:F24"/>
    <mergeCell ref="G21:G22"/>
    <mergeCell ref="E21:F22"/>
    <mergeCell ref="A21:A22"/>
    <mergeCell ref="B21:B22"/>
    <mergeCell ref="C21:C22"/>
    <mergeCell ref="D21:D22"/>
    <mergeCell ref="G19:G20"/>
    <mergeCell ref="A17:A18"/>
    <mergeCell ref="B17:B18"/>
    <mergeCell ref="C17:C18"/>
    <mergeCell ref="D17:D18"/>
    <mergeCell ref="E17:F18"/>
    <mergeCell ref="G17:G18"/>
    <mergeCell ref="A19:A20"/>
    <mergeCell ref="B19:B20"/>
    <mergeCell ref="C19:C20"/>
    <mergeCell ref="D19:D20"/>
    <mergeCell ref="E19:F20"/>
    <mergeCell ref="G15:G16"/>
    <mergeCell ref="A13:A14"/>
    <mergeCell ref="B13:B14"/>
    <mergeCell ref="C13:C14"/>
    <mergeCell ref="D13:D14"/>
    <mergeCell ref="E13:F14"/>
    <mergeCell ref="G13:G14"/>
    <mergeCell ref="A15:A16"/>
    <mergeCell ref="B15:B16"/>
    <mergeCell ref="C15:C16"/>
    <mergeCell ref="D15:D16"/>
    <mergeCell ref="E15:F16"/>
    <mergeCell ref="E9:F10"/>
    <mergeCell ref="G9:G10"/>
    <mergeCell ref="A11:A12"/>
    <mergeCell ref="B11:B12"/>
    <mergeCell ref="C11:C12"/>
    <mergeCell ref="D11:D12"/>
    <mergeCell ref="E11:F12"/>
    <mergeCell ref="G11:G12"/>
    <mergeCell ref="A1:D1"/>
    <mergeCell ref="A4:B5"/>
    <mergeCell ref="C4:D5"/>
    <mergeCell ref="A9:A10"/>
    <mergeCell ref="B9:B10"/>
    <mergeCell ref="C9:C10"/>
    <mergeCell ref="D9:D10"/>
  </mergeCells>
  <conditionalFormatting sqref="A9:D9 A25:C25 A11:D11">
    <cfRule type="expression" dxfId="254" priority="33">
      <formula>ISNUMBER(SEARCH(TEXT(#REF!,"ddd"),#REF!))</formula>
    </cfRule>
  </conditionalFormatting>
  <conditionalFormatting sqref="A27:C27">
    <cfRule type="expression" dxfId="253" priority="13">
      <formula>ISNUMBER(SEARCH(TEXT(#REF!,"ddd"),#REF!))</formula>
    </cfRule>
  </conditionalFormatting>
  <conditionalFormatting sqref="A27:C27">
    <cfRule type="expression" dxfId="252" priority="24">
      <formula>ISNUMBER(SEARCH(TEXT(#REF!,"ddd"),#REF!))</formula>
    </cfRule>
  </conditionalFormatting>
  <conditionalFormatting sqref="A25:C25">
    <cfRule type="expression" dxfId="251" priority="14">
      <formula>ISNUMBER(SEARCH(TEXT(#REF!,"ddd"),#REF!))</formula>
    </cfRule>
  </conditionalFormatting>
  <conditionalFormatting sqref="D13">
    <cfRule type="expression" dxfId="250" priority="20">
      <formula>ISNUMBER(SEARCH(TEXT(#REF!,"ddd"),#REF!))</formula>
    </cfRule>
  </conditionalFormatting>
  <conditionalFormatting sqref="A13:C13">
    <cfRule type="expression" dxfId="249" priority="19">
      <formula>ISNUMBER(SEARCH(TEXT(#REF!,"ddd"),#REF!))</formula>
    </cfRule>
  </conditionalFormatting>
  <conditionalFormatting sqref="D15">
    <cfRule type="expression" dxfId="248" priority="18">
      <formula>ISNUMBER(SEARCH(TEXT(#REF!,"ddd"),#REF!))</formula>
    </cfRule>
  </conditionalFormatting>
  <conditionalFormatting sqref="A15:C15">
    <cfRule type="expression" dxfId="247" priority="17">
      <formula>ISNUMBER(SEARCH(TEXT(#REF!,"ddd"),#REF!))</formula>
    </cfRule>
  </conditionalFormatting>
  <conditionalFormatting sqref="A17:D17">
    <cfRule type="expression" dxfId="246" priority="16">
      <formula>ISNUMBER(SEARCH(TEXT(#REF!,"ddd"),#REF!))</formula>
    </cfRule>
  </conditionalFormatting>
  <conditionalFormatting sqref="A19:D19">
    <cfRule type="expression" dxfId="245" priority="15">
      <formula>ISNUMBER(SEARCH(TEXT(#REF!,"ddd"),#REF!))</formula>
    </cfRule>
  </conditionalFormatting>
  <conditionalFormatting sqref="A23:C23">
    <cfRule type="expression" dxfId="244" priority="12">
      <formula>ISNUMBER(SEARCH(TEXT(#REF!,"ddd"),#REF!))</formula>
    </cfRule>
  </conditionalFormatting>
  <conditionalFormatting sqref="A23:C23">
    <cfRule type="expression" dxfId="243" priority="11">
      <formula>ISNUMBER(SEARCH(TEXT(#REF!,"ddd"),#REF!))</formula>
    </cfRule>
  </conditionalFormatting>
  <conditionalFormatting sqref="A21:C21">
    <cfRule type="expression" dxfId="242" priority="10">
      <formula>ISNUMBER(SEARCH(TEXT(#REF!,"ddd"),#REF!))</formula>
    </cfRule>
  </conditionalFormatting>
  <conditionalFormatting sqref="A21:C21">
    <cfRule type="expression" dxfId="241" priority="9">
      <formula>ISNUMBER(SEARCH(TEXT(#REF!,"ddd"),#REF!))</formula>
    </cfRule>
  </conditionalFormatting>
  <conditionalFormatting sqref="A33:C33">
    <cfRule type="expression" dxfId="240" priority="7">
      <formula>ISNUMBER(SEARCH(TEXT(#REF!,"ddd"),#REF!))</formula>
    </cfRule>
  </conditionalFormatting>
  <conditionalFormatting sqref="A31:C31">
    <cfRule type="expression" dxfId="239" priority="3">
      <formula>ISNUMBER(SEARCH(TEXT(#REF!,"ddd"),#REF!))</formula>
    </cfRule>
  </conditionalFormatting>
  <conditionalFormatting sqref="A31:C31">
    <cfRule type="expression" dxfId="238" priority="2">
      <formula>ISNUMBER(SEARCH(TEXT(#REF!,"ddd"),#REF!))</formula>
    </cfRule>
  </conditionalFormatting>
  <conditionalFormatting sqref="A29:C29">
    <cfRule type="expression" dxfId="237"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1A2F-0D91-4814-A378-53A74CEFAF87}">
  <sheetPr codeName="Sheet13"/>
  <dimension ref="A1:M62"/>
  <sheetViews>
    <sheetView showGridLines="0" zoomScale="117" zoomScaleNormal="117" workbookViewId="0">
      <selection activeCell="J25" sqref="J25"/>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WEEKNUM(A9)</f>
        <v>10</v>
      </c>
      <c r="F1" s="77"/>
      <c r="G1" s="78"/>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MIN(A9:A40)</f>
        <v>43892</v>
      </c>
      <c r="B3" s="84"/>
      <c r="C3" s="83">
        <f>MAXA(A9:A40)</f>
        <v>43898</v>
      </c>
      <c r="D3" s="84"/>
      <c r="E3" s="85" t="s">
        <v>5</v>
      </c>
      <c r="F3" s="159">
        <f>Sumcolor(E3,D9:D40)</f>
        <v>0</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87" t="s">
        <v>7</v>
      </c>
      <c r="F4" s="159">
        <f>Sumcolor(E4,D9:D40)</f>
        <v>0.14583333333333348</v>
      </c>
      <c r="G4" s="159">
        <f ca="1">SUM(INDIRECT(CONCATENATE("Uke",TEXT(VALUE(MID(CELL("filnavn",A1),FIND("]",CELL("filnavn",A1))+4,2))-1,0),"!G4")),F4)</f>
        <v>0.58611111111111136</v>
      </c>
      <c r="H4" s="161"/>
      <c r="I4" s="161"/>
      <c r="J4" s="161"/>
      <c r="K4" s="161"/>
      <c r="L4" s="161"/>
      <c r="M4" s="161"/>
    </row>
    <row r="5" spans="1:13" x14ac:dyDescent="0.2">
      <c r="A5" s="366"/>
      <c r="B5" s="366"/>
      <c r="C5" s="366"/>
      <c r="D5" s="366"/>
      <c r="E5" s="158" t="s">
        <v>8</v>
      </c>
      <c r="F5" s="159">
        <f>Sumcolor(E5,D9:D40)</f>
        <v>0.33680555555555591</v>
      </c>
      <c r="G5" s="159">
        <f ca="1">SUM(INDIRECT(CONCATENATE("Uke",TEXT(VALUE(MID(CELL("filnavn",A1),FIND("]",CELL("filnavn",A1))+4,2))-1,0),"!G5")),F5)</f>
        <v>0.92013888888888906</v>
      </c>
      <c r="H5" s="161"/>
      <c r="I5" s="157"/>
      <c r="J5" s="161"/>
      <c r="K5" s="161"/>
      <c r="L5" s="161"/>
      <c r="M5" s="161"/>
    </row>
    <row r="6" spans="1:13" ht="13.5" thickBot="1" x14ac:dyDescent="0.25">
      <c r="A6" s="89">
        <f>SUM(D9:D40)</f>
        <v>0.53819444444444497</v>
      </c>
      <c r="B6" s="90"/>
      <c r="C6" s="91" t="e">
        <f ca="1">SUM(G3:G6)</f>
        <v>#VALUE!</v>
      </c>
      <c r="D6" s="92"/>
      <c r="E6" s="93" t="s">
        <v>9</v>
      </c>
      <c r="F6" s="160">
        <f>Sumcolor(E6,D9:D40)</f>
        <v>5.555555555555558E-2</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80" t="s">
        <v>10</v>
      </c>
      <c r="B8" s="80" t="s">
        <v>11</v>
      </c>
      <c r="C8" s="80" t="s">
        <v>12</v>
      </c>
      <c r="D8" s="80" t="s">
        <v>13</v>
      </c>
      <c r="E8" s="80" t="s">
        <v>14</v>
      </c>
      <c r="G8" s="100" t="s">
        <v>15</v>
      </c>
      <c r="H8" s="161"/>
      <c r="I8" s="161"/>
      <c r="J8" s="161"/>
      <c r="K8" s="161"/>
      <c r="L8" s="161"/>
      <c r="M8" s="161"/>
    </row>
    <row r="9" spans="1:13" x14ac:dyDescent="0.2">
      <c r="A9" s="499">
        <v>43892</v>
      </c>
      <c r="B9" s="465">
        <v>0.61458333333333337</v>
      </c>
      <c r="C9" s="465">
        <v>0.625</v>
      </c>
      <c r="D9" s="466">
        <f>(C9-B9)</f>
        <v>1.041666666666663E-2</v>
      </c>
      <c r="E9" s="460" t="s">
        <v>100</v>
      </c>
      <c r="F9" s="461"/>
      <c r="G9" s="501"/>
      <c r="H9" s="161"/>
      <c r="I9" s="161"/>
      <c r="J9" s="161"/>
      <c r="K9" s="161"/>
      <c r="L9" s="161"/>
      <c r="M9" s="161"/>
    </row>
    <row r="10" spans="1:13" x14ac:dyDescent="0.2">
      <c r="A10" s="500"/>
      <c r="B10" s="441"/>
      <c r="C10" s="441"/>
      <c r="D10" s="476"/>
      <c r="E10" s="462"/>
      <c r="F10" s="463"/>
      <c r="G10" s="502"/>
      <c r="H10" s="161"/>
      <c r="I10" s="161"/>
      <c r="J10" s="161"/>
      <c r="K10" s="161"/>
      <c r="L10" s="161"/>
      <c r="M10" s="161"/>
    </row>
    <row r="11" spans="1:13" x14ac:dyDescent="0.2">
      <c r="A11" s="503">
        <v>43893</v>
      </c>
      <c r="B11" s="452">
        <v>0.625</v>
      </c>
      <c r="C11" s="452">
        <v>0.70833333333333337</v>
      </c>
      <c r="D11" s="504">
        <f>(C11-B11)</f>
        <v>8.333333333333337E-2</v>
      </c>
      <c r="E11" s="456" t="s">
        <v>131</v>
      </c>
      <c r="F11" s="457"/>
      <c r="G11" s="502"/>
      <c r="H11" s="161"/>
      <c r="I11" s="161"/>
      <c r="J11" s="161"/>
      <c r="K11" s="161"/>
      <c r="L11" s="161"/>
      <c r="M11" s="161"/>
    </row>
    <row r="12" spans="1:13" x14ac:dyDescent="0.2">
      <c r="A12" s="503"/>
      <c r="B12" s="453"/>
      <c r="C12" s="453"/>
      <c r="D12" s="469"/>
      <c r="E12" s="505"/>
      <c r="F12" s="506"/>
      <c r="G12" s="502"/>
      <c r="H12" s="161"/>
      <c r="I12" s="161"/>
      <c r="J12" s="161"/>
      <c r="K12" s="161"/>
      <c r="L12" s="161"/>
      <c r="M12" s="161"/>
    </row>
    <row r="13" spans="1:13" x14ac:dyDescent="0.2">
      <c r="A13" s="500">
        <v>43894</v>
      </c>
      <c r="B13" s="440">
        <v>0.51388888888888895</v>
      </c>
      <c r="C13" s="440">
        <v>0.53472222222222221</v>
      </c>
      <c r="D13" s="476">
        <f>(C13-B13)</f>
        <v>2.0833333333333259E-2</v>
      </c>
      <c r="E13" s="507" t="s">
        <v>100</v>
      </c>
      <c r="F13" s="508"/>
      <c r="G13" s="502"/>
      <c r="H13" s="161"/>
      <c r="I13" s="161"/>
      <c r="J13" s="161"/>
      <c r="K13" s="161"/>
      <c r="L13" s="161"/>
      <c r="M13" s="161"/>
    </row>
    <row r="14" spans="1:13" x14ac:dyDescent="0.2">
      <c r="A14" s="500"/>
      <c r="B14" s="441"/>
      <c r="C14" s="441"/>
      <c r="D14" s="476"/>
      <c r="E14" s="462"/>
      <c r="F14" s="463"/>
      <c r="G14" s="502"/>
      <c r="H14" s="161"/>
      <c r="I14" s="161"/>
      <c r="J14" s="161"/>
      <c r="K14" s="161"/>
      <c r="L14" s="161"/>
      <c r="M14" s="161"/>
    </row>
    <row r="15" spans="1:13" x14ac:dyDescent="0.2">
      <c r="A15" s="500">
        <v>43894</v>
      </c>
      <c r="B15" s="440">
        <v>0.53472222222222221</v>
      </c>
      <c r="C15" s="440">
        <v>0.55555555555555558</v>
      </c>
      <c r="D15" s="509">
        <f>(C15-B15)</f>
        <v>2.083333333333337E-2</v>
      </c>
      <c r="E15" s="507" t="s">
        <v>128</v>
      </c>
      <c r="F15" s="508"/>
      <c r="G15" s="502"/>
      <c r="H15" s="161"/>
      <c r="I15" s="161"/>
      <c r="J15" s="161"/>
      <c r="K15" s="161"/>
      <c r="L15" s="161"/>
      <c r="M15" s="161"/>
    </row>
    <row r="16" spans="1:13" x14ac:dyDescent="0.2">
      <c r="A16" s="500"/>
      <c r="B16" s="441"/>
      <c r="C16" s="441"/>
      <c r="D16" s="477"/>
      <c r="E16" s="462"/>
      <c r="F16" s="463"/>
      <c r="G16" s="502"/>
      <c r="H16" s="161"/>
      <c r="I16" s="161"/>
      <c r="J16" s="161"/>
      <c r="K16" s="161"/>
      <c r="L16" s="161"/>
      <c r="M16" s="161"/>
    </row>
    <row r="17" spans="1:13" x14ac:dyDescent="0.2">
      <c r="A17" s="500">
        <v>43894</v>
      </c>
      <c r="B17" s="510">
        <v>0.71180555555555547</v>
      </c>
      <c r="C17" s="510">
        <v>0.83333333333333337</v>
      </c>
      <c r="D17" s="509">
        <f>(C17-B17)</f>
        <v>0.1215277777777779</v>
      </c>
      <c r="E17" s="507" t="s">
        <v>129</v>
      </c>
      <c r="F17" s="508"/>
      <c r="G17" s="502"/>
      <c r="H17" s="161"/>
      <c r="I17" s="161"/>
      <c r="J17" s="161"/>
      <c r="K17" s="161"/>
      <c r="L17" s="161"/>
      <c r="M17" s="161"/>
    </row>
    <row r="18" spans="1:13" x14ac:dyDescent="0.2">
      <c r="A18" s="500"/>
      <c r="B18" s="475"/>
      <c r="C18" s="475"/>
      <c r="D18" s="477"/>
      <c r="E18" s="462"/>
      <c r="F18" s="463"/>
      <c r="G18" s="502"/>
      <c r="H18" s="161"/>
      <c r="I18" s="161"/>
      <c r="J18" s="161"/>
      <c r="K18" s="161"/>
      <c r="L18" s="161"/>
      <c r="M18" s="161"/>
    </row>
    <row r="19" spans="1:13" x14ac:dyDescent="0.2">
      <c r="A19" s="503">
        <v>43894</v>
      </c>
      <c r="B19" s="452">
        <v>0.66666666666666663</v>
      </c>
      <c r="C19" s="452">
        <v>0.6875</v>
      </c>
      <c r="D19" s="504">
        <f>(C19-B19)</f>
        <v>2.083333333333337E-2</v>
      </c>
      <c r="E19" s="456" t="s">
        <v>133</v>
      </c>
      <c r="F19" s="457"/>
      <c r="G19" s="502"/>
      <c r="H19" s="161"/>
      <c r="I19" s="161"/>
      <c r="J19" s="161"/>
      <c r="K19" s="161"/>
      <c r="L19" s="161"/>
      <c r="M19" s="161"/>
    </row>
    <row r="20" spans="1:13" x14ac:dyDescent="0.2">
      <c r="A20" s="503"/>
      <c r="B20" s="453"/>
      <c r="C20" s="453"/>
      <c r="D20" s="469"/>
      <c r="E20" s="505"/>
      <c r="F20" s="506"/>
      <c r="G20" s="502"/>
      <c r="H20" s="161"/>
      <c r="I20" s="161"/>
      <c r="J20" s="161"/>
      <c r="K20" s="161"/>
      <c r="L20" s="161"/>
      <c r="M20" s="161"/>
    </row>
    <row r="21" spans="1:13" ht="12.75" customHeight="1" x14ac:dyDescent="0.2">
      <c r="A21" s="500">
        <v>43896</v>
      </c>
      <c r="B21" s="510">
        <v>0.75347222222222199</v>
      </c>
      <c r="C21" s="510">
        <v>0.875</v>
      </c>
      <c r="D21" s="509">
        <f>(C21-B21)</f>
        <v>0.12152777777777801</v>
      </c>
      <c r="E21" s="507" t="s">
        <v>132</v>
      </c>
      <c r="F21" s="508"/>
      <c r="G21" s="502"/>
      <c r="H21" s="161"/>
      <c r="I21" s="161"/>
      <c r="J21" s="161"/>
      <c r="K21" s="161"/>
      <c r="L21" s="161"/>
      <c r="M21" s="161"/>
    </row>
    <row r="22" spans="1:13" x14ac:dyDescent="0.2">
      <c r="A22" s="511"/>
      <c r="B22" s="475"/>
      <c r="C22" s="475"/>
      <c r="D22" s="477"/>
      <c r="E22" s="462"/>
      <c r="F22" s="463"/>
      <c r="G22" s="502"/>
      <c r="H22" s="161"/>
      <c r="I22" s="161"/>
      <c r="J22" s="161"/>
      <c r="K22" s="161"/>
      <c r="L22" s="161"/>
      <c r="M22" s="161"/>
    </row>
    <row r="23" spans="1:13" x14ac:dyDescent="0.2">
      <c r="A23" s="472">
        <v>43898</v>
      </c>
      <c r="B23" s="510">
        <v>0.54166666666666663</v>
      </c>
      <c r="C23" s="510">
        <v>0.58333333333333337</v>
      </c>
      <c r="D23" s="509">
        <f>(C23-B23)</f>
        <v>4.1666666666666741E-2</v>
      </c>
      <c r="E23" s="507" t="s">
        <v>130</v>
      </c>
      <c r="F23" s="508"/>
      <c r="G23" s="502"/>
      <c r="H23" s="161"/>
      <c r="I23" s="161"/>
      <c r="J23" s="161"/>
      <c r="K23" s="161"/>
      <c r="L23" s="161"/>
      <c r="M23" s="161"/>
    </row>
    <row r="24" spans="1:13" x14ac:dyDescent="0.2">
      <c r="A24" s="472"/>
      <c r="B24" s="475"/>
      <c r="C24" s="475"/>
      <c r="D24" s="477"/>
      <c r="E24" s="462"/>
      <c r="F24" s="463"/>
      <c r="G24" s="502"/>
      <c r="H24" s="161"/>
      <c r="I24" s="161"/>
      <c r="J24" s="161"/>
      <c r="K24" s="161"/>
      <c r="L24" s="161"/>
      <c r="M24" s="161"/>
    </row>
    <row r="25" spans="1:13" ht="12.75" customHeight="1" x14ac:dyDescent="0.2">
      <c r="A25" s="514">
        <v>43898</v>
      </c>
      <c r="B25" s="513">
        <v>0.85416666666666663</v>
      </c>
      <c r="C25" s="513">
        <v>0.89583333333333337</v>
      </c>
      <c r="D25" s="504">
        <f>(C25-B25)</f>
        <v>4.1666666666666741E-2</v>
      </c>
      <c r="E25" s="456" t="s">
        <v>134</v>
      </c>
      <c r="F25" s="457"/>
      <c r="G25" s="502" t="s">
        <v>157</v>
      </c>
      <c r="H25" s="161"/>
      <c r="I25" s="161"/>
      <c r="J25" s="161"/>
      <c r="K25" s="161"/>
      <c r="L25" s="161"/>
      <c r="M25" s="161"/>
    </row>
    <row r="26" spans="1:13" x14ac:dyDescent="0.2">
      <c r="A26" s="467"/>
      <c r="B26" s="468"/>
      <c r="C26" s="468"/>
      <c r="D26" s="469"/>
      <c r="E26" s="470"/>
      <c r="F26" s="471"/>
      <c r="G26" s="502"/>
      <c r="H26" s="161"/>
      <c r="I26" s="161"/>
      <c r="J26" s="161"/>
      <c r="K26" s="161"/>
      <c r="L26" s="161"/>
      <c r="M26" s="161"/>
    </row>
    <row r="27" spans="1:13" ht="12.75" customHeight="1" x14ac:dyDescent="0.2">
      <c r="A27" s="408">
        <v>43898</v>
      </c>
      <c r="B27" s="407">
        <v>0.90277777777777779</v>
      </c>
      <c r="C27" s="407">
        <v>0.95833333333333337</v>
      </c>
      <c r="D27" s="406">
        <f>(C27-B27)</f>
        <v>5.555555555555558E-2</v>
      </c>
      <c r="E27" s="492" t="s">
        <v>126</v>
      </c>
      <c r="F27" s="493"/>
      <c r="G27" s="502"/>
      <c r="H27" s="161"/>
      <c r="I27" s="161"/>
      <c r="J27" s="161"/>
      <c r="K27" s="161"/>
      <c r="L27" s="161"/>
      <c r="M27" s="161"/>
    </row>
    <row r="28" spans="1:13" ht="13.5" thickBot="1" x14ac:dyDescent="0.25">
      <c r="A28" s="415"/>
      <c r="B28" s="416"/>
      <c r="C28" s="416"/>
      <c r="D28" s="417"/>
      <c r="E28" s="418"/>
      <c r="F28" s="419"/>
      <c r="G28" s="512"/>
      <c r="H28" s="161"/>
      <c r="I28" s="161"/>
      <c r="J28" s="161"/>
      <c r="K28" s="161"/>
      <c r="L28" s="161"/>
      <c r="M28" s="161"/>
    </row>
    <row r="29" spans="1:13" x14ac:dyDescent="0.2">
      <c r="H29" s="161"/>
      <c r="I29" s="161"/>
      <c r="J29" s="161"/>
      <c r="K29" s="161"/>
      <c r="L29" s="161"/>
      <c r="M29" s="161"/>
    </row>
    <row r="30" spans="1:13" ht="19.5" thickBot="1" x14ac:dyDescent="0.25">
      <c r="A30" s="101" t="s">
        <v>16</v>
      </c>
      <c r="B30" s="102"/>
      <c r="C30" s="103"/>
      <c r="D30" s="104"/>
      <c r="E30" s="104"/>
      <c r="F30" s="104"/>
      <c r="G30" s="104"/>
      <c r="H30" s="161"/>
      <c r="I30" s="161"/>
      <c r="J30" s="161"/>
      <c r="K30" s="161"/>
      <c r="L30" s="161"/>
      <c r="M30" s="161"/>
    </row>
    <row r="31" spans="1:13" ht="12.75" customHeight="1" x14ac:dyDescent="0.2">
      <c r="H31" s="161"/>
      <c r="I31" s="161"/>
      <c r="J31" s="161"/>
      <c r="K31" s="161"/>
      <c r="L31" s="161"/>
      <c r="M31" s="161"/>
    </row>
    <row r="32" spans="1:13" ht="12.75" customHeight="1" x14ac:dyDescent="0.2">
      <c r="H32" s="161"/>
      <c r="I32" s="161"/>
      <c r="J32" s="161"/>
      <c r="K32" s="161"/>
      <c r="L32" s="161"/>
      <c r="M32" s="161"/>
    </row>
    <row r="33" spans="6:13" ht="12.75" customHeight="1" x14ac:dyDescent="0.2">
      <c r="F33" s="97"/>
      <c r="H33" s="161"/>
      <c r="I33" s="161"/>
      <c r="J33" s="161"/>
      <c r="K33" s="161"/>
      <c r="L33" s="161"/>
      <c r="M33" s="161"/>
    </row>
    <row r="34" spans="6:13" ht="12.75" customHeight="1" x14ac:dyDescent="0.2">
      <c r="F34" s="97"/>
      <c r="H34" s="161"/>
      <c r="I34" s="161"/>
      <c r="J34" s="161"/>
      <c r="K34" s="161"/>
      <c r="L34" s="161"/>
      <c r="M34" s="161"/>
    </row>
    <row r="35" spans="6:13" ht="12.75" customHeight="1" x14ac:dyDescent="0.2">
      <c r="F35" s="97"/>
      <c r="H35" s="161"/>
      <c r="I35" s="161"/>
      <c r="J35" s="161"/>
      <c r="K35" s="161"/>
      <c r="L35" s="161"/>
      <c r="M35" s="161"/>
    </row>
    <row r="36" spans="6:13" ht="12.75" customHeight="1" x14ac:dyDescent="0.2">
      <c r="F36" s="97"/>
      <c r="H36" s="161"/>
      <c r="I36" s="161"/>
      <c r="J36" s="161"/>
      <c r="K36" s="161"/>
      <c r="L36" s="161"/>
      <c r="M36" s="161"/>
    </row>
    <row r="37" spans="6:13" ht="12.75" customHeight="1" x14ac:dyDescent="0.2">
      <c r="F37" s="97"/>
      <c r="H37" s="161"/>
      <c r="I37" s="161"/>
      <c r="J37" s="161"/>
      <c r="K37" s="161"/>
      <c r="L37" s="161"/>
      <c r="M37" s="161"/>
    </row>
    <row r="38" spans="6:13" ht="12.75" customHeight="1" x14ac:dyDescent="0.2">
      <c r="F38" s="97"/>
      <c r="H38" s="161"/>
      <c r="I38" s="161"/>
      <c r="J38" s="161"/>
      <c r="K38" s="161"/>
      <c r="L38" s="161"/>
      <c r="M38" s="161"/>
    </row>
    <row r="39" spans="6:13" ht="12.75" customHeight="1" x14ac:dyDescent="0.2">
      <c r="F39" s="97"/>
      <c r="H39" s="161"/>
      <c r="I39" s="161"/>
      <c r="J39" s="161"/>
      <c r="K39" s="161"/>
      <c r="L39" s="161"/>
      <c r="M39" s="161"/>
    </row>
    <row r="40" spans="6:13" ht="13.5" customHeight="1" x14ac:dyDescent="0.2">
      <c r="F40" s="97"/>
      <c r="H40" s="161"/>
      <c r="I40" s="161"/>
      <c r="J40" s="161"/>
      <c r="K40" s="161"/>
      <c r="L40" s="161"/>
      <c r="M40" s="161"/>
    </row>
    <row r="41" spans="6:13" x14ac:dyDescent="0.2">
      <c r="F41" s="97"/>
      <c r="H41" s="161"/>
      <c r="I41" s="161"/>
      <c r="J41" s="161"/>
      <c r="K41" s="161"/>
      <c r="L41" s="161"/>
      <c r="M41" s="161"/>
    </row>
    <row r="42" spans="6:13" x14ac:dyDescent="0.2">
      <c r="F42" s="97"/>
      <c r="H42" s="161"/>
      <c r="I42" s="161"/>
      <c r="J42" s="161"/>
      <c r="K42" s="161"/>
      <c r="L42" s="161"/>
      <c r="M42" s="161"/>
    </row>
    <row r="43" spans="6:13" x14ac:dyDescent="0.2">
      <c r="F43" s="97"/>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49" spans="2:13" x14ac:dyDescent="0.2">
      <c r="H49" s="161"/>
      <c r="I49" s="161"/>
      <c r="J49" s="161"/>
      <c r="K49" s="161"/>
      <c r="L49" s="161"/>
      <c r="M49" s="161"/>
    </row>
    <row r="50" spans="2:13" x14ac:dyDescent="0.2">
      <c r="H50" s="161"/>
      <c r="I50" s="161"/>
      <c r="J50" s="161"/>
      <c r="K50" s="161"/>
      <c r="L50" s="161"/>
      <c r="M50" s="161"/>
    </row>
    <row r="51" spans="2:13" x14ac:dyDescent="0.2">
      <c r="H51" s="161"/>
      <c r="I51" s="161"/>
      <c r="J51" s="161"/>
      <c r="K51" s="161"/>
      <c r="L51" s="161"/>
      <c r="M51" s="161"/>
    </row>
    <row r="52" spans="2:13" x14ac:dyDescent="0.2">
      <c r="H52" s="161"/>
      <c r="I52" s="161"/>
      <c r="J52" s="161"/>
      <c r="K52" s="161"/>
      <c r="L52" s="161"/>
      <c r="M52" s="161"/>
    </row>
    <row r="53" spans="2:13" x14ac:dyDescent="0.2">
      <c r="H53" s="161"/>
      <c r="I53" s="161"/>
      <c r="J53" s="161"/>
      <c r="K53" s="161"/>
      <c r="L53" s="161"/>
      <c r="M53" s="161"/>
    </row>
    <row r="54" spans="2:13" x14ac:dyDescent="0.2">
      <c r="H54" s="161"/>
      <c r="I54" s="161"/>
      <c r="J54" s="161"/>
      <c r="K54" s="161"/>
      <c r="L54" s="161"/>
      <c r="M54" s="161"/>
    </row>
    <row r="62" spans="2:13" x14ac:dyDescent="0.2">
      <c r="B62" s="105"/>
      <c r="C62" s="106"/>
      <c r="D62" s="107"/>
      <c r="E62" s="108"/>
      <c r="F62" s="161"/>
      <c r="G62" s="161"/>
    </row>
  </sheetData>
  <mergeCells count="63">
    <mergeCell ref="G27:G28"/>
    <mergeCell ref="G23:G24"/>
    <mergeCell ref="A27:A28"/>
    <mergeCell ref="B27:B28"/>
    <mergeCell ref="C27:C28"/>
    <mergeCell ref="D27:D28"/>
    <mergeCell ref="E27:F28"/>
    <mergeCell ref="C25:C26"/>
    <mergeCell ref="B25:B26"/>
    <mergeCell ref="A25:A26"/>
    <mergeCell ref="D25:D26"/>
    <mergeCell ref="E25:F26"/>
    <mergeCell ref="G25:G26"/>
    <mergeCell ref="D19:D20"/>
    <mergeCell ref="G21:G22"/>
    <mergeCell ref="A21:A22"/>
    <mergeCell ref="B21:B22"/>
    <mergeCell ref="C21:C22"/>
    <mergeCell ref="D21:D22"/>
    <mergeCell ref="E21:F22"/>
    <mergeCell ref="G17:G18"/>
    <mergeCell ref="A23:A24"/>
    <mergeCell ref="B23:B24"/>
    <mergeCell ref="C23:C24"/>
    <mergeCell ref="D23:D24"/>
    <mergeCell ref="E23:F24"/>
    <mergeCell ref="E19:F20"/>
    <mergeCell ref="A17:A18"/>
    <mergeCell ref="B17:B18"/>
    <mergeCell ref="C17:C18"/>
    <mergeCell ref="D17:D18"/>
    <mergeCell ref="E17:F18"/>
    <mergeCell ref="G19:G20"/>
    <mergeCell ref="A19:A20"/>
    <mergeCell ref="B19:B20"/>
    <mergeCell ref="C19:C20"/>
    <mergeCell ref="G15:G16"/>
    <mergeCell ref="A13:A14"/>
    <mergeCell ref="B13:B14"/>
    <mergeCell ref="C13:C14"/>
    <mergeCell ref="D13:D14"/>
    <mergeCell ref="E13:F14"/>
    <mergeCell ref="G13:G14"/>
    <mergeCell ref="A15:A16"/>
    <mergeCell ref="B15:B16"/>
    <mergeCell ref="C15:C16"/>
    <mergeCell ref="D15:D16"/>
    <mergeCell ref="E15:F16"/>
    <mergeCell ref="E9:F10"/>
    <mergeCell ref="G9:G10"/>
    <mergeCell ref="A11:A12"/>
    <mergeCell ref="B11:B12"/>
    <mergeCell ref="C11:C12"/>
    <mergeCell ref="D11:D12"/>
    <mergeCell ref="E11:F12"/>
    <mergeCell ref="G11:G12"/>
    <mergeCell ref="A1:D1"/>
    <mergeCell ref="A4:B5"/>
    <mergeCell ref="C4:D5"/>
    <mergeCell ref="A9:A10"/>
    <mergeCell ref="B9:B10"/>
    <mergeCell ref="C9:C10"/>
    <mergeCell ref="D9:D10"/>
  </mergeCells>
  <conditionalFormatting sqref="A9:D9 A13 A11:D11 D13 D15 D17 D21 D23 D25">
    <cfRule type="expression" dxfId="236" priority="24">
      <formula>ISNUMBER(SEARCH(TEXT(#REF!,"ddd"),#REF!))</formula>
    </cfRule>
  </conditionalFormatting>
  <conditionalFormatting sqref="B13:C13">
    <cfRule type="expression" dxfId="235" priority="21">
      <formula>ISNUMBER(SEARCH(TEXT(#REF!,"ddd"),#REF!))</formula>
    </cfRule>
  </conditionalFormatting>
  <conditionalFormatting sqref="B17:C17 B23:C23 B21:C21 B25:C25">
    <cfRule type="expression" dxfId="234" priority="18">
      <formula>ISNUMBER(SEARCH(TEXT(#REF!,"ddd"),#REF!))</formula>
    </cfRule>
  </conditionalFormatting>
  <conditionalFormatting sqref="A21:C21">
    <cfRule type="expression" dxfId="233" priority="14">
      <formula>ISNUMBER(SEARCH(TEXT(#REF!,"ddd"),#REF!))</formula>
    </cfRule>
  </conditionalFormatting>
  <conditionalFormatting sqref="A21:C21">
    <cfRule type="expression" dxfId="232" priority="13">
      <formula>ISNUMBER(SEARCH(TEXT(#REF!,"ddd"),#REF!))</formula>
    </cfRule>
  </conditionalFormatting>
  <conditionalFormatting sqref="A15">
    <cfRule type="expression" dxfId="231" priority="6">
      <formula>ISNUMBER(SEARCH(TEXT(#REF!,"ddd"),#REF!))</formula>
    </cfRule>
  </conditionalFormatting>
  <conditionalFormatting sqref="B15:C15">
    <cfRule type="expression" dxfId="230" priority="4">
      <formula>ISNUMBER(SEARCH(TEXT(#REF!,"ddd"),#REF!))</formula>
    </cfRule>
  </conditionalFormatting>
  <conditionalFormatting sqref="A17 A23 A21 A25">
    <cfRule type="expression" dxfId="229" priority="3">
      <formula>ISNUMBER(SEARCH(TEXT(#REF!,"ddd"),#REF!))</formula>
    </cfRule>
  </conditionalFormatting>
  <conditionalFormatting sqref="A19:D19">
    <cfRule type="expression" dxfId="228" priority="2">
      <formula>ISNUMBER(SEARCH(TEXT(#REF!,"ddd"),#REF!))</formula>
    </cfRule>
  </conditionalFormatting>
  <conditionalFormatting sqref="A27:C27">
    <cfRule type="expression" dxfId="227"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0F5A6-0560-427F-9F8D-7878FFE0474F}">
  <sheetPr codeName="Sheet14"/>
  <dimension ref="A1:M62"/>
  <sheetViews>
    <sheetView showGridLines="0" topLeftCell="A43" zoomScale="117" zoomScaleNormal="117" workbookViewId="0">
      <selection activeCell="I55" sqref="I55"/>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WEEKNUM(A9)</f>
        <v>11</v>
      </c>
      <c r="F1" s="77"/>
      <c r="G1" s="78"/>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MIN(A9:A40)</f>
        <v>43899</v>
      </c>
      <c r="B3" s="84"/>
      <c r="C3" s="83">
        <f>MAXA(A9:A40)</f>
        <v>43905</v>
      </c>
      <c r="D3" s="84"/>
      <c r="E3" s="85" t="s">
        <v>5</v>
      </c>
      <c r="F3" s="159">
        <f>Sumcolor(E3,D9:D40)</f>
        <v>0.11458333333333337</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87" t="s">
        <v>7</v>
      </c>
      <c r="F4" s="159">
        <f>Sumcolor(E4,D9:D40)</f>
        <v>5.555555555555558E-2</v>
      </c>
      <c r="G4" s="159">
        <f ca="1">SUM(INDIRECT(CONCATENATE("Uke",TEXT(VALUE(MID(CELL("filnavn",A1),FIND("]",CELL("filnavn",A1))+4,2))-1,0),"!G4")),F4)</f>
        <v>0.64166666666666694</v>
      </c>
      <c r="H4" s="161"/>
      <c r="I4" s="161"/>
      <c r="J4" s="161"/>
      <c r="K4" s="161"/>
      <c r="L4" s="161"/>
      <c r="M4" s="161"/>
    </row>
    <row r="5" spans="1:13" x14ac:dyDescent="0.2">
      <c r="A5" s="366"/>
      <c r="B5" s="366"/>
      <c r="C5" s="366"/>
      <c r="D5" s="366"/>
      <c r="E5" s="158" t="s">
        <v>8</v>
      </c>
      <c r="F5" s="159">
        <f>Sumcolor(E5,D9:D40)</f>
        <v>7.291666666666663E-2</v>
      </c>
      <c r="G5" s="159">
        <f ca="1">SUM(INDIRECT(CONCATENATE("Uke",TEXT(VALUE(MID(CELL("filnavn",A1),FIND("]",CELL("filnavn",A1))+4,2))-1,0),"!G5")),F5)</f>
        <v>0.99305555555555569</v>
      </c>
      <c r="H5" s="161"/>
      <c r="I5" s="157"/>
      <c r="J5" s="161"/>
      <c r="K5" s="161"/>
      <c r="L5" s="161"/>
      <c r="M5" s="161"/>
    </row>
    <row r="6" spans="1:13" ht="13.5" thickBot="1" x14ac:dyDescent="0.25">
      <c r="A6" s="89">
        <f>SUM(D9:D40)</f>
        <v>0.43055555555555536</v>
      </c>
      <c r="B6" s="90"/>
      <c r="C6" s="91" t="e">
        <f ca="1">SUM(G3:G6)</f>
        <v>#VALUE!</v>
      </c>
      <c r="D6" s="92"/>
      <c r="E6" s="93" t="s">
        <v>9</v>
      </c>
      <c r="F6" s="160">
        <f>Sumcolor(E6,D9:D40)</f>
        <v>0.18749999999999978</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80" t="s">
        <v>10</v>
      </c>
      <c r="B8" s="80" t="s">
        <v>11</v>
      </c>
      <c r="C8" s="80" t="s">
        <v>12</v>
      </c>
      <c r="D8" s="80" t="s">
        <v>13</v>
      </c>
      <c r="E8" s="80" t="s">
        <v>14</v>
      </c>
      <c r="G8" s="100" t="s">
        <v>15</v>
      </c>
      <c r="H8" s="161"/>
      <c r="I8" s="161"/>
      <c r="J8" s="161"/>
      <c r="K8" s="161"/>
      <c r="L8" s="161"/>
      <c r="M8" s="161"/>
    </row>
    <row r="9" spans="1:13" x14ac:dyDescent="0.2">
      <c r="A9" s="499">
        <v>43899</v>
      </c>
      <c r="B9" s="465">
        <v>0.58333333333333337</v>
      </c>
      <c r="C9" s="465">
        <v>0.59722222222222221</v>
      </c>
      <c r="D9" s="466">
        <f>(C9-B9)</f>
        <v>1.388888888888884E-2</v>
      </c>
      <c r="E9" s="460" t="s">
        <v>100</v>
      </c>
      <c r="F9" s="461"/>
      <c r="G9" s="501"/>
      <c r="H9" s="161"/>
      <c r="I9" s="161"/>
      <c r="J9" s="161"/>
      <c r="K9" s="161"/>
      <c r="L9" s="161"/>
      <c r="M9" s="161"/>
    </row>
    <row r="10" spans="1:13" x14ac:dyDescent="0.2">
      <c r="A10" s="500"/>
      <c r="B10" s="441"/>
      <c r="C10" s="441"/>
      <c r="D10" s="477"/>
      <c r="E10" s="462"/>
      <c r="F10" s="463"/>
      <c r="G10" s="502"/>
      <c r="H10" s="161"/>
      <c r="I10" s="161"/>
      <c r="J10" s="161"/>
      <c r="K10" s="161"/>
      <c r="L10" s="161"/>
      <c r="M10" s="161"/>
    </row>
    <row r="11" spans="1:13" x14ac:dyDescent="0.2">
      <c r="A11" s="425">
        <v>43900</v>
      </c>
      <c r="B11" s="375">
        <v>0.66666666666666663</v>
      </c>
      <c r="C11" s="375">
        <v>0.70833333333333337</v>
      </c>
      <c r="D11" s="542">
        <f>(C11-B11)</f>
        <v>4.1666666666666741E-2</v>
      </c>
      <c r="E11" s="385" t="s">
        <v>136</v>
      </c>
      <c r="F11" s="386"/>
      <c r="G11" s="502"/>
      <c r="H11" s="161"/>
      <c r="I11" s="161"/>
      <c r="J11" s="161"/>
      <c r="K11" s="161"/>
      <c r="L11" s="161"/>
      <c r="M11" s="161"/>
    </row>
    <row r="12" spans="1:13" x14ac:dyDescent="0.2">
      <c r="A12" s="541"/>
      <c r="B12" s="376"/>
      <c r="C12" s="376"/>
      <c r="D12" s="543"/>
      <c r="E12" s="492"/>
      <c r="F12" s="493"/>
      <c r="G12" s="502"/>
      <c r="H12" s="161"/>
      <c r="I12" s="161"/>
      <c r="J12" s="161"/>
      <c r="K12" s="161"/>
      <c r="L12" s="161"/>
      <c r="M12" s="161"/>
    </row>
    <row r="13" spans="1:13" ht="12.75" customHeight="1" x14ac:dyDescent="0.2">
      <c r="A13" s="500">
        <v>43901</v>
      </c>
      <c r="B13" s="440">
        <v>0.53472222222222221</v>
      </c>
      <c r="C13" s="440">
        <v>0.5625</v>
      </c>
      <c r="D13" s="476">
        <f>(C13-B13)</f>
        <v>2.777777777777779E-2</v>
      </c>
      <c r="E13" s="507" t="s">
        <v>100</v>
      </c>
      <c r="F13" s="508"/>
      <c r="G13" s="502"/>
      <c r="H13" s="161"/>
      <c r="I13" s="161"/>
      <c r="J13" s="161"/>
      <c r="K13" s="161"/>
      <c r="L13" s="161"/>
      <c r="M13" s="161"/>
    </row>
    <row r="14" spans="1:13" x14ac:dyDescent="0.2">
      <c r="A14" s="500"/>
      <c r="B14" s="441"/>
      <c r="C14" s="441"/>
      <c r="D14" s="476"/>
      <c r="E14" s="462"/>
      <c r="F14" s="463"/>
      <c r="G14" s="502"/>
      <c r="H14" s="161"/>
      <c r="I14" s="161"/>
      <c r="J14" s="161"/>
      <c r="K14" s="161"/>
      <c r="L14" s="161"/>
      <c r="M14" s="161"/>
    </row>
    <row r="15" spans="1:13" x14ac:dyDescent="0.2">
      <c r="A15" s="534">
        <v>43902</v>
      </c>
      <c r="B15" s="430">
        <v>0.76736111111111116</v>
      </c>
      <c r="C15" s="430">
        <v>0.88194444444444453</v>
      </c>
      <c r="D15" s="535">
        <f>(C15-B15)</f>
        <v>0.11458333333333337</v>
      </c>
      <c r="E15" s="537" t="s">
        <v>138</v>
      </c>
      <c r="F15" s="538"/>
      <c r="G15" s="502"/>
      <c r="H15" s="161"/>
      <c r="I15" s="161"/>
      <c r="J15" s="161"/>
      <c r="K15" s="161"/>
      <c r="L15" s="161"/>
      <c r="M15" s="161"/>
    </row>
    <row r="16" spans="1:13" x14ac:dyDescent="0.2">
      <c r="A16" s="534"/>
      <c r="B16" s="431"/>
      <c r="C16" s="431"/>
      <c r="D16" s="536"/>
      <c r="E16" s="539"/>
      <c r="F16" s="540"/>
      <c r="G16" s="502"/>
      <c r="H16" s="161"/>
      <c r="I16" s="161"/>
      <c r="J16" s="161"/>
      <c r="K16" s="161"/>
      <c r="L16" s="161"/>
      <c r="M16" s="161"/>
    </row>
    <row r="17" spans="1:13" x14ac:dyDescent="0.2">
      <c r="A17" s="500">
        <v>43903</v>
      </c>
      <c r="B17" s="510">
        <v>0.51736111111111105</v>
      </c>
      <c r="C17" s="510">
        <v>0.53472222222222221</v>
      </c>
      <c r="D17" s="509">
        <f>(C17-B17)</f>
        <v>1.736111111111116E-2</v>
      </c>
      <c r="E17" s="507" t="s">
        <v>100</v>
      </c>
      <c r="F17" s="508"/>
      <c r="G17" s="502"/>
      <c r="H17" s="161"/>
      <c r="I17" s="161"/>
      <c r="J17" s="161"/>
      <c r="K17" s="161"/>
      <c r="L17" s="161"/>
      <c r="M17" s="161"/>
    </row>
    <row r="18" spans="1:13" x14ac:dyDescent="0.2">
      <c r="A18" s="500"/>
      <c r="B18" s="475"/>
      <c r="C18" s="475"/>
      <c r="D18" s="477"/>
      <c r="E18" s="462"/>
      <c r="F18" s="463"/>
      <c r="G18" s="502"/>
      <c r="H18" s="161"/>
      <c r="I18" s="161"/>
      <c r="J18" s="161"/>
      <c r="K18" s="161"/>
      <c r="L18" s="161"/>
      <c r="M18" s="161"/>
    </row>
    <row r="19" spans="1:13" ht="12.75" customHeight="1" x14ac:dyDescent="0.2">
      <c r="A19" s="528">
        <v>43905</v>
      </c>
      <c r="B19" s="510">
        <v>0.58333333333333337</v>
      </c>
      <c r="C19" s="510">
        <v>0.59722222222222221</v>
      </c>
      <c r="D19" s="509">
        <f>(C19-B19)</f>
        <v>1.388888888888884E-2</v>
      </c>
      <c r="E19" s="507" t="s">
        <v>100</v>
      </c>
      <c r="F19" s="508"/>
      <c r="G19" s="502"/>
      <c r="H19" s="161"/>
      <c r="I19" s="161"/>
      <c r="J19" s="161"/>
      <c r="K19" s="161"/>
      <c r="L19" s="161"/>
      <c r="M19" s="161"/>
    </row>
    <row r="20" spans="1:13" x14ac:dyDescent="0.2">
      <c r="A20" s="473"/>
      <c r="B20" s="475"/>
      <c r="C20" s="475"/>
      <c r="D20" s="477"/>
      <c r="E20" s="462"/>
      <c r="F20" s="463"/>
      <c r="G20" s="502"/>
      <c r="H20" s="161"/>
      <c r="I20" s="161"/>
      <c r="J20" s="161"/>
      <c r="K20" s="161"/>
      <c r="L20" s="161"/>
      <c r="M20" s="161"/>
    </row>
    <row r="21" spans="1:13" x14ac:dyDescent="0.2">
      <c r="A21" s="514">
        <v>43905</v>
      </c>
      <c r="B21" s="513">
        <v>0.60069444444444442</v>
      </c>
      <c r="C21" s="513">
        <v>0.61458333333333337</v>
      </c>
      <c r="D21" s="504">
        <f>(C21-B21)</f>
        <v>1.3888888888888951E-2</v>
      </c>
      <c r="E21" s="530" t="s">
        <v>135</v>
      </c>
      <c r="F21" s="531"/>
      <c r="G21" s="502"/>
      <c r="H21" s="161"/>
      <c r="I21" s="161"/>
      <c r="J21" s="161"/>
      <c r="K21" s="161"/>
      <c r="L21" s="161"/>
      <c r="M21" s="161"/>
    </row>
    <row r="22" spans="1:13" x14ac:dyDescent="0.2">
      <c r="A22" s="467"/>
      <c r="B22" s="468"/>
      <c r="C22" s="468"/>
      <c r="D22" s="529"/>
      <c r="E22" s="532"/>
      <c r="F22" s="533"/>
      <c r="G22" s="502"/>
      <c r="H22" s="161"/>
      <c r="I22" s="161"/>
      <c r="J22" s="161"/>
      <c r="K22" s="161"/>
      <c r="L22" s="161"/>
      <c r="M22" s="161"/>
    </row>
    <row r="23" spans="1:13" ht="12.75" customHeight="1" x14ac:dyDescent="0.2">
      <c r="A23" s="487">
        <v>43905</v>
      </c>
      <c r="B23" s="488">
        <v>0.64583333333333337</v>
      </c>
      <c r="C23" s="488">
        <v>0.74305555555555547</v>
      </c>
      <c r="D23" s="526">
        <f>(C23-B23)</f>
        <v>9.7222222222222099E-2</v>
      </c>
      <c r="E23" s="522" t="s">
        <v>137</v>
      </c>
      <c r="F23" s="523"/>
      <c r="G23" s="502"/>
      <c r="H23" s="161"/>
      <c r="I23" s="161"/>
      <c r="J23" s="161"/>
      <c r="K23" s="161"/>
      <c r="L23" s="161"/>
      <c r="M23" s="161"/>
    </row>
    <row r="24" spans="1:13" ht="15.75" customHeight="1" x14ac:dyDescent="0.2">
      <c r="A24" s="425"/>
      <c r="B24" s="426"/>
      <c r="C24" s="426"/>
      <c r="D24" s="527"/>
      <c r="E24" s="524"/>
      <c r="F24" s="525"/>
      <c r="G24" s="502"/>
      <c r="H24" s="161"/>
      <c r="I24" s="161"/>
      <c r="J24" s="161"/>
      <c r="K24" s="161"/>
      <c r="L24" s="161"/>
      <c r="M24" s="161"/>
    </row>
    <row r="25" spans="1:13" ht="12.75" customHeight="1" x14ac:dyDescent="0.2">
      <c r="A25" s="514">
        <v>43905</v>
      </c>
      <c r="B25" s="513">
        <v>0.75</v>
      </c>
      <c r="C25" s="513">
        <v>0.79166666666666663</v>
      </c>
      <c r="D25" s="516">
        <f>(C25-B25)</f>
        <v>4.166666666666663E-2</v>
      </c>
      <c r="E25" s="518" t="s">
        <v>139</v>
      </c>
      <c r="F25" s="519"/>
      <c r="G25" s="515" t="s">
        <v>158</v>
      </c>
      <c r="H25" s="161"/>
      <c r="I25" s="161"/>
      <c r="J25" s="161"/>
      <c r="K25" s="161"/>
      <c r="L25" s="161"/>
      <c r="M25" s="161"/>
    </row>
    <row r="26" spans="1:13" ht="15.75" customHeight="1" x14ac:dyDescent="0.2">
      <c r="A26" s="467"/>
      <c r="B26" s="468"/>
      <c r="C26" s="468"/>
      <c r="D26" s="517"/>
      <c r="E26" s="520"/>
      <c r="F26" s="521"/>
      <c r="G26" s="502"/>
      <c r="H26" s="161"/>
      <c r="I26" s="161"/>
      <c r="J26" s="161"/>
      <c r="K26" s="161"/>
      <c r="L26" s="161"/>
      <c r="M26" s="161"/>
    </row>
    <row r="27" spans="1:13" ht="12.75" customHeight="1" x14ac:dyDescent="0.2">
      <c r="A27" s="408">
        <v>43905</v>
      </c>
      <c r="B27" s="407">
        <v>0.94444444444444453</v>
      </c>
      <c r="C27" s="407">
        <v>0.99305555555555547</v>
      </c>
      <c r="D27" s="406">
        <f>(C27-B27)</f>
        <v>4.8611111111110938E-2</v>
      </c>
      <c r="E27" s="492" t="s">
        <v>126</v>
      </c>
      <c r="F27" s="493"/>
      <c r="G27" s="502"/>
      <c r="H27" s="161"/>
      <c r="I27" s="161"/>
      <c r="J27" s="161"/>
      <c r="K27" s="161"/>
      <c r="L27" s="161"/>
      <c r="M27" s="161"/>
    </row>
    <row r="28" spans="1:13" ht="13.5" thickBot="1" x14ac:dyDescent="0.25">
      <c r="A28" s="415"/>
      <c r="B28" s="416"/>
      <c r="C28" s="416"/>
      <c r="D28" s="417"/>
      <c r="E28" s="418"/>
      <c r="F28" s="419"/>
      <c r="G28" s="512"/>
      <c r="H28" s="161"/>
      <c r="I28" s="161"/>
      <c r="J28" s="161"/>
      <c r="K28" s="161"/>
      <c r="L28" s="161"/>
      <c r="M28" s="161"/>
    </row>
    <row r="29" spans="1:13" x14ac:dyDescent="0.2">
      <c r="H29" s="161"/>
      <c r="I29" s="161"/>
      <c r="J29" s="161"/>
      <c r="K29" s="161"/>
      <c r="L29" s="161"/>
      <c r="M29" s="161"/>
    </row>
    <row r="30" spans="1:13" ht="19.5" thickBot="1" x14ac:dyDescent="0.25">
      <c r="A30" s="101" t="s">
        <v>16</v>
      </c>
      <c r="B30" s="102"/>
      <c r="C30" s="103"/>
      <c r="D30" s="104"/>
      <c r="E30" s="104"/>
      <c r="F30" s="104"/>
      <c r="G30" s="104"/>
      <c r="H30" s="161"/>
      <c r="I30" s="161"/>
      <c r="J30" s="161"/>
      <c r="K30" s="161"/>
      <c r="L30" s="161"/>
      <c r="M30" s="161"/>
    </row>
    <row r="31" spans="1:13" ht="12.75" customHeight="1" x14ac:dyDescent="0.2">
      <c r="H31" s="161"/>
      <c r="I31" s="161"/>
      <c r="J31" s="161"/>
      <c r="K31" s="161"/>
      <c r="L31" s="161"/>
      <c r="M31" s="161"/>
    </row>
    <row r="32" spans="1:13" ht="12.75" customHeight="1" x14ac:dyDescent="0.2">
      <c r="H32" s="161"/>
      <c r="I32" s="161"/>
      <c r="J32" s="161"/>
      <c r="K32" s="161"/>
      <c r="L32" s="161"/>
      <c r="M32" s="161"/>
    </row>
    <row r="33" spans="6:13" ht="12.75" customHeight="1" x14ac:dyDescent="0.2">
      <c r="F33" s="97"/>
      <c r="H33" s="161"/>
      <c r="I33" s="161"/>
      <c r="J33" s="161"/>
      <c r="K33" s="161"/>
      <c r="L33" s="161"/>
      <c r="M33" s="161"/>
    </row>
    <row r="34" spans="6:13" ht="12.75" customHeight="1" x14ac:dyDescent="0.2">
      <c r="F34" s="97"/>
      <c r="H34" s="161"/>
      <c r="I34" s="161"/>
      <c r="J34" s="161"/>
      <c r="K34" s="161"/>
      <c r="L34" s="161"/>
      <c r="M34" s="161"/>
    </row>
    <row r="35" spans="6:13" ht="12.75" customHeight="1" x14ac:dyDescent="0.2">
      <c r="F35" s="97"/>
      <c r="H35" s="161"/>
      <c r="I35" s="161"/>
      <c r="J35" s="161"/>
      <c r="K35" s="161"/>
      <c r="L35" s="161"/>
      <c r="M35" s="161"/>
    </row>
    <row r="36" spans="6:13" ht="12.75" customHeight="1" x14ac:dyDescent="0.2">
      <c r="F36" s="97"/>
      <c r="H36" s="161"/>
      <c r="I36" s="161"/>
      <c r="J36" s="161"/>
      <c r="K36" s="161"/>
      <c r="L36" s="161"/>
      <c r="M36" s="161"/>
    </row>
    <row r="37" spans="6:13" ht="12.75" customHeight="1" x14ac:dyDescent="0.2">
      <c r="F37" s="97"/>
      <c r="H37" s="161"/>
      <c r="I37" s="161"/>
      <c r="J37" s="161"/>
      <c r="K37" s="161"/>
      <c r="L37" s="161"/>
      <c r="M37" s="161"/>
    </row>
    <row r="38" spans="6:13" ht="12.75" customHeight="1" x14ac:dyDescent="0.2">
      <c r="F38" s="97"/>
      <c r="H38" s="161"/>
      <c r="I38" s="161"/>
      <c r="J38" s="161"/>
      <c r="K38" s="161"/>
      <c r="L38" s="161"/>
      <c r="M38" s="161"/>
    </row>
    <row r="39" spans="6:13" ht="12.75" customHeight="1" x14ac:dyDescent="0.2">
      <c r="F39" s="97"/>
      <c r="H39" s="161"/>
      <c r="I39" s="161"/>
      <c r="J39" s="161"/>
      <c r="K39" s="161"/>
      <c r="L39" s="161"/>
      <c r="M39" s="161"/>
    </row>
    <row r="40" spans="6:13" ht="13.5" customHeight="1" x14ac:dyDescent="0.2">
      <c r="F40" s="97"/>
      <c r="H40" s="161"/>
      <c r="I40" s="161"/>
      <c r="J40" s="161"/>
      <c r="K40" s="161"/>
      <c r="L40" s="161"/>
      <c r="M40" s="161"/>
    </row>
    <row r="41" spans="6:13" x14ac:dyDescent="0.2">
      <c r="F41" s="97"/>
      <c r="H41" s="161"/>
      <c r="I41" s="161"/>
      <c r="J41" s="161"/>
      <c r="K41" s="161"/>
      <c r="L41" s="161"/>
      <c r="M41" s="161"/>
    </row>
    <row r="42" spans="6:13" x14ac:dyDescent="0.2">
      <c r="F42" s="97"/>
      <c r="H42" s="161"/>
      <c r="I42" s="161"/>
      <c r="J42" s="161"/>
      <c r="K42" s="161"/>
      <c r="L42" s="161"/>
      <c r="M42" s="161"/>
    </row>
    <row r="43" spans="6:13" x14ac:dyDescent="0.2">
      <c r="F43" s="97"/>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49" spans="2:13" x14ac:dyDescent="0.2">
      <c r="H49" s="161"/>
      <c r="I49" s="161"/>
      <c r="J49" s="161"/>
      <c r="K49" s="161"/>
      <c r="L49" s="161"/>
      <c r="M49" s="161"/>
    </row>
    <row r="50" spans="2:13" x14ac:dyDescent="0.2">
      <c r="H50" s="161"/>
      <c r="I50" s="161"/>
      <c r="J50" s="161"/>
      <c r="K50" s="161"/>
      <c r="L50" s="161"/>
      <c r="M50" s="161"/>
    </row>
    <row r="51" spans="2:13" x14ac:dyDescent="0.2">
      <c r="H51" s="161"/>
      <c r="I51" s="161"/>
      <c r="J51" s="161"/>
      <c r="K51" s="161"/>
      <c r="L51" s="161"/>
      <c r="M51" s="161"/>
    </row>
    <row r="52" spans="2:13" x14ac:dyDescent="0.2">
      <c r="H52" s="161"/>
      <c r="I52" s="161"/>
      <c r="J52" s="161"/>
      <c r="K52" s="161"/>
      <c r="L52" s="161"/>
      <c r="M52" s="161"/>
    </row>
    <row r="53" spans="2:13" x14ac:dyDescent="0.2">
      <c r="H53" s="161"/>
      <c r="I53" s="161"/>
      <c r="J53" s="161"/>
      <c r="K53" s="161"/>
      <c r="L53" s="161"/>
      <c r="M53" s="161"/>
    </row>
    <row r="54" spans="2:13" x14ac:dyDescent="0.2">
      <c r="H54" s="161"/>
      <c r="I54" s="161"/>
      <c r="J54" s="161"/>
      <c r="K54" s="161"/>
      <c r="L54" s="161"/>
      <c r="M54" s="161"/>
    </row>
    <row r="62" spans="2:13" x14ac:dyDescent="0.2">
      <c r="B62" s="105"/>
      <c r="C62" s="106"/>
      <c r="D62" s="107"/>
      <c r="E62" s="108"/>
      <c r="F62" s="161"/>
      <c r="G62" s="161"/>
    </row>
  </sheetData>
  <mergeCells count="63">
    <mergeCell ref="A1:D1"/>
    <mergeCell ref="A4:B5"/>
    <mergeCell ref="C4:D5"/>
    <mergeCell ref="A9:A10"/>
    <mergeCell ref="B9:B10"/>
    <mergeCell ref="C9:C10"/>
    <mergeCell ref="D9:D10"/>
    <mergeCell ref="G13:G14"/>
    <mergeCell ref="E9:F10"/>
    <mergeCell ref="G9:G10"/>
    <mergeCell ref="A11:A12"/>
    <mergeCell ref="B11:B12"/>
    <mergeCell ref="C11:C12"/>
    <mergeCell ref="D11:D12"/>
    <mergeCell ref="E11:F12"/>
    <mergeCell ref="G11:G12"/>
    <mergeCell ref="A13:A14"/>
    <mergeCell ref="B13:B14"/>
    <mergeCell ref="C13:C14"/>
    <mergeCell ref="D13:D14"/>
    <mergeCell ref="E13:F14"/>
    <mergeCell ref="G17:G18"/>
    <mergeCell ref="A15:A16"/>
    <mergeCell ref="B15:B16"/>
    <mergeCell ref="C15:C16"/>
    <mergeCell ref="D15:D16"/>
    <mergeCell ref="E15:F16"/>
    <mergeCell ref="G15:G16"/>
    <mergeCell ref="A17:A18"/>
    <mergeCell ref="B17:B18"/>
    <mergeCell ref="C17:C18"/>
    <mergeCell ref="D17:D18"/>
    <mergeCell ref="E17:F18"/>
    <mergeCell ref="G21:G22"/>
    <mergeCell ref="A19:A20"/>
    <mergeCell ref="B19:B20"/>
    <mergeCell ref="C19:C20"/>
    <mergeCell ref="D19:D20"/>
    <mergeCell ref="E19:F20"/>
    <mergeCell ref="G19:G20"/>
    <mergeCell ref="A21:A22"/>
    <mergeCell ref="B21:B22"/>
    <mergeCell ref="C21:C22"/>
    <mergeCell ref="D21:D22"/>
    <mergeCell ref="E21:F22"/>
    <mergeCell ref="A23:A24"/>
    <mergeCell ref="B23:B24"/>
    <mergeCell ref="C23:C24"/>
    <mergeCell ref="E23:F24"/>
    <mergeCell ref="G23:G24"/>
    <mergeCell ref="D23:D24"/>
    <mergeCell ref="G25:G26"/>
    <mergeCell ref="A27:A28"/>
    <mergeCell ref="B27:B28"/>
    <mergeCell ref="C27:C28"/>
    <mergeCell ref="D27:D28"/>
    <mergeCell ref="E27:F28"/>
    <mergeCell ref="G27:G28"/>
    <mergeCell ref="A25:A26"/>
    <mergeCell ref="B25:B26"/>
    <mergeCell ref="C25:C26"/>
    <mergeCell ref="D25:D26"/>
    <mergeCell ref="E25:F26"/>
  </mergeCells>
  <conditionalFormatting sqref="A9:D9 A13 B11:C11 D13 D17 A15 D15">
    <cfRule type="expression" dxfId="226" priority="20">
      <formula>ISNUMBER(SEARCH(TEXT(#REF!,"ddd"),#REF!))</formula>
    </cfRule>
  </conditionalFormatting>
  <conditionalFormatting sqref="B13:C13">
    <cfRule type="expression" dxfId="225" priority="19">
      <formula>ISNUMBER(SEARCH(TEXT(#REF!,"ddd"),#REF!))</formula>
    </cfRule>
  </conditionalFormatting>
  <conditionalFormatting sqref="B17:C17 B21:C21 B19:C19 B23:C23">
    <cfRule type="expression" dxfId="224" priority="18">
      <formula>ISNUMBER(SEARCH(TEXT(#REF!,"ddd"),#REF!))</formula>
    </cfRule>
  </conditionalFormatting>
  <conditionalFormatting sqref="B19:C19">
    <cfRule type="expression" dxfId="223" priority="17">
      <formula>ISNUMBER(SEARCH(TEXT(#REF!,"ddd"),#REF!))</formula>
    </cfRule>
  </conditionalFormatting>
  <conditionalFormatting sqref="B19:C19">
    <cfRule type="expression" dxfId="222" priority="16">
      <formula>ISNUMBER(SEARCH(TEXT(#REF!,"ddd"),#REF!))</formula>
    </cfRule>
  </conditionalFormatting>
  <conditionalFormatting sqref="B15:C15">
    <cfRule type="expression" dxfId="221" priority="14">
      <formula>ISNUMBER(SEARCH(TEXT(#REF!,"ddd"),#REF!))</formula>
    </cfRule>
  </conditionalFormatting>
  <conditionalFormatting sqref="A17">
    <cfRule type="expression" dxfId="220" priority="13">
      <formula>ISNUMBER(SEARCH(TEXT(#REF!,"ddd"),#REF!))</formula>
    </cfRule>
  </conditionalFormatting>
  <conditionalFormatting sqref="A27:C27">
    <cfRule type="expression" dxfId="219" priority="11">
      <formula>ISNUMBER(SEARCH(TEXT(#REF!,"ddd"),#REF!))</formula>
    </cfRule>
  </conditionalFormatting>
  <conditionalFormatting sqref="A19">
    <cfRule type="expression" dxfId="218" priority="10">
      <formula>ISNUMBER(SEARCH(TEXT(#REF!,"ddd"),#REF!))</formula>
    </cfRule>
  </conditionalFormatting>
  <conditionalFormatting sqref="A21 A23">
    <cfRule type="expression" dxfId="217" priority="9">
      <formula>ISNUMBER(SEARCH(TEXT(#REF!,"ddd"),#REF!))</formula>
    </cfRule>
  </conditionalFormatting>
  <conditionalFormatting sqref="D19">
    <cfRule type="expression" dxfId="216" priority="7">
      <formula>ISNUMBER(SEARCH(TEXT(#REF!,"ddd"),#REF!))</formula>
    </cfRule>
  </conditionalFormatting>
  <conditionalFormatting sqref="D21">
    <cfRule type="expression" dxfId="215" priority="6">
      <formula>ISNUMBER(SEARCH(TEXT(#REF!,"ddd"),#REF!))</formula>
    </cfRule>
  </conditionalFormatting>
  <conditionalFormatting sqref="A11">
    <cfRule type="expression" dxfId="214" priority="5">
      <formula>ISNUMBER(SEARCH(TEXT(#REF!,"ddd"),#REF!))</formula>
    </cfRule>
  </conditionalFormatting>
  <conditionalFormatting sqref="D11">
    <cfRule type="expression" dxfId="213" priority="4">
      <formula>ISNUMBER(SEARCH(TEXT(#REF!,"ddd"),#REF!))</formula>
    </cfRule>
  </conditionalFormatting>
  <conditionalFormatting sqref="B25:C25">
    <cfRule type="expression" dxfId="212" priority="2">
      <formula>ISNUMBER(SEARCH(TEXT(#REF!,"ddd"),#REF!))</formula>
    </cfRule>
  </conditionalFormatting>
  <conditionalFormatting sqref="A25">
    <cfRule type="expression" dxfId="211"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75F40-E8B3-4A34-8159-10634F8E788E}">
  <sheetPr codeName="Sheet15"/>
  <dimension ref="A1:M54"/>
  <sheetViews>
    <sheetView showGridLines="0" zoomScale="117" zoomScaleNormal="117" workbookViewId="0">
      <selection activeCell="C13" sqref="C13"/>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364" t="s">
        <v>49</v>
      </c>
      <c r="B1" s="364"/>
      <c r="C1" s="364"/>
      <c r="D1" s="364"/>
      <c r="E1" s="76">
        <f>WEEKNUM(A9)</f>
        <v>12</v>
      </c>
      <c r="F1" s="77"/>
      <c r="G1" s="78"/>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MIN(A9:A32)</f>
        <v>43906</v>
      </c>
      <c r="B3" s="84"/>
      <c r="C3" s="83">
        <f>MAXA(A9:A32)</f>
        <v>43912</v>
      </c>
      <c r="D3" s="84"/>
      <c r="E3" s="85" t="s">
        <v>5</v>
      </c>
      <c r="F3" s="159">
        <f>Sumcolor(E3,D9:D32)</f>
        <v>4.513888888888884E-2</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87" t="s">
        <v>7</v>
      </c>
      <c r="F4" s="159">
        <f>Sumcolor(E4,D9:D32)</f>
        <v>0.34027777777777746</v>
      </c>
      <c r="G4" s="159">
        <f ca="1">SUM(INDIRECT(CONCATENATE("Uke",TEXT(VALUE(MID(CELL("filnavn",A1),FIND("]",CELL("filnavn",A1))+4,2))-1,0),"!G4")),F4)</f>
        <v>0.9819444444444444</v>
      </c>
      <c r="H4" s="161"/>
      <c r="I4" s="161"/>
      <c r="J4" s="161"/>
      <c r="K4" s="161"/>
      <c r="L4" s="161"/>
      <c r="M4" s="161"/>
    </row>
    <row r="5" spans="1:13" x14ac:dyDescent="0.2">
      <c r="A5" s="366"/>
      <c r="B5" s="366"/>
      <c r="C5" s="366"/>
      <c r="D5" s="366"/>
      <c r="E5" s="158" t="s">
        <v>8</v>
      </c>
      <c r="F5" s="159">
        <f>Sumcolor(E5,D9:D32)</f>
        <v>6.9444444444444475E-2</v>
      </c>
      <c r="G5" s="159">
        <f ca="1">SUM(INDIRECT(CONCATENATE("Uke",TEXT(VALUE(MID(CELL("filnavn",A1),FIND("]",CELL("filnavn",A1))+4,2))-1,0),"!G5")),F5)</f>
        <v>1.0625000000000002</v>
      </c>
      <c r="H5" s="161"/>
      <c r="I5" s="157"/>
      <c r="J5" s="161"/>
      <c r="K5" s="161"/>
      <c r="L5" s="161"/>
      <c r="M5" s="161"/>
    </row>
    <row r="6" spans="1:13" ht="13.5" thickBot="1" x14ac:dyDescent="0.25">
      <c r="A6" s="89">
        <f>SUM(D9:D32)</f>
        <v>0.50347222222222165</v>
      </c>
      <c r="B6" s="90"/>
      <c r="C6" s="91" t="e">
        <f ca="1">SUM(G3:G6)</f>
        <v>#VALUE!</v>
      </c>
      <c r="D6" s="92"/>
      <c r="E6" s="93" t="s">
        <v>9</v>
      </c>
      <c r="F6" s="160">
        <f>Sumcolor(E6,D9:D32)</f>
        <v>4.8611111111110938E-2</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80" t="s">
        <v>10</v>
      </c>
      <c r="B8" s="80" t="s">
        <v>11</v>
      </c>
      <c r="C8" s="80" t="s">
        <v>12</v>
      </c>
      <c r="D8" s="80" t="s">
        <v>13</v>
      </c>
      <c r="E8" s="80" t="s">
        <v>14</v>
      </c>
      <c r="G8" s="100" t="s">
        <v>15</v>
      </c>
      <c r="H8" s="161"/>
      <c r="I8" s="161"/>
      <c r="J8" s="161"/>
      <c r="K8" s="161"/>
      <c r="L8" s="161"/>
      <c r="M8" s="161"/>
    </row>
    <row r="9" spans="1:13" x14ac:dyDescent="0.2">
      <c r="A9" s="174">
        <v>43906</v>
      </c>
      <c r="B9" s="182">
        <v>0.58333333333333337</v>
      </c>
      <c r="C9" s="182">
        <v>0.61458333333333337</v>
      </c>
      <c r="D9" s="183">
        <f>(C9-B9)</f>
        <v>3.125E-2</v>
      </c>
      <c r="E9" s="544" t="s">
        <v>140</v>
      </c>
      <c r="F9" s="545"/>
      <c r="G9" s="172"/>
      <c r="H9" s="161"/>
      <c r="I9" s="161"/>
      <c r="J9" s="161"/>
      <c r="K9" s="161"/>
      <c r="L9" s="161"/>
      <c r="M9" s="161"/>
    </row>
    <row r="10" spans="1:13" x14ac:dyDescent="0.2">
      <c r="A10" s="176">
        <v>43907</v>
      </c>
      <c r="B10" s="180">
        <v>0.64930555555555558</v>
      </c>
      <c r="C10" s="180">
        <v>0.75</v>
      </c>
      <c r="D10" s="184">
        <f>(C10-B10)</f>
        <v>0.10069444444444442</v>
      </c>
      <c r="E10" s="546" t="s">
        <v>141</v>
      </c>
      <c r="F10" s="547"/>
      <c r="G10" s="173"/>
      <c r="H10" s="161"/>
      <c r="I10" s="161"/>
      <c r="J10" s="161"/>
      <c r="K10" s="161"/>
      <c r="L10" s="161"/>
      <c r="M10" s="161"/>
    </row>
    <row r="11" spans="1:13" ht="12.75" customHeight="1" x14ac:dyDescent="0.2">
      <c r="A11" s="175">
        <v>43908</v>
      </c>
      <c r="B11" s="185">
        <v>0.48958333333333331</v>
      </c>
      <c r="C11" s="185">
        <v>0.50694444444444442</v>
      </c>
      <c r="D11" s="186">
        <f>(C11-B11)</f>
        <v>1.7361111111111105E-2</v>
      </c>
      <c r="E11" s="548" t="s">
        <v>100</v>
      </c>
      <c r="F11" s="549"/>
      <c r="G11" s="173"/>
      <c r="H11" s="161"/>
      <c r="I11" s="161"/>
      <c r="J11" s="161"/>
      <c r="K11" s="161"/>
      <c r="L11" s="161"/>
      <c r="M11" s="161"/>
    </row>
    <row r="12" spans="1:13" x14ac:dyDescent="0.2">
      <c r="A12" s="177">
        <v>43909</v>
      </c>
      <c r="B12" s="187">
        <v>0.67708333333333337</v>
      </c>
      <c r="C12" s="187">
        <v>0.72222222222222221</v>
      </c>
      <c r="D12" s="188">
        <f>(C12-B12)</f>
        <v>4.513888888888884E-2</v>
      </c>
      <c r="E12" s="550" t="s">
        <v>138</v>
      </c>
      <c r="F12" s="551"/>
      <c r="G12" s="173"/>
      <c r="H12" s="161"/>
      <c r="I12" s="161"/>
      <c r="J12" s="161"/>
      <c r="K12" s="161"/>
      <c r="L12" s="161"/>
      <c r="M12" s="161"/>
    </row>
    <row r="13" spans="1:13" x14ac:dyDescent="0.2">
      <c r="A13" s="175">
        <v>43911</v>
      </c>
      <c r="B13" s="185">
        <v>0.54166666666666663</v>
      </c>
      <c r="C13" s="185">
        <v>0.5625</v>
      </c>
      <c r="D13" s="186">
        <f t="shared" ref="D13:D18" si="0">(C13-B13)</f>
        <v>2.083333333333337E-2</v>
      </c>
      <c r="E13" s="548" t="s">
        <v>100</v>
      </c>
      <c r="F13" s="549"/>
      <c r="G13" s="173"/>
      <c r="H13" s="161"/>
      <c r="I13" s="161"/>
      <c r="J13" s="161"/>
      <c r="K13" s="161"/>
      <c r="L13" s="161"/>
      <c r="M13" s="161"/>
    </row>
    <row r="14" spans="1:13" x14ac:dyDescent="0.2">
      <c r="A14" s="176">
        <v>43911</v>
      </c>
      <c r="B14" s="180">
        <v>0.5625</v>
      </c>
      <c r="C14" s="180">
        <v>0.59375</v>
      </c>
      <c r="D14" s="184">
        <f t="shared" si="0"/>
        <v>3.125E-2</v>
      </c>
      <c r="E14" s="546" t="s">
        <v>142</v>
      </c>
      <c r="F14" s="547"/>
      <c r="G14" s="173"/>
      <c r="H14" s="161"/>
      <c r="I14" s="161"/>
      <c r="J14" s="161"/>
      <c r="K14" s="161"/>
      <c r="L14" s="161"/>
      <c r="M14" s="161"/>
    </row>
    <row r="15" spans="1:13" x14ac:dyDescent="0.2">
      <c r="A15" s="176">
        <v>43911</v>
      </c>
      <c r="B15" s="180">
        <v>0.1875</v>
      </c>
      <c r="C15" s="180">
        <v>0.25</v>
      </c>
      <c r="D15" s="184">
        <f t="shared" si="0"/>
        <v>6.25E-2</v>
      </c>
      <c r="E15" s="546" t="s">
        <v>146</v>
      </c>
      <c r="F15" s="547"/>
      <c r="G15" s="173"/>
      <c r="H15" s="161"/>
      <c r="I15" s="161"/>
      <c r="J15" s="161"/>
      <c r="K15" s="161"/>
      <c r="L15" s="161"/>
      <c r="M15" s="161"/>
    </row>
    <row r="16" spans="1:13" ht="12.75" customHeight="1" x14ac:dyDescent="0.2">
      <c r="A16" s="176">
        <v>43912</v>
      </c>
      <c r="B16" s="180">
        <v>0.71180555555555547</v>
      </c>
      <c r="C16" s="180">
        <v>0.80555555555555547</v>
      </c>
      <c r="D16" s="184">
        <f t="shared" si="0"/>
        <v>9.375E-2</v>
      </c>
      <c r="E16" s="546" t="s">
        <v>145</v>
      </c>
      <c r="F16" s="547"/>
      <c r="G16" s="178" t="s">
        <v>143</v>
      </c>
      <c r="H16" s="161"/>
      <c r="I16" s="161"/>
      <c r="J16" s="161"/>
      <c r="K16" s="161"/>
      <c r="L16" s="161"/>
      <c r="M16" s="161"/>
    </row>
    <row r="17" spans="1:13" ht="12.75" customHeight="1" x14ac:dyDescent="0.2">
      <c r="A17" s="176">
        <v>43912</v>
      </c>
      <c r="B17" s="180">
        <v>0.8125</v>
      </c>
      <c r="C17" s="180">
        <v>0.84375</v>
      </c>
      <c r="D17" s="181">
        <f t="shared" si="0"/>
        <v>3.125E-2</v>
      </c>
      <c r="E17" s="546" t="s">
        <v>147</v>
      </c>
      <c r="F17" s="547"/>
      <c r="G17" s="179" t="s">
        <v>144</v>
      </c>
      <c r="H17" s="161"/>
      <c r="I17" s="161"/>
      <c r="J17" s="161"/>
      <c r="K17" s="161"/>
      <c r="L17" s="161"/>
      <c r="M17" s="161"/>
    </row>
    <row r="18" spans="1:13" x14ac:dyDescent="0.2">
      <c r="A18" s="176">
        <v>43912</v>
      </c>
      <c r="B18" s="180">
        <v>0.85416666666666696</v>
      </c>
      <c r="C18" s="180">
        <v>0.875</v>
      </c>
      <c r="D18" s="181">
        <f t="shared" si="0"/>
        <v>2.0833333333333037E-2</v>
      </c>
      <c r="E18" s="546" t="s">
        <v>148</v>
      </c>
      <c r="F18" s="547"/>
      <c r="G18" s="178" t="s">
        <v>149</v>
      </c>
      <c r="H18" s="161"/>
      <c r="I18" s="161"/>
      <c r="J18" s="161"/>
      <c r="K18" s="161"/>
      <c r="L18" s="161"/>
      <c r="M18" s="161"/>
    </row>
    <row r="19" spans="1:13" x14ac:dyDescent="0.2">
      <c r="A19" s="408">
        <v>43912</v>
      </c>
      <c r="B19" s="407">
        <v>0.94444444444444453</v>
      </c>
      <c r="C19" s="407">
        <v>0.99305555555555547</v>
      </c>
      <c r="D19" s="406">
        <f>(C19-B19)</f>
        <v>4.8611111111110938E-2</v>
      </c>
      <c r="E19" s="492" t="s">
        <v>126</v>
      </c>
      <c r="F19" s="493"/>
      <c r="G19" s="372"/>
      <c r="H19" s="161"/>
      <c r="I19" s="161"/>
      <c r="J19" s="161"/>
      <c r="K19" s="161"/>
      <c r="L19" s="161"/>
      <c r="M19" s="161"/>
    </row>
    <row r="20" spans="1:13" ht="13.5" thickBot="1" x14ac:dyDescent="0.25">
      <c r="A20" s="415"/>
      <c r="B20" s="416"/>
      <c r="C20" s="416"/>
      <c r="D20" s="417"/>
      <c r="E20" s="418"/>
      <c r="F20" s="419"/>
      <c r="G20" s="552"/>
      <c r="H20" s="161"/>
      <c r="I20" s="161"/>
      <c r="J20" s="161"/>
      <c r="K20" s="161"/>
      <c r="L20" s="161"/>
      <c r="M20" s="161"/>
    </row>
    <row r="21" spans="1:13" x14ac:dyDescent="0.2">
      <c r="H21" s="161"/>
      <c r="I21" s="161"/>
      <c r="J21" s="161"/>
      <c r="K21" s="161"/>
      <c r="L21" s="161"/>
      <c r="M21" s="161"/>
    </row>
    <row r="22" spans="1:13" ht="19.5" thickBot="1" x14ac:dyDescent="0.25">
      <c r="A22" s="101" t="s">
        <v>16</v>
      </c>
      <c r="B22" s="102"/>
      <c r="C22" s="103"/>
      <c r="D22" s="104"/>
      <c r="E22" s="104"/>
      <c r="F22" s="104"/>
      <c r="G22" s="104"/>
      <c r="H22" s="161"/>
      <c r="I22" s="161"/>
      <c r="J22" s="161"/>
      <c r="K22" s="161"/>
      <c r="L22" s="161"/>
      <c r="M22" s="161"/>
    </row>
    <row r="23" spans="1:13" ht="12.75" customHeight="1" x14ac:dyDescent="0.2">
      <c r="H23" s="161"/>
      <c r="I23" s="161"/>
      <c r="J23" s="161"/>
      <c r="K23" s="161"/>
      <c r="L23" s="161"/>
      <c r="M23" s="161"/>
    </row>
    <row r="24" spans="1:13" ht="12.75" customHeight="1" x14ac:dyDescent="0.2">
      <c r="H24" s="161"/>
      <c r="I24" s="161"/>
      <c r="J24" s="161"/>
      <c r="K24" s="161"/>
      <c r="L24" s="161"/>
      <c r="M24" s="161"/>
    </row>
    <row r="25" spans="1:13" ht="12.75" customHeight="1" x14ac:dyDescent="0.2">
      <c r="F25" s="97"/>
      <c r="H25" s="161"/>
      <c r="I25" s="161"/>
      <c r="J25" s="161"/>
      <c r="K25" s="161"/>
      <c r="L25" s="161"/>
      <c r="M25" s="161"/>
    </row>
    <row r="26" spans="1:13" ht="12.75" customHeight="1" x14ac:dyDescent="0.2">
      <c r="F26" s="97"/>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2.75" customHeight="1" x14ac:dyDescent="0.2">
      <c r="F29" s="97"/>
      <c r="H29" s="161"/>
      <c r="I29" s="161"/>
      <c r="J29" s="161"/>
      <c r="K29" s="161"/>
      <c r="L29" s="161"/>
      <c r="M29" s="161"/>
    </row>
    <row r="30" spans="1:13" ht="12.75" customHeight="1" x14ac:dyDescent="0.2">
      <c r="F30" s="97"/>
      <c r="H30" s="161"/>
      <c r="I30" s="161"/>
      <c r="J30" s="161"/>
      <c r="K30" s="161"/>
      <c r="L30" s="161"/>
      <c r="M30" s="161"/>
    </row>
    <row r="31" spans="1:13" ht="12.75" customHeight="1" x14ac:dyDescent="0.2">
      <c r="F31" s="97"/>
      <c r="H31" s="161"/>
      <c r="I31" s="161"/>
      <c r="J31" s="161"/>
      <c r="K31" s="161"/>
      <c r="L31" s="161"/>
      <c r="M31" s="161"/>
    </row>
    <row r="32" spans="1:13" ht="13.5" customHeight="1" x14ac:dyDescent="0.2">
      <c r="F32" s="97"/>
      <c r="H32" s="161"/>
      <c r="I32" s="161"/>
      <c r="J32" s="161"/>
      <c r="K32" s="161"/>
      <c r="L32" s="161"/>
      <c r="M32" s="161"/>
    </row>
    <row r="33" spans="6:13" x14ac:dyDescent="0.2">
      <c r="F33" s="97"/>
      <c r="H33" s="161"/>
      <c r="I33" s="161"/>
      <c r="J33" s="161"/>
      <c r="K33" s="161"/>
      <c r="L33" s="161"/>
      <c r="M33" s="161"/>
    </row>
    <row r="34" spans="6:13" x14ac:dyDescent="0.2">
      <c r="F34" s="97"/>
      <c r="H34" s="161"/>
      <c r="I34" s="161"/>
      <c r="J34" s="161"/>
      <c r="K34" s="161"/>
      <c r="L34" s="161"/>
      <c r="M34" s="161"/>
    </row>
    <row r="35" spans="6:13" x14ac:dyDescent="0.2">
      <c r="F35" s="97"/>
      <c r="H35" s="161"/>
      <c r="I35" s="161"/>
      <c r="J35" s="161"/>
      <c r="K35" s="161"/>
      <c r="L35" s="161"/>
      <c r="M35" s="161"/>
    </row>
    <row r="36" spans="6:13" x14ac:dyDescent="0.2">
      <c r="H36" s="161"/>
      <c r="I36" s="161"/>
      <c r="J36" s="161"/>
      <c r="K36" s="161"/>
      <c r="L36" s="161"/>
      <c r="M36" s="161"/>
    </row>
    <row r="37" spans="6:13" x14ac:dyDescent="0.2">
      <c r="H37" s="161"/>
      <c r="I37" s="161"/>
      <c r="J37" s="161"/>
      <c r="K37" s="161"/>
      <c r="L37" s="161"/>
      <c r="M37" s="161"/>
    </row>
    <row r="38" spans="6:13" x14ac:dyDescent="0.2">
      <c r="H38" s="161"/>
      <c r="I38" s="161"/>
      <c r="J38" s="161"/>
      <c r="K38" s="161"/>
      <c r="L38" s="161"/>
      <c r="M38" s="161"/>
    </row>
    <row r="39" spans="6:13" x14ac:dyDescent="0.2">
      <c r="H39" s="161"/>
      <c r="I39" s="161"/>
      <c r="J39" s="161"/>
      <c r="K39" s="161"/>
      <c r="L39" s="161"/>
      <c r="M39" s="161"/>
    </row>
    <row r="40" spans="6:13" x14ac:dyDescent="0.2">
      <c r="H40" s="161"/>
      <c r="I40" s="161"/>
      <c r="J40" s="161"/>
      <c r="K40" s="161"/>
      <c r="L40" s="161"/>
      <c r="M40" s="161"/>
    </row>
    <row r="41" spans="6:13" x14ac:dyDescent="0.2">
      <c r="H41" s="161"/>
      <c r="I41" s="161"/>
      <c r="J41" s="161"/>
      <c r="K41" s="161"/>
      <c r="L41" s="161"/>
      <c r="M41" s="161"/>
    </row>
    <row r="42" spans="6:13" x14ac:dyDescent="0.2">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54" spans="2:7" x14ac:dyDescent="0.2">
      <c r="B54" s="105"/>
      <c r="C54" s="106"/>
      <c r="D54" s="107"/>
      <c r="E54" s="108"/>
      <c r="F54" s="161"/>
      <c r="G54" s="161"/>
    </row>
  </sheetData>
  <mergeCells count="19">
    <mergeCell ref="E16:F16"/>
    <mergeCell ref="G19:G20"/>
    <mergeCell ref="E17:F17"/>
    <mergeCell ref="E18:F18"/>
    <mergeCell ref="A19:A20"/>
    <mergeCell ref="B19:B20"/>
    <mergeCell ref="C19:C20"/>
    <mergeCell ref="D19:D20"/>
    <mergeCell ref="E19:F20"/>
    <mergeCell ref="E11:F11"/>
    <mergeCell ref="E12:F12"/>
    <mergeCell ref="E13:F13"/>
    <mergeCell ref="E14:F14"/>
    <mergeCell ref="E15:F15"/>
    <mergeCell ref="A1:D1"/>
    <mergeCell ref="A4:B5"/>
    <mergeCell ref="C4:D5"/>
    <mergeCell ref="E9:F9"/>
    <mergeCell ref="E10:F10"/>
  </mergeCells>
  <conditionalFormatting sqref="A9:D9 B10:C10 A11:A12 D11:D13">
    <cfRule type="expression" dxfId="210" priority="16">
      <formula>ISNUMBER(SEARCH(TEXT(#REF!,"ddd"),#REF!))</formula>
    </cfRule>
  </conditionalFormatting>
  <conditionalFormatting sqref="B11:C11">
    <cfRule type="expression" dxfId="209" priority="15">
      <formula>ISNUMBER(SEARCH(TEXT(#REF!,"ddd"),#REF!))</formula>
    </cfRule>
  </conditionalFormatting>
  <conditionalFormatting sqref="B13:C14 B16:C16">
    <cfRule type="expression" dxfId="208" priority="14">
      <formula>ISNUMBER(SEARCH(TEXT(#REF!,"ddd"),#REF!))</formula>
    </cfRule>
  </conditionalFormatting>
  <conditionalFormatting sqref="B12:C12">
    <cfRule type="expression" dxfId="207" priority="11">
      <formula>ISNUMBER(SEARCH(TEXT(#REF!,"ddd"),#REF!))</formula>
    </cfRule>
  </conditionalFormatting>
  <conditionalFormatting sqref="A13">
    <cfRule type="expression" dxfId="206" priority="10">
      <formula>ISNUMBER(SEARCH(TEXT(#REF!,"ddd"),#REF!))</formula>
    </cfRule>
  </conditionalFormatting>
  <conditionalFormatting sqref="A19:C19">
    <cfRule type="expression" dxfId="205" priority="9">
      <formula>ISNUMBER(SEARCH(TEXT(#REF!,"ddd"),#REF!))</formula>
    </cfRule>
  </conditionalFormatting>
  <conditionalFormatting sqref="A14:A18">
    <cfRule type="expression" dxfId="204" priority="8">
      <formula>ISNUMBER(SEARCH(TEXT(#REF!,"ddd"),#REF!))</formula>
    </cfRule>
  </conditionalFormatting>
  <conditionalFormatting sqref="D14:D16">
    <cfRule type="expression" dxfId="203" priority="6">
      <formula>ISNUMBER(SEARCH(TEXT(#REF!,"ddd"),#REF!))</formula>
    </cfRule>
  </conditionalFormatting>
  <conditionalFormatting sqref="A10">
    <cfRule type="expression" dxfId="202" priority="4">
      <formula>ISNUMBER(SEARCH(TEXT(#REF!,"ddd"),#REF!))</formula>
    </cfRule>
  </conditionalFormatting>
  <conditionalFormatting sqref="D10">
    <cfRule type="expression" dxfId="201" priority="3">
      <formula>ISNUMBER(SEARCH(TEXT(#REF!,"ddd"),#REF!))</formula>
    </cfRule>
  </conditionalFormatting>
  <conditionalFormatting sqref="B17:C18">
    <cfRule type="expression" dxfId="200" priority="2">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16132-10C0-4D6B-A9B0-A49B3893EAA8}">
  <sheetPr codeName="Sheet17"/>
  <dimension ref="A1:M56"/>
  <sheetViews>
    <sheetView showGridLines="0" topLeftCell="A28" zoomScale="117" zoomScaleNormal="117" workbookViewId="0">
      <selection activeCell="E21" sqref="E21:F21"/>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555" t="s">
        <v>49</v>
      </c>
      <c r="B1" s="555"/>
      <c r="C1" s="555"/>
      <c r="D1" s="555"/>
      <c r="E1" s="189">
        <f>WEEKNUM(A9)</f>
        <v>13</v>
      </c>
      <c r="F1" s="190"/>
      <c r="G1" s="191"/>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MIN(A9:A34)</f>
        <v>43913</v>
      </c>
      <c r="B3" s="84"/>
      <c r="C3" s="83">
        <f>MAXA(A9:A34)</f>
        <v>43919</v>
      </c>
      <c r="D3" s="84"/>
      <c r="E3" s="192" t="s">
        <v>5</v>
      </c>
      <c r="F3" s="159">
        <f>Sumcolor(E3,D9:D34)</f>
        <v>5.5555555555555358E-2</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193" t="s">
        <v>7</v>
      </c>
      <c r="F4" s="159">
        <f>Sumcolor(E4,D9:D34)</f>
        <v>0.49652777777777779</v>
      </c>
      <c r="G4" s="159">
        <f ca="1">SUM(INDIRECT(CONCATENATE("Uke",TEXT(VALUE(MID(CELL("filnavn",A1),FIND("]",CELL("filnavn",A1))+4,2))-1,0),"!G4")),F4)</f>
        <v>1.4784722222222222</v>
      </c>
      <c r="H4" s="161"/>
      <c r="I4" s="161"/>
      <c r="J4" s="161"/>
      <c r="K4" s="161"/>
      <c r="L4" s="161"/>
      <c r="M4" s="161"/>
    </row>
    <row r="5" spans="1:13" x14ac:dyDescent="0.2">
      <c r="A5" s="366"/>
      <c r="B5" s="366"/>
      <c r="C5" s="366"/>
      <c r="D5" s="366"/>
      <c r="E5" s="194" t="s">
        <v>8</v>
      </c>
      <c r="F5" s="159">
        <f>Sumcolor(E5,D9:D34)</f>
        <v>5.2083333333333259E-2</v>
      </c>
      <c r="G5" s="159">
        <f ca="1">SUM(INDIRECT(CONCATENATE("Uke",TEXT(VALUE(MID(CELL("filnavn",A1),FIND("]",CELL("filnavn",A1))+4,2))-1,0),"!G5")),F5)</f>
        <v>1.1145833333333335</v>
      </c>
      <c r="H5" s="161"/>
      <c r="I5" s="157"/>
      <c r="J5" s="161"/>
      <c r="K5" s="161"/>
      <c r="L5" s="161"/>
      <c r="M5" s="161"/>
    </row>
    <row r="6" spans="1:13" ht="13.5" thickBot="1" x14ac:dyDescent="0.25">
      <c r="A6" s="89">
        <f>SUM(D9:D34)</f>
        <v>0.98958333333333282</v>
      </c>
      <c r="B6" s="90"/>
      <c r="C6" s="91" t="e">
        <f ca="1">SUM(G3:G6)</f>
        <v>#VALUE!</v>
      </c>
      <c r="D6" s="92"/>
      <c r="E6" s="195" t="s">
        <v>9</v>
      </c>
      <c r="F6" s="160">
        <f>Sumcolor(E6,D9:D34)</f>
        <v>0.38541666666666641</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80" t="s">
        <v>10</v>
      </c>
      <c r="B8" s="80" t="s">
        <v>11</v>
      </c>
      <c r="C8" s="80" t="s">
        <v>12</v>
      </c>
      <c r="D8" s="80" t="s">
        <v>13</v>
      </c>
      <c r="E8" s="80" t="s">
        <v>14</v>
      </c>
      <c r="G8" s="100" t="s">
        <v>15</v>
      </c>
      <c r="H8" s="161"/>
      <c r="I8" s="161"/>
      <c r="J8" s="161"/>
      <c r="K8" s="161"/>
      <c r="L8" s="161"/>
      <c r="M8" s="161"/>
    </row>
    <row r="9" spans="1:13" x14ac:dyDescent="0.2">
      <c r="A9" s="196">
        <v>43913</v>
      </c>
      <c r="B9" s="197">
        <v>0.58333333333333337</v>
      </c>
      <c r="C9" s="197">
        <v>0.60416666666666663</v>
      </c>
      <c r="D9" s="198">
        <f t="shared" ref="D9:D22" si="0">(C9-B9)</f>
        <v>2.0833333333333259E-2</v>
      </c>
      <c r="E9" s="556" t="s">
        <v>100</v>
      </c>
      <c r="F9" s="557"/>
      <c r="G9" s="199"/>
      <c r="H9" s="161"/>
      <c r="I9" s="161"/>
      <c r="J9" s="161"/>
      <c r="K9" s="161"/>
      <c r="L9" s="161"/>
      <c r="M9" s="161"/>
    </row>
    <row r="10" spans="1:13" x14ac:dyDescent="0.2">
      <c r="A10" s="200">
        <v>43913</v>
      </c>
      <c r="B10" s="201">
        <v>0.72916666666666663</v>
      </c>
      <c r="C10" s="202">
        <v>0.875</v>
      </c>
      <c r="D10" s="203">
        <f t="shared" si="0"/>
        <v>0.14583333333333337</v>
      </c>
      <c r="E10" s="558" t="s">
        <v>151</v>
      </c>
      <c r="F10" s="559"/>
      <c r="G10" s="204"/>
      <c r="H10" s="161"/>
      <c r="I10" s="161"/>
      <c r="J10" s="161"/>
      <c r="K10" s="161"/>
      <c r="L10" s="161"/>
      <c r="M10" s="161"/>
    </row>
    <row r="11" spans="1:13" ht="12.75" customHeight="1" x14ac:dyDescent="0.2">
      <c r="A11" s="205">
        <v>43915</v>
      </c>
      <c r="B11" s="206">
        <v>0.5</v>
      </c>
      <c r="C11" s="207">
        <v>0.51041666666666663</v>
      </c>
      <c r="D11" s="208">
        <f t="shared" si="0"/>
        <v>1.041666666666663E-2</v>
      </c>
      <c r="E11" s="560" t="s">
        <v>100</v>
      </c>
      <c r="F11" s="561"/>
      <c r="G11" s="204"/>
      <c r="H11" s="161"/>
      <c r="I11" s="161"/>
      <c r="J11" s="161"/>
      <c r="K11" s="161"/>
      <c r="L11" s="161"/>
      <c r="M11" s="161"/>
    </row>
    <row r="12" spans="1:13" x14ac:dyDescent="0.2">
      <c r="A12" s="209">
        <v>43916</v>
      </c>
      <c r="B12" s="210">
        <v>0.69444444444444453</v>
      </c>
      <c r="C12" s="211">
        <v>0.72222222222222221</v>
      </c>
      <c r="D12" s="212">
        <f t="shared" si="0"/>
        <v>2.7777777777777679E-2</v>
      </c>
      <c r="E12" s="562" t="s">
        <v>154</v>
      </c>
      <c r="F12" s="563"/>
      <c r="G12" s="204"/>
      <c r="H12" s="161"/>
      <c r="I12" s="161"/>
      <c r="J12" s="161"/>
      <c r="K12" s="161"/>
      <c r="L12" s="161"/>
      <c r="M12" s="161"/>
    </row>
    <row r="13" spans="1:13" x14ac:dyDescent="0.2">
      <c r="A13" s="213">
        <v>43916</v>
      </c>
      <c r="B13" s="214">
        <v>0.72222222222222221</v>
      </c>
      <c r="C13" s="214">
        <v>0.86458333333333337</v>
      </c>
      <c r="D13" s="215">
        <f t="shared" si="0"/>
        <v>0.14236111111111116</v>
      </c>
      <c r="E13" s="553" t="s">
        <v>145</v>
      </c>
      <c r="F13" s="554"/>
      <c r="G13" s="178" t="s">
        <v>143</v>
      </c>
      <c r="H13" s="161"/>
      <c r="I13" s="161"/>
      <c r="J13" s="161"/>
      <c r="K13" s="161"/>
      <c r="L13" s="161"/>
      <c r="M13" s="161"/>
    </row>
    <row r="14" spans="1:13" x14ac:dyDescent="0.2">
      <c r="A14" s="205">
        <v>43917</v>
      </c>
      <c r="B14" s="206">
        <v>0.5</v>
      </c>
      <c r="C14" s="206">
        <v>0.52083333333333337</v>
      </c>
      <c r="D14" s="208">
        <f t="shared" si="0"/>
        <v>2.083333333333337E-2</v>
      </c>
      <c r="E14" s="560" t="s">
        <v>100</v>
      </c>
      <c r="F14" s="561"/>
      <c r="G14" s="204"/>
      <c r="H14" s="161"/>
      <c r="I14" s="161"/>
      <c r="J14" s="161"/>
      <c r="K14" s="161"/>
      <c r="L14" s="161"/>
      <c r="M14" s="161"/>
    </row>
    <row r="15" spans="1:13" x14ac:dyDescent="0.2">
      <c r="A15" s="216">
        <v>43917</v>
      </c>
      <c r="B15" s="201">
        <v>0.52083333333333337</v>
      </c>
      <c r="C15" s="201">
        <v>0.5625</v>
      </c>
      <c r="D15" s="217">
        <f t="shared" si="0"/>
        <v>4.166666666666663E-2</v>
      </c>
      <c r="E15" s="558" t="s">
        <v>152</v>
      </c>
      <c r="F15" s="559"/>
      <c r="G15" s="204"/>
      <c r="H15" s="161"/>
      <c r="I15" s="161"/>
      <c r="J15" s="161"/>
      <c r="K15" s="161"/>
      <c r="L15" s="161"/>
      <c r="M15" s="161"/>
    </row>
    <row r="16" spans="1:13" x14ac:dyDescent="0.2">
      <c r="A16" s="218">
        <v>43917</v>
      </c>
      <c r="B16" s="211">
        <v>0.69444444444444453</v>
      </c>
      <c r="C16" s="211">
        <v>0.72222222222222221</v>
      </c>
      <c r="D16" s="219">
        <f t="shared" si="0"/>
        <v>2.7777777777777679E-2</v>
      </c>
      <c r="E16" s="564" t="s">
        <v>154</v>
      </c>
      <c r="F16" s="565"/>
      <c r="G16" s="220"/>
      <c r="H16" s="161"/>
      <c r="I16" s="161"/>
      <c r="J16" s="161"/>
      <c r="K16" s="161"/>
      <c r="L16" s="161"/>
      <c r="M16" s="161"/>
    </row>
    <row r="17" spans="1:13" ht="12.75" customHeight="1" x14ac:dyDescent="0.2">
      <c r="A17" s="213">
        <v>43918</v>
      </c>
      <c r="B17" s="214">
        <v>2.0833333333333332E-2</v>
      </c>
      <c r="C17" s="214">
        <v>0.17708333333333334</v>
      </c>
      <c r="D17" s="221">
        <f t="shared" si="0"/>
        <v>0.15625</v>
      </c>
      <c r="E17" s="553" t="s">
        <v>147</v>
      </c>
      <c r="F17" s="554"/>
      <c r="G17" s="179" t="s">
        <v>144</v>
      </c>
      <c r="H17" s="161"/>
      <c r="I17" s="161"/>
      <c r="J17" s="161"/>
      <c r="K17" s="161"/>
      <c r="L17" s="161"/>
      <c r="M17" s="161"/>
    </row>
    <row r="18" spans="1:13" ht="12.75" customHeight="1" x14ac:dyDescent="0.2">
      <c r="A18" s="213">
        <v>43918</v>
      </c>
      <c r="B18" s="214">
        <v>0.26041666666666669</v>
      </c>
      <c r="C18" s="214">
        <v>0.35416666666666669</v>
      </c>
      <c r="D18" s="221">
        <f t="shared" si="0"/>
        <v>9.375E-2</v>
      </c>
      <c r="E18" s="553" t="s">
        <v>148</v>
      </c>
      <c r="F18" s="554"/>
      <c r="G18" s="178" t="s">
        <v>149</v>
      </c>
      <c r="H18" s="161"/>
      <c r="I18" s="161"/>
      <c r="J18" s="161"/>
      <c r="K18" s="161"/>
      <c r="L18" s="161"/>
      <c r="M18" s="161"/>
    </row>
    <row r="19" spans="1:13" x14ac:dyDescent="0.2">
      <c r="A19" s="213">
        <v>43918</v>
      </c>
      <c r="B19" s="214">
        <v>0.35416666666666669</v>
      </c>
      <c r="C19" s="214">
        <v>0.45833333333333331</v>
      </c>
      <c r="D19" s="221">
        <f t="shared" si="0"/>
        <v>0.10416666666666663</v>
      </c>
      <c r="E19" s="553" t="s">
        <v>155</v>
      </c>
      <c r="F19" s="554"/>
      <c r="G19" s="178" t="s">
        <v>156</v>
      </c>
      <c r="H19" s="161"/>
      <c r="I19" s="161"/>
      <c r="J19" s="161"/>
      <c r="K19" s="161"/>
      <c r="L19" s="161"/>
      <c r="M19" s="161"/>
    </row>
    <row r="20" spans="1:13" x14ac:dyDescent="0.2">
      <c r="A20" s="200">
        <v>43918</v>
      </c>
      <c r="B20" s="201">
        <v>0.79166666666666663</v>
      </c>
      <c r="C20" s="202">
        <v>0.83680555555555547</v>
      </c>
      <c r="D20" s="203">
        <f t="shared" si="0"/>
        <v>4.513888888888884E-2</v>
      </c>
      <c r="E20" s="558" t="s">
        <v>153</v>
      </c>
      <c r="F20" s="559"/>
      <c r="G20" s="178"/>
      <c r="H20" s="161"/>
      <c r="I20" s="161"/>
      <c r="J20" s="161"/>
      <c r="K20" s="161"/>
      <c r="L20" s="161"/>
      <c r="M20" s="161"/>
    </row>
    <row r="21" spans="1:13" x14ac:dyDescent="0.2">
      <c r="A21" s="200">
        <v>43919</v>
      </c>
      <c r="B21" s="201">
        <v>0.77083333333333337</v>
      </c>
      <c r="C21" s="201">
        <v>0.875</v>
      </c>
      <c r="D21" s="203">
        <f t="shared" si="0"/>
        <v>0.10416666666666663</v>
      </c>
      <c r="E21" s="558" t="s">
        <v>150</v>
      </c>
      <c r="F21" s="559"/>
      <c r="G21" s="178"/>
      <c r="H21" s="161"/>
      <c r="I21" s="161"/>
      <c r="J21" s="161"/>
      <c r="K21" s="161"/>
      <c r="L21" s="161"/>
      <c r="M21" s="161"/>
    </row>
    <row r="22" spans="1:13" ht="13.5" thickBot="1" x14ac:dyDescent="0.25">
      <c r="A22" s="222">
        <v>43919</v>
      </c>
      <c r="B22" s="223">
        <v>0.94444444444444453</v>
      </c>
      <c r="C22" s="223">
        <v>0.99305555555555547</v>
      </c>
      <c r="D22" s="224">
        <f t="shared" si="0"/>
        <v>4.8611111111110938E-2</v>
      </c>
      <c r="E22" s="566" t="s">
        <v>126</v>
      </c>
      <c r="F22" s="567"/>
      <c r="G22" s="225"/>
      <c r="H22" s="161"/>
      <c r="I22" s="161"/>
      <c r="J22" s="161"/>
      <c r="K22" s="161"/>
      <c r="L22" s="161"/>
      <c r="M22" s="161"/>
    </row>
    <row r="23" spans="1:13" x14ac:dyDescent="0.2">
      <c r="H23" s="161"/>
      <c r="I23" s="161"/>
      <c r="J23" s="161"/>
      <c r="K23" s="161"/>
      <c r="L23" s="161"/>
      <c r="M23" s="161"/>
    </row>
    <row r="24" spans="1:13" ht="19.5" thickBot="1" x14ac:dyDescent="0.25">
      <c r="A24" s="101" t="s">
        <v>16</v>
      </c>
      <c r="B24" s="102"/>
      <c r="C24" s="103"/>
      <c r="D24" s="104"/>
      <c r="E24" s="104"/>
      <c r="F24" s="104"/>
      <c r="G24" s="104"/>
      <c r="H24" s="161"/>
      <c r="I24" s="161"/>
      <c r="J24" s="161"/>
      <c r="K24" s="161"/>
      <c r="L24" s="161"/>
      <c r="M24" s="161"/>
    </row>
    <row r="25" spans="1:13" ht="12.75" customHeight="1" x14ac:dyDescent="0.2">
      <c r="H25" s="161"/>
      <c r="I25" s="161"/>
      <c r="J25" s="161"/>
      <c r="K25" s="161"/>
      <c r="L25" s="161"/>
      <c r="M25" s="161"/>
    </row>
    <row r="26" spans="1:13" ht="12.75" customHeight="1" x14ac:dyDescent="0.2">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2.75" customHeight="1" x14ac:dyDescent="0.2">
      <c r="F29" s="97"/>
      <c r="H29" s="161"/>
      <c r="I29" s="161"/>
      <c r="J29" s="161"/>
      <c r="K29" s="161"/>
      <c r="L29" s="161"/>
      <c r="M29" s="161"/>
    </row>
    <row r="30" spans="1:13" ht="12.75" customHeight="1" x14ac:dyDescent="0.2">
      <c r="F30" s="97"/>
      <c r="H30" s="161"/>
      <c r="I30" s="161"/>
      <c r="J30" s="161"/>
      <c r="K30" s="161"/>
      <c r="L30" s="161"/>
      <c r="M30" s="161"/>
    </row>
    <row r="31" spans="1:13" ht="12.75" customHeight="1" x14ac:dyDescent="0.2">
      <c r="F31" s="97"/>
      <c r="H31" s="161"/>
      <c r="I31" s="161"/>
      <c r="J31" s="161"/>
      <c r="K31" s="161"/>
      <c r="L31" s="161"/>
      <c r="M31" s="161"/>
    </row>
    <row r="32" spans="1:13" ht="12.75" customHeight="1" x14ac:dyDescent="0.2">
      <c r="F32" s="97"/>
      <c r="H32" s="161"/>
      <c r="I32" s="161"/>
      <c r="J32" s="161"/>
      <c r="K32" s="161"/>
      <c r="L32" s="161"/>
      <c r="M32" s="161"/>
    </row>
    <row r="33" spans="6:13" ht="12.75" customHeight="1" x14ac:dyDescent="0.2">
      <c r="F33" s="97"/>
      <c r="H33" s="161"/>
      <c r="I33" s="161"/>
      <c r="J33" s="161"/>
      <c r="K33" s="161"/>
      <c r="L33" s="161"/>
      <c r="M33" s="161"/>
    </row>
    <row r="34" spans="6:13" ht="13.5" customHeight="1" x14ac:dyDescent="0.2">
      <c r="F34" s="97"/>
      <c r="H34" s="161"/>
      <c r="I34" s="161"/>
      <c r="J34" s="161"/>
      <c r="K34" s="161"/>
      <c r="L34" s="161"/>
      <c r="M34" s="161"/>
    </row>
    <row r="35" spans="6:13" x14ac:dyDescent="0.2">
      <c r="F35" s="97"/>
      <c r="H35" s="161"/>
      <c r="I35" s="161"/>
      <c r="J35" s="161"/>
      <c r="K35" s="161"/>
      <c r="L35" s="161"/>
      <c r="M35" s="161"/>
    </row>
    <row r="36" spans="6:13" x14ac:dyDescent="0.2">
      <c r="F36" s="97"/>
      <c r="H36" s="161"/>
      <c r="I36" s="161"/>
      <c r="J36" s="161"/>
      <c r="K36" s="161"/>
      <c r="L36" s="161"/>
      <c r="M36" s="161"/>
    </row>
    <row r="37" spans="6:13" x14ac:dyDescent="0.2">
      <c r="F37" s="97"/>
      <c r="H37" s="161"/>
      <c r="I37" s="161"/>
      <c r="J37" s="161"/>
      <c r="K37" s="161"/>
      <c r="L37" s="161"/>
      <c r="M37" s="161"/>
    </row>
    <row r="38" spans="6:13" x14ac:dyDescent="0.2">
      <c r="H38" s="161"/>
      <c r="I38" s="161"/>
      <c r="J38" s="161"/>
      <c r="K38" s="161"/>
      <c r="L38" s="161"/>
      <c r="M38" s="161"/>
    </row>
    <row r="39" spans="6:13" x14ac:dyDescent="0.2">
      <c r="H39" s="161"/>
      <c r="I39" s="161"/>
      <c r="J39" s="161"/>
      <c r="K39" s="161"/>
      <c r="L39" s="161"/>
      <c r="M39" s="161"/>
    </row>
    <row r="40" spans="6:13" x14ac:dyDescent="0.2">
      <c r="H40" s="161"/>
      <c r="I40" s="161"/>
      <c r="J40" s="161"/>
      <c r="K40" s="161"/>
      <c r="L40" s="161"/>
      <c r="M40" s="161"/>
    </row>
    <row r="41" spans="6:13" x14ac:dyDescent="0.2">
      <c r="H41" s="161"/>
      <c r="I41" s="161"/>
      <c r="J41" s="161"/>
      <c r="K41" s="161"/>
      <c r="L41" s="161"/>
      <c r="M41" s="161"/>
    </row>
    <row r="42" spans="6:13" x14ac:dyDescent="0.2">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56" spans="2:7" x14ac:dyDescent="0.2">
      <c r="B56" s="105"/>
      <c r="C56" s="106"/>
      <c r="D56" s="107"/>
      <c r="E56" s="108"/>
      <c r="F56" s="161"/>
      <c r="G56" s="161"/>
    </row>
  </sheetData>
  <mergeCells count="17">
    <mergeCell ref="E18:F18"/>
    <mergeCell ref="E19:F19"/>
    <mergeCell ref="E20:F20"/>
    <mergeCell ref="E21:F21"/>
    <mergeCell ref="E22:F22"/>
    <mergeCell ref="E17:F17"/>
    <mergeCell ref="A1:D1"/>
    <mergeCell ref="A4:B5"/>
    <mergeCell ref="C4:D5"/>
    <mergeCell ref="E9:F9"/>
    <mergeCell ref="E10:F10"/>
    <mergeCell ref="E11:F11"/>
    <mergeCell ref="E12:F12"/>
    <mergeCell ref="E13:F13"/>
    <mergeCell ref="E14:F14"/>
    <mergeCell ref="E15:F15"/>
    <mergeCell ref="E16:F16"/>
  </mergeCells>
  <conditionalFormatting sqref="A9:D9 B10:C10 A11:A13 D11:D14">
    <cfRule type="expression" dxfId="199" priority="21">
      <formula>ISNUMBER(SEARCH(TEXT(#REF!,"ddd"),#REF!))</formula>
    </cfRule>
  </conditionalFormatting>
  <conditionalFormatting sqref="B11:C11">
    <cfRule type="expression" dxfId="198" priority="20">
      <formula>ISNUMBER(SEARCH(TEXT(#REF!,"ddd"),#REF!))</formula>
    </cfRule>
  </conditionalFormatting>
  <conditionalFormatting sqref="B13:C14">
    <cfRule type="expression" dxfId="197" priority="19">
      <formula>ISNUMBER(SEARCH(TEXT(#REF!,"ddd"),#REF!))</formula>
    </cfRule>
  </conditionalFormatting>
  <conditionalFormatting sqref="B12:C13">
    <cfRule type="expression" dxfId="196" priority="18">
      <formula>ISNUMBER(SEARCH(TEXT(#REF!,"ddd"),#REF!))</formula>
    </cfRule>
  </conditionalFormatting>
  <conditionalFormatting sqref="A14">
    <cfRule type="expression" dxfId="195" priority="17">
      <formula>ISNUMBER(SEARCH(TEXT(#REF!,"ddd"),#REF!))</formula>
    </cfRule>
  </conditionalFormatting>
  <conditionalFormatting sqref="A22:C22">
    <cfRule type="expression" dxfId="194" priority="16">
      <formula>ISNUMBER(SEARCH(TEXT(#REF!,"ddd"),#REF!))</formula>
    </cfRule>
  </conditionalFormatting>
  <conditionalFormatting sqref="D13 A13 A17:C18">
    <cfRule type="expression" dxfId="193" priority="15">
      <formula>ISNUMBER(SEARCH(TEXT(#REF!,"ddd"),#REF!))</formula>
    </cfRule>
  </conditionalFormatting>
  <conditionalFormatting sqref="A10">
    <cfRule type="expression" dxfId="192" priority="14">
      <formula>ISNUMBER(SEARCH(TEXT(#REF!,"ddd"),#REF!))</formula>
    </cfRule>
  </conditionalFormatting>
  <conditionalFormatting sqref="D10">
    <cfRule type="expression" dxfId="191" priority="13">
      <formula>ISNUMBER(SEARCH(TEXT(#REF!,"ddd"),#REF!))</formula>
    </cfRule>
  </conditionalFormatting>
  <conditionalFormatting sqref="B21:C21">
    <cfRule type="expression" dxfId="190" priority="12">
      <formula>ISNUMBER(SEARCH(TEXT(#REF!,"ddd"),#REF!))</formula>
    </cfRule>
  </conditionalFormatting>
  <conditionalFormatting sqref="A21">
    <cfRule type="expression" dxfId="189" priority="11">
      <formula>ISNUMBER(SEARCH(TEXT(#REF!,"ddd"),#REF!))</formula>
    </cfRule>
  </conditionalFormatting>
  <conditionalFormatting sqref="D21">
    <cfRule type="expression" dxfId="188" priority="10">
      <formula>ISNUMBER(SEARCH(TEXT(#REF!,"ddd"),#REF!))</formula>
    </cfRule>
  </conditionalFormatting>
  <conditionalFormatting sqref="B15:C15">
    <cfRule type="expression" dxfId="187" priority="9">
      <formula>ISNUMBER(SEARCH(TEXT(#REF!,"ddd"),#REF!))</formula>
    </cfRule>
  </conditionalFormatting>
  <conditionalFormatting sqref="A15">
    <cfRule type="expression" dxfId="186" priority="8">
      <formula>ISNUMBER(SEARCH(TEXT(#REF!,"ddd"),#REF!))</formula>
    </cfRule>
  </conditionalFormatting>
  <conditionalFormatting sqref="D15">
    <cfRule type="expression" dxfId="185" priority="7">
      <formula>ISNUMBER(SEARCH(TEXT(#REF!,"ddd"),#REF!))</formula>
    </cfRule>
  </conditionalFormatting>
  <conditionalFormatting sqref="B20:C20">
    <cfRule type="expression" dxfId="184" priority="6">
      <formula>ISNUMBER(SEARCH(TEXT(#REF!,"ddd"),#REF!))</formula>
    </cfRule>
  </conditionalFormatting>
  <conditionalFormatting sqref="A20">
    <cfRule type="expression" dxfId="183" priority="5">
      <formula>ISNUMBER(SEARCH(TEXT(#REF!,"ddd"),#REF!))</formula>
    </cfRule>
  </conditionalFormatting>
  <conditionalFormatting sqref="D20">
    <cfRule type="expression" dxfId="182" priority="4">
      <formula>ISNUMBER(SEARCH(TEXT(#REF!,"ddd"),#REF!))</formula>
    </cfRule>
  </conditionalFormatting>
  <conditionalFormatting sqref="A16 D16">
    <cfRule type="expression" dxfId="181" priority="3">
      <formula>ISNUMBER(SEARCH(TEXT(#REF!,"ddd"),#REF!))</formula>
    </cfRule>
  </conditionalFormatting>
  <conditionalFormatting sqref="B16:C16">
    <cfRule type="expression" dxfId="180" priority="2">
      <formula>ISNUMBER(SEARCH(TEXT(#REF!,"ddd"),#REF!))</formula>
    </cfRule>
  </conditionalFormatting>
  <conditionalFormatting sqref="A19:C19">
    <cfRule type="expression" dxfId="179"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FD21-30A7-4EAA-8225-FD5B115D3EA9}">
  <sheetPr codeName="Sheet18"/>
  <dimension ref="A1:M51"/>
  <sheetViews>
    <sheetView showGridLines="0" zoomScale="117" zoomScaleNormal="117" workbookViewId="0">
      <selection activeCell="C13" sqref="C13"/>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555" t="s">
        <v>49</v>
      </c>
      <c r="B1" s="555"/>
      <c r="C1" s="555"/>
      <c r="D1" s="555"/>
      <c r="E1" s="189">
        <f>WEEKNUM(A9)</f>
        <v>14</v>
      </c>
      <c r="F1" s="190"/>
      <c r="G1" s="191"/>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MIN(A9:A29)</f>
        <v>43920</v>
      </c>
      <c r="B3" s="84"/>
      <c r="C3" s="83">
        <f>MAXA(A9:A29)</f>
        <v>43926</v>
      </c>
      <c r="D3" s="84"/>
      <c r="E3" s="192" t="s">
        <v>5</v>
      </c>
      <c r="F3" s="159">
        <f>Sumcolor(E3,D9:D29)</f>
        <v>1.3888888888889062E-2</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193" t="s">
        <v>7</v>
      </c>
      <c r="F4" s="159">
        <f>Sumcolor(E4,D9:D29)</f>
        <v>0.26736111111111105</v>
      </c>
      <c r="G4" s="159">
        <f ca="1">SUM(INDIRECT(CONCATENATE("Uke",TEXT(VALUE(MID(CELL("filnavn",A1),FIND("]",CELL("filnavn",A1))+4,2))-1,0),"!G4")),F4)</f>
        <v>1.7458333333333331</v>
      </c>
      <c r="H4" s="161"/>
      <c r="I4" s="161"/>
      <c r="J4" s="161"/>
      <c r="K4" s="161"/>
      <c r="L4" s="161"/>
      <c r="M4" s="161"/>
    </row>
    <row r="5" spans="1:13" x14ac:dyDescent="0.2">
      <c r="A5" s="366"/>
      <c r="B5" s="366"/>
      <c r="C5" s="366"/>
      <c r="D5" s="366"/>
      <c r="E5" s="194" t="s">
        <v>8</v>
      </c>
      <c r="F5" s="159">
        <f>Sumcolor(E5,D9:D29)</f>
        <v>4.1666666666666519E-2</v>
      </c>
      <c r="G5" s="159">
        <f ca="1">SUM(INDIRECT(CONCATENATE("Uke",TEXT(VALUE(MID(CELL("filnavn",A1),FIND("]",CELL("filnavn",A1))+4,2))-1,0),"!G5")),F5)</f>
        <v>1.15625</v>
      </c>
      <c r="H5" s="161"/>
      <c r="I5" s="157"/>
      <c r="J5" s="161"/>
      <c r="K5" s="161"/>
      <c r="L5" s="161"/>
      <c r="M5" s="161"/>
    </row>
    <row r="6" spans="1:13" ht="13.5" thickBot="1" x14ac:dyDescent="0.25">
      <c r="A6" s="89">
        <f>SUM(D9:D29)</f>
        <v>0.39583333333333326</v>
      </c>
      <c r="B6" s="90"/>
      <c r="C6" s="91" t="e">
        <f ca="1">SUM(G3:G6)</f>
        <v>#VALUE!</v>
      </c>
      <c r="D6" s="92"/>
      <c r="E6" s="195" t="s">
        <v>9</v>
      </c>
      <c r="F6" s="160">
        <f>Sumcolor(E6,D9:D29)</f>
        <v>7.291666666666663E-2</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80" t="s">
        <v>10</v>
      </c>
      <c r="B8" s="80" t="s">
        <v>11</v>
      </c>
      <c r="C8" s="80" t="s">
        <v>12</v>
      </c>
      <c r="D8" s="80" t="s">
        <v>13</v>
      </c>
      <c r="E8" s="80" t="s">
        <v>14</v>
      </c>
      <c r="G8" s="100" t="s">
        <v>15</v>
      </c>
      <c r="H8" s="161"/>
      <c r="I8" s="161"/>
      <c r="J8" s="161"/>
      <c r="K8" s="161"/>
      <c r="L8" s="161"/>
      <c r="M8" s="161"/>
    </row>
    <row r="9" spans="1:13" x14ac:dyDescent="0.2">
      <c r="A9" s="213">
        <v>43920</v>
      </c>
      <c r="B9" s="214">
        <v>0.27083333333333331</v>
      </c>
      <c r="C9" s="214">
        <v>0.29166666666666669</v>
      </c>
      <c r="D9" s="215">
        <f t="shared" ref="D9:D15" si="0">(C9-B9)</f>
        <v>2.083333333333337E-2</v>
      </c>
      <c r="E9" s="553" t="s">
        <v>141</v>
      </c>
      <c r="F9" s="554"/>
      <c r="G9" s="199"/>
      <c r="H9" s="161"/>
      <c r="I9" s="161"/>
      <c r="J9" s="161"/>
      <c r="K9" s="161"/>
      <c r="L9" s="161"/>
      <c r="M9" s="161"/>
    </row>
    <row r="10" spans="1:13" x14ac:dyDescent="0.2">
      <c r="A10" s="216">
        <v>43921</v>
      </c>
      <c r="B10" s="201">
        <v>0.75</v>
      </c>
      <c r="C10" s="201">
        <v>0.78125</v>
      </c>
      <c r="D10" s="217">
        <f t="shared" si="0"/>
        <v>3.125E-2</v>
      </c>
      <c r="E10" s="558" t="s">
        <v>160</v>
      </c>
      <c r="F10" s="559"/>
      <c r="G10" s="204"/>
      <c r="H10" s="161"/>
      <c r="I10" s="161"/>
      <c r="J10" s="161"/>
      <c r="K10" s="161"/>
      <c r="L10" s="161"/>
      <c r="M10" s="161"/>
    </row>
    <row r="11" spans="1:13" ht="12.75" customHeight="1" x14ac:dyDescent="0.2">
      <c r="A11" s="213">
        <v>43921</v>
      </c>
      <c r="B11" s="214">
        <v>0.78472222222222221</v>
      </c>
      <c r="C11" s="214">
        <v>0.85416666666666663</v>
      </c>
      <c r="D11" s="215">
        <f t="shared" si="0"/>
        <v>6.944444444444442E-2</v>
      </c>
      <c r="E11" s="553" t="s">
        <v>141</v>
      </c>
      <c r="F11" s="554"/>
      <c r="G11" s="204"/>
      <c r="H11" s="161"/>
      <c r="I11" s="161"/>
      <c r="J11" s="161"/>
      <c r="K11" s="161"/>
      <c r="L11" s="161"/>
      <c r="M11" s="161"/>
    </row>
    <row r="12" spans="1:13" ht="12.75" customHeight="1" x14ac:dyDescent="0.2">
      <c r="A12" s="213">
        <v>43923</v>
      </c>
      <c r="B12" s="214">
        <v>0.17361111111111113</v>
      </c>
      <c r="C12" s="214">
        <v>0.30555555555555552</v>
      </c>
      <c r="D12" s="215">
        <f t="shared" si="0"/>
        <v>0.13194444444444439</v>
      </c>
      <c r="E12" s="553" t="s">
        <v>141</v>
      </c>
      <c r="F12" s="554"/>
      <c r="G12" s="204"/>
      <c r="H12" s="161"/>
      <c r="I12" s="161"/>
      <c r="J12" s="161"/>
      <c r="K12" s="161"/>
      <c r="L12" s="161"/>
      <c r="M12" s="161"/>
    </row>
    <row r="13" spans="1:13" x14ac:dyDescent="0.2">
      <c r="A13" s="205">
        <v>43923</v>
      </c>
      <c r="B13" s="206">
        <v>0.58333333333333337</v>
      </c>
      <c r="C13" s="206">
        <v>0.60416666666666663</v>
      </c>
      <c r="D13" s="208">
        <f t="shared" si="0"/>
        <v>2.0833333333333259E-2</v>
      </c>
      <c r="E13" s="560" t="s">
        <v>159</v>
      </c>
      <c r="F13" s="561"/>
      <c r="G13" s="204"/>
      <c r="H13" s="161"/>
      <c r="I13" s="161"/>
      <c r="J13" s="161"/>
      <c r="K13" s="161"/>
      <c r="L13" s="161"/>
      <c r="M13" s="161"/>
    </row>
    <row r="14" spans="1:13" x14ac:dyDescent="0.2">
      <c r="A14" s="205">
        <v>43925</v>
      </c>
      <c r="B14" s="206">
        <v>0.58333333333333337</v>
      </c>
      <c r="C14" s="206">
        <v>0.60416666666666663</v>
      </c>
      <c r="D14" s="208">
        <f t="shared" si="0"/>
        <v>2.0833333333333259E-2</v>
      </c>
      <c r="E14" s="560" t="s">
        <v>159</v>
      </c>
      <c r="F14" s="561"/>
      <c r="G14" s="220"/>
      <c r="H14" s="161"/>
      <c r="I14" s="161"/>
      <c r="J14" s="161"/>
      <c r="K14" s="161"/>
      <c r="L14" s="161"/>
      <c r="M14" s="161"/>
    </row>
    <row r="15" spans="1:13" x14ac:dyDescent="0.2">
      <c r="A15" s="209">
        <v>43926</v>
      </c>
      <c r="B15" s="210">
        <v>0.74305555555555547</v>
      </c>
      <c r="C15" s="211">
        <v>0.75694444444444453</v>
      </c>
      <c r="D15" s="212">
        <f t="shared" si="0"/>
        <v>1.3888888888889062E-2</v>
      </c>
      <c r="E15" s="562" t="s">
        <v>162</v>
      </c>
      <c r="F15" s="563"/>
      <c r="G15" s="204"/>
      <c r="H15" s="161"/>
      <c r="I15" s="161"/>
      <c r="J15" s="161"/>
      <c r="K15" s="161"/>
      <c r="L15" s="161"/>
      <c r="M15" s="161"/>
    </row>
    <row r="16" spans="1:13" x14ac:dyDescent="0.2">
      <c r="A16" s="213">
        <v>43926</v>
      </c>
      <c r="B16" s="214">
        <v>0.75694444444444453</v>
      </c>
      <c r="C16" s="214">
        <v>0.80208333333333337</v>
      </c>
      <c r="D16" s="215">
        <f t="shared" ref="D16" si="1">(C16-B16)</f>
        <v>4.513888888888884E-2</v>
      </c>
      <c r="E16" s="553" t="s">
        <v>163</v>
      </c>
      <c r="F16" s="554"/>
      <c r="G16" s="178" t="s">
        <v>161</v>
      </c>
      <c r="H16" s="161"/>
      <c r="I16" s="161"/>
      <c r="J16" s="161"/>
      <c r="K16" s="161"/>
      <c r="L16" s="161"/>
      <c r="M16" s="161"/>
    </row>
    <row r="17" spans="1:13" ht="13.5" thickBot="1" x14ac:dyDescent="0.25">
      <c r="A17" s="222">
        <v>43926</v>
      </c>
      <c r="B17" s="223">
        <v>0.92361111111111116</v>
      </c>
      <c r="C17" s="223">
        <v>0.96527777777777779</v>
      </c>
      <c r="D17" s="224">
        <f t="shared" ref="D17" si="2">(C17-B17)</f>
        <v>4.166666666666663E-2</v>
      </c>
      <c r="E17" s="566" t="s">
        <v>126</v>
      </c>
      <c r="F17" s="567"/>
      <c r="G17" s="225"/>
      <c r="H17" s="161"/>
      <c r="I17" s="161"/>
      <c r="J17" s="161"/>
      <c r="K17" s="161"/>
      <c r="L17" s="161"/>
      <c r="M17" s="161"/>
    </row>
    <row r="18" spans="1:13" x14ac:dyDescent="0.2">
      <c r="H18" s="161"/>
      <c r="I18" s="161"/>
      <c r="J18" s="161"/>
      <c r="K18" s="161"/>
      <c r="L18" s="161"/>
      <c r="M18" s="161"/>
    </row>
    <row r="19" spans="1:13" ht="19.5" thickBot="1" x14ac:dyDescent="0.25">
      <c r="A19" s="101" t="s">
        <v>16</v>
      </c>
      <c r="B19" s="102"/>
      <c r="C19" s="103"/>
      <c r="D19" s="104"/>
      <c r="E19" s="104"/>
      <c r="F19" s="104"/>
      <c r="G19" s="104"/>
      <c r="H19" s="161"/>
      <c r="I19" s="161"/>
      <c r="J19" s="161"/>
      <c r="K19" s="161"/>
      <c r="L19" s="161"/>
      <c r="M19" s="161"/>
    </row>
    <row r="20" spans="1:13" ht="12.75" customHeight="1" x14ac:dyDescent="0.2">
      <c r="H20" s="161"/>
      <c r="I20" s="161"/>
      <c r="J20" s="161"/>
      <c r="K20" s="161"/>
      <c r="L20" s="161"/>
      <c r="M20" s="161"/>
    </row>
    <row r="21" spans="1:13" ht="12.75" customHeight="1" x14ac:dyDescent="0.2">
      <c r="H21" s="161"/>
      <c r="I21" s="161"/>
      <c r="J21" s="161"/>
      <c r="K21" s="161"/>
      <c r="L21" s="161"/>
      <c r="M21" s="161"/>
    </row>
    <row r="22" spans="1:13" ht="12.75" customHeight="1" x14ac:dyDescent="0.2">
      <c r="F22" s="97"/>
      <c r="H22" s="161"/>
      <c r="I22" s="161"/>
      <c r="J22" s="161"/>
      <c r="K22" s="161"/>
      <c r="L22" s="161"/>
      <c r="M22" s="161"/>
    </row>
    <row r="23" spans="1:13" ht="12.75" customHeight="1" x14ac:dyDescent="0.2">
      <c r="F23" s="97"/>
      <c r="H23" s="161"/>
      <c r="I23" s="161"/>
      <c r="J23" s="161"/>
      <c r="K23" s="161"/>
      <c r="L23" s="161"/>
      <c r="M23" s="161"/>
    </row>
    <row r="24" spans="1:13" ht="12.75" customHeight="1" x14ac:dyDescent="0.2">
      <c r="F24" s="97"/>
      <c r="H24" s="161"/>
      <c r="I24" s="161"/>
      <c r="J24" s="161"/>
      <c r="K24" s="161"/>
      <c r="L24" s="161"/>
      <c r="M24" s="161"/>
    </row>
    <row r="25" spans="1:13" ht="12.75" customHeight="1" x14ac:dyDescent="0.2">
      <c r="F25" s="97"/>
      <c r="H25" s="161"/>
      <c r="I25" s="161"/>
      <c r="J25" s="161"/>
      <c r="K25" s="161"/>
      <c r="L25" s="161"/>
      <c r="M25" s="161"/>
    </row>
    <row r="26" spans="1:13" ht="12.75" customHeight="1" x14ac:dyDescent="0.2">
      <c r="F26" s="97"/>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3.5" customHeight="1" x14ac:dyDescent="0.2">
      <c r="F29" s="97"/>
      <c r="H29" s="161"/>
      <c r="I29" s="161"/>
      <c r="J29" s="161"/>
      <c r="K29" s="161"/>
      <c r="L29" s="161"/>
      <c r="M29" s="161"/>
    </row>
    <row r="30" spans="1:13" x14ac:dyDescent="0.2">
      <c r="F30" s="97"/>
      <c r="H30" s="161"/>
      <c r="I30" s="161"/>
      <c r="J30" s="161"/>
      <c r="K30" s="161"/>
      <c r="L30" s="161"/>
      <c r="M30" s="161"/>
    </row>
    <row r="31" spans="1:13" x14ac:dyDescent="0.2">
      <c r="F31" s="97"/>
      <c r="H31" s="161"/>
      <c r="I31" s="161"/>
      <c r="J31" s="161"/>
      <c r="K31" s="161"/>
      <c r="L31" s="161"/>
      <c r="M31" s="161"/>
    </row>
    <row r="32" spans="1:13" x14ac:dyDescent="0.2">
      <c r="F32" s="97"/>
      <c r="H32" s="161"/>
      <c r="I32" s="161"/>
      <c r="J32" s="161"/>
      <c r="K32" s="161"/>
      <c r="L32" s="161"/>
      <c r="M32" s="161"/>
    </row>
    <row r="33" spans="8:13" x14ac:dyDescent="0.2">
      <c r="H33" s="161"/>
      <c r="I33" s="161"/>
      <c r="J33" s="161"/>
      <c r="K33" s="161"/>
      <c r="L33" s="161"/>
      <c r="M33" s="161"/>
    </row>
    <row r="34" spans="8:13" x14ac:dyDescent="0.2">
      <c r="H34" s="161"/>
      <c r="I34" s="161"/>
      <c r="J34" s="161"/>
      <c r="K34" s="161"/>
      <c r="L34" s="161"/>
      <c r="M34" s="161"/>
    </row>
    <row r="35" spans="8:13" x14ac:dyDescent="0.2">
      <c r="H35" s="161"/>
      <c r="I35" s="161"/>
      <c r="J35" s="161"/>
      <c r="K35" s="161"/>
      <c r="L35" s="161"/>
      <c r="M35" s="161"/>
    </row>
    <row r="36" spans="8:13" x14ac:dyDescent="0.2">
      <c r="H36" s="161"/>
      <c r="I36" s="161"/>
      <c r="J36" s="161"/>
      <c r="K36" s="161"/>
      <c r="L36" s="161"/>
      <c r="M36" s="161"/>
    </row>
    <row r="37" spans="8:13" x14ac:dyDescent="0.2">
      <c r="H37" s="161"/>
      <c r="I37" s="161"/>
      <c r="J37" s="161"/>
      <c r="K37" s="161"/>
      <c r="L37" s="161"/>
      <c r="M37" s="161"/>
    </row>
    <row r="38" spans="8:13" x14ac:dyDescent="0.2">
      <c r="H38" s="161"/>
      <c r="I38" s="161"/>
      <c r="J38" s="161"/>
      <c r="K38" s="161"/>
      <c r="L38" s="161"/>
      <c r="M38" s="161"/>
    </row>
    <row r="39" spans="8:13" x14ac:dyDescent="0.2">
      <c r="H39" s="161"/>
      <c r="I39" s="161"/>
      <c r="J39" s="161"/>
      <c r="K39" s="161"/>
      <c r="L39" s="161"/>
      <c r="M39" s="161"/>
    </row>
    <row r="40" spans="8:13" x14ac:dyDescent="0.2">
      <c r="H40" s="161"/>
      <c r="I40" s="161"/>
      <c r="J40" s="161"/>
      <c r="K40" s="161"/>
      <c r="L40" s="161"/>
      <c r="M40" s="161"/>
    </row>
    <row r="41" spans="8:13" x14ac:dyDescent="0.2">
      <c r="H41" s="161"/>
      <c r="I41" s="161"/>
      <c r="J41" s="161"/>
      <c r="K41" s="161"/>
      <c r="L41" s="161"/>
      <c r="M41" s="161"/>
    </row>
    <row r="42" spans="8:13" x14ac:dyDescent="0.2">
      <c r="H42" s="161"/>
      <c r="I42" s="161"/>
      <c r="J42" s="161"/>
      <c r="K42" s="161"/>
      <c r="L42" s="161"/>
      <c r="M42" s="161"/>
    </row>
    <row r="43" spans="8:13" x14ac:dyDescent="0.2">
      <c r="H43" s="161"/>
      <c r="I43" s="161"/>
      <c r="J43" s="161"/>
      <c r="K43" s="161"/>
      <c r="L43" s="161"/>
      <c r="M43" s="161"/>
    </row>
    <row r="51" spans="2:7" x14ac:dyDescent="0.2">
      <c r="B51" s="105"/>
      <c r="C51" s="106"/>
      <c r="D51" s="107"/>
      <c r="E51" s="108"/>
      <c r="F51" s="161"/>
      <c r="G51" s="161"/>
    </row>
  </sheetData>
  <mergeCells count="12">
    <mergeCell ref="E17:F17"/>
    <mergeCell ref="A1:D1"/>
    <mergeCell ref="A4:B5"/>
    <mergeCell ref="C4:D5"/>
    <mergeCell ref="E9:F9"/>
    <mergeCell ref="E11:F11"/>
    <mergeCell ref="E12:F12"/>
    <mergeCell ref="E15:F15"/>
    <mergeCell ref="E16:F16"/>
    <mergeCell ref="E14:F14"/>
    <mergeCell ref="E10:F10"/>
    <mergeCell ref="E13:F13"/>
  </mergeCells>
  <conditionalFormatting sqref="A15 D14:D15">
    <cfRule type="expression" dxfId="178" priority="43">
      <formula>ISNUMBER(SEARCH(TEXT(#REF!,"ddd"),#REF!))</formula>
    </cfRule>
  </conditionalFormatting>
  <conditionalFormatting sqref="B14:C14">
    <cfRule type="expression" dxfId="177" priority="41">
      <formula>ISNUMBER(SEARCH(TEXT(#REF!,"ddd"),#REF!))</formula>
    </cfRule>
  </conditionalFormatting>
  <conditionalFormatting sqref="B15:C15">
    <cfRule type="expression" dxfId="176" priority="40">
      <formula>ISNUMBER(SEARCH(TEXT(#REF!,"ddd"),#REF!))</formula>
    </cfRule>
  </conditionalFormatting>
  <conditionalFormatting sqref="A14">
    <cfRule type="expression" dxfId="175" priority="39">
      <formula>ISNUMBER(SEARCH(TEXT(#REF!,"ddd"),#REF!))</formula>
    </cfRule>
  </conditionalFormatting>
  <conditionalFormatting sqref="A17:C17">
    <cfRule type="expression" dxfId="174" priority="38">
      <formula>ISNUMBER(SEARCH(TEXT(#REF!,"ddd"),#REF!))</formula>
    </cfRule>
  </conditionalFormatting>
  <conditionalFormatting sqref="A9 D9">
    <cfRule type="expression" dxfId="173" priority="22">
      <formula>ISNUMBER(SEARCH(TEXT(#REF!,"ddd"),#REF!))</formula>
    </cfRule>
  </conditionalFormatting>
  <conditionalFormatting sqref="B9:C9">
    <cfRule type="expression" dxfId="172" priority="21">
      <formula>ISNUMBER(SEARCH(TEXT(#REF!,"ddd"),#REF!))</formula>
    </cfRule>
  </conditionalFormatting>
  <conditionalFormatting sqref="B9:C9">
    <cfRule type="expression" dxfId="171" priority="20">
      <formula>ISNUMBER(SEARCH(TEXT(#REF!,"ddd"),#REF!))</formula>
    </cfRule>
  </conditionalFormatting>
  <conditionalFormatting sqref="D9 A9">
    <cfRule type="expression" dxfId="170" priority="19">
      <formula>ISNUMBER(SEARCH(TEXT(#REF!,"ddd"),#REF!))</formula>
    </cfRule>
  </conditionalFormatting>
  <conditionalFormatting sqref="A11 D11">
    <cfRule type="expression" dxfId="169" priority="18">
      <formula>ISNUMBER(SEARCH(TEXT(#REF!,"ddd"),#REF!))</formula>
    </cfRule>
  </conditionalFormatting>
  <conditionalFormatting sqref="B11:C11">
    <cfRule type="expression" dxfId="168" priority="17">
      <formula>ISNUMBER(SEARCH(TEXT(#REF!,"ddd"),#REF!))</formula>
    </cfRule>
  </conditionalFormatting>
  <conditionalFormatting sqref="B11:C11">
    <cfRule type="expression" dxfId="167" priority="16">
      <formula>ISNUMBER(SEARCH(TEXT(#REF!,"ddd"),#REF!))</formula>
    </cfRule>
  </conditionalFormatting>
  <conditionalFormatting sqref="D11 A11">
    <cfRule type="expression" dxfId="166" priority="15">
      <formula>ISNUMBER(SEARCH(TEXT(#REF!,"ddd"),#REF!))</formula>
    </cfRule>
  </conditionalFormatting>
  <conditionalFormatting sqref="B10:C10">
    <cfRule type="expression" dxfId="165" priority="14">
      <formula>ISNUMBER(SEARCH(TEXT(#REF!,"ddd"),#REF!))</formula>
    </cfRule>
  </conditionalFormatting>
  <conditionalFormatting sqref="A10">
    <cfRule type="expression" dxfId="164" priority="13">
      <formula>ISNUMBER(SEARCH(TEXT(#REF!,"ddd"),#REF!))</formula>
    </cfRule>
  </conditionalFormatting>
  <conditionalFormatting sqref="D10">
    <cfRule type="expression" dxfId="163" priority="12">
      <formula>ISNUMBER(SEARCH(TEXT(#REF!,"ddd"),#REF!))</formula>
    </cfRule>
  </conditionalFormatting>
  <conditionalFormatting sqref="A12 D12">
    <cfRule type="expression" dxfId="162" priority="11">
      <formula>ISNUMBER(SEARCH(TEXT(#REF!,"ddd"),#REF!))</formula>
    </cfRule>
  </conditionalFormatting>
  <conditionalFormatting sqref="B12:C12">
    <cfRule type="expression" dxfId="161" priority="10">
      <formula>ISNUMBER(SEARCH(TEXT(#REF!,"ddd"),#REF!))</formula>
    </cfRule>
  </conditionalFormatting>
  <conditionalFormatting sqref="B12:C12">
    <cfRule type="expression" dxfId="160" priority="9">
      <formula>ISNUMBER(SEARCH(TEXT(#REF!,"ddd"),#REF!))</formula>
    </cfRule>
  </conditionalFormatting>
  <conditionalFormatting sqref="D12 A12">
    <cfRule type="expression" dxfId="159" priority="8">
      <formula>ISNUMBER(SEARCH(TEXT(#REF!,"ddd"),#REF!))</formula>
    </cfRule>
  </conditionalFormatting>
  <conditionalFormatting sqref="D13">
    <cfRule type="expression" dxfId="158" priority="7">
      <formula>ISNUMBER(SEARCH(TEXT(#REF!,"ddd"),#REF!))</formula>
    </cfRule>
  </conditionalFormatting>
  <conditionalFormatting sqref="B13:C13">
    <cfRule type="expression" dxfId="157" priority="6">
      <formula>ISNUMBER(SEARCH(TEXT(#REF!,"ddd"),#REF!))</formula>
    </cfRule>
  </conditionalFormatting>
  <conditionalFormatting sqref="A13">
    <cfRule type="expression" dxfId="156" priority="5">
      <formula>ISNUMBER(SEARCH(TEXT(#REF!,"ddd"),#REF!))</formula>
    </cfRule>
  </conditionalFormatting>
  <conditionalFormatting sqref="A16 D16">
    <cfRule type="expression" dxfId="155" priority="4">
      <formula>ISNUMBER(SEARCH(TEXT(#REF!,"ddd"),#REF!))</formula>
    </cfRule>
  </conditionalFormatting>
  <conditionalFormatting sqref="B16:C16">
    <cfRule type="expression" dxfId="154" priority="3">
      <formula>ISNUMBER(SEARCH(TEXT(#REF!,"ddd"),#REF!))</formula>
    </cfRule>
  </conditionalFormatting>
  <conditionalFormatting sqref="B16:C16">
    <cfRule type="expression" dxfId="153" priority="2">
      <formula>ISNUMBER(SEARCH(TEXT(#REF!,"ddd"),#REF!))</formula>
    </cfRule>
  </conditionalFormatting>
  <conditionalFormatting sqref="D16 A16">
    <cfRule type="expression" dxfId="152"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D47E-A71B-4C2A-9588-844995BEA2FD}">
  <sheetPr codeName="Sheet20"/>
  <dimension ref="A1:M55"/>
  <sheetViews>
    <sheetView showGridLines="0" zoomScale="117" zoomScaleNormal="117" workbookViewId="0">
      <selection activeCell="E58" sqref="E58"/>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569" t="s">
        <v>49</v>
      </c>
      <c r="B1" s="569"/>
      <c r="C1" s="569"/>
      <c r="D1" s="569"/>
      <c r="E1" s="228">
        <f>WEEKNUM(A3)</f>
        <v>15</v>
      </c>
      <c r="F1" s="229"/>
      <c r="G1" s="230"/>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MIN(A9:A33)-1</f>
        <v>43927</v>
      </c>
      <c r="B3" s="84"/>
      <c r="C3" s="83">
        <f>MAXA(A13:A33)</f>
        <v>43933</v>
      </c>
      <c r="D3" s="84"/>
      <c r="E3" s="231" t="s">
        <v>5</v>
      </c>
      <c r="F3" s="159">
        <f>Sumcolor(E3,D9:D33)</f>
        <v>0.1111111111111111</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232" t="s">
        <v>7</v>
      </c>
      <c r="F4" s="159">
        <f>Sumcolor(E4,D9:D33)</f>
        <v>0.44791666666666652</v>
      </c>
      <c r="G4" s="159">
        <f ca="1">SUM(INDIRECT(CONCATENATE("Uke",TEXT(VALUE(MID(CELL("filnavn",A1),FIND("]",CELL("filnavn",A1))+4,2))-1,0),"!G4")),F4)</f>
        <v>2.1937499999999996</v>
      </c>
      <c r="H4" s="161"/>
      <c r="I4" s="161"/>
      <c r="J4" s="161"/>
      <c r="K4" s="161"/>
      <c r="L4" s="161"/>
      <c r="M4" s="161"/>
    </row>
    <row r="5" spans="1:13" x14ac:dyDescent="0.2">
      <c r="A5" s="366"/>
      <c r="B5" s="366"/>
      <c r="C5" s="366"/>
      <c r="D5" s="366"/>
      <c r="E5" s="233" t="s">
        <v>8</v>
      </c>
      <c r="F5" s="159">
        <f>Sumcolor(E5,D9:D33)</f>
        <v>4.1666666666666519E-2</v>
      </c>
      <c r="G5" s="159">
        <f ca="1">SUM(INDIRECT(CONCATENATE("Uke",TEXT(VALUE(MID(CELL("filnavn",A1),FIND("]",CELL("filnavn",A1))+4,2))-1,0),"!G5")),F5)</f>
        <v>1.1979166666666665</v>
      </c>
      <c r="H5" s="161"/>
      <c r="I5" s="157"/>
      <c r="J5" s="161"/>
      <c r="K5" s="161"/>
      <c r="L5" s="161"/>
      <c r="M5" s="161"/>
    </row>
    <row r="6" spans="1:13" ht="13.5" thickBot="1" x14ac:dyDescent="0.25">
      <c r="A6" s="89">
        <f>SUM(D9:D33)</f>
        <v>0.64236111111111083</v>
      </c>
      <c r="B6" s="90"/>
      <c r="C6" s="91" t="e">
        <f ca="1">SUM(G3:G6)</f>
        <v>#VALUE!</v>
      </c>
      <c r="D6" s="92"/>
      <c r="E6" s="234" t="s">
        <v>9</v>
      </c>
      <c r="F6" s="160">
        <f>Sumcolor(E6,D9:D33)</f>
        <v>4.166666666666663E-2</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235" t="s">
        <v>10</v>
      </c>
      <c r="B8" s="235" t="s">
        <v>11</v>
      </c>
      <c r="C8" s="235" t="s">
        <v>12</v>
      </c>
      <c r="D8" s="235" t="s">
        <v>13</v>
      </c>
      <c r="E8" s="235" t="s">
        <v>14</v>
      </c>
      <c r="F8" s="104"/>
      <c r="G8" s="236" t="s">
        <v>15</v>
      </c>
      <c r="H8" s="161"/>
      <c r="I8" s="161"/>
      <c r="J8" s="161"/>
      <c r="K8" s="161"/>
      <c r="L8" s="161"/>
      <c r="M8" s="161"/>
    </row>
    <row r="9" spans="1:13" x14ac:dyDescent="0.2">
      <c r="A9" s="237">
        <v>43928</v>
      </c>
      <c r="B9" s="238">
        <v>0.65972222222222221</v>
      </c>
      <c r="C9" s="238">
        <v>0.68055555555555547</v>
      </c>
      <c r="D9" s="239">
        <f>(C9-B9)</f>
        <v>2.0833333333333259E-2</v>
      </c>
      <c r="E9" s="570" t="s">
        <v>164</v>
      </c>
      <c r="F9" s="570"/>
      <c r="G9" s="240" t="s">
        <v>161</v>
      </c>
      <c r="H9" s="161"/>
      <c r="I9" s="161"/>
      <c r="J9" s="161"/>
      <c r="K9" s="161"/>
      <c r="L9" s="161"/>
      <c r="M9" s="161"/>
    </row>
    <row r="10" spans="1:13" x14ac:dyDescent="0.2">
      <c r="A10" s="237">
        <v>43928</v>
      </c>
      <c r="B10" s="238">
        <v>0.68402777777777779</v>
      </c>
      <c r="C10" s="238">
        <v>0.72569444444444453</v>
      </c>
      <c r="D10" s="239">
        <f>(C10-B10)</f>
        <v>4.1666666666666741E-2</v>
      </c>
      <c r="E10" s="570" t="s">
        <v>165</v>
      </c>
      <c r="F10" s="570"/>
      <c r="G10" s="241" t="s">
        <v>166</v>
      </c>
      <c r="H10" s="161"/>
      <c r="I10" s="161"/>
      <c r="J10" s="161"/>
      <c r="K10" s="161"/>
      <c r="L10" s="161"/>
      <c r="M10" s="161"/>
    </row>
    <row r="11" spans="1:13" x14ac:dyDescent="0.2">
      <c r="A11" s="242">
        <v>43928</v>
      </c>
      <c r="B11" s="243">
        <v>0.72569444444444453</v>
      </c>
      <c r="C11" s="244">
        <v>0.77083333333333337</v>
      </c>
      <c r="D11" s="245">
        <f t="shared" ref="D11:D21" si="0">(C11-B11)</f>
        <v>4.513888888888884E-2</v>
      </c>
      <c r="E11" s="568" t="s">
        <v>167</v>
      </c>
      <c r="F11" s="568"/>
      <c r="G11" s="246"/>
      <c r="H11" s="161"/>
      <c r="I11" s="161"/>
      <c r="J11" s="161"/>
      <c r="K11" s="161"/>
      <c r="L11" s="161"/>
      <c r="M11" s="161"/>
    </row>
    <row r="12" spans="1:13" x14ac:dyDescent="0.2">
      <c r="A12" s="237">
        <v>43928</v>
      </c>
      <c r="B12" s="238">
        <v>0.77083333333333337</v>
      </c>
      <c r="C12" s="238">
        <v>0.83680555555555547</v>
      </c>
      <c r="D12" s="239">
        <f t="shared" si="0"/>
        <v>6.5972222222222099E-2</v>
      </c>
      <c r="E12" s="570" t="s">
        <v>168</v>
      </c>
      <c r="F12" s="570"/>
      <c r="G12" s="241" t="s">
        <v>161</v>
      </c>
      <c r="H12" s="161"/>
      <c r="I12" s="161"/>
      <c r="J12" s="161"/>
      <c r="K12" s="161"/>
      <c r="L12" s="161"/>
      <c r="M12" s="161"/>
    </row>
    <row r="13" spans="1:13" ht="12.75" customHeight="1" x14ac:dyDescent="0.2">
      <c r="A13" s="247">
        <v>43929</v>
      </c>
      <c r="B13" s="248">
        <v>0.58333333333333337</v>
      </c>
      <c r="C13" s="248">
        <v>0.60416666666666663</v>
      </c>
      <c r="D13" s="249">
        <f t="shared" si="0"/>
        <v>2.0833333333333259E-2</v>
      </c>
      <c r="E13" s="572" t="s">
        <v>159</v>
      </c>
      <c r="F13" s="572"/>
      <c r="G13" s="241"/>
      <c r="H13" s="161"/>
      <c r="I13" s="161"/>
      <c r="J13" s="161"/>
      <c r="K13" s="161"/>
      <c r="L13" s="161"/>
      <c r="M13" s="161"/>
    </row>
    <row r="14" spans="1:13" x14ac:dyDescent="0.2">
      <c r="A14" s="242">
        <v>43931</v>
      </c>
      <c r="B14" s="243">
        <v>0.78472222222222221</v>
      </c>
      <c r="C14" s="244">
        <v>0.80208333333333337</v>
      </c>
      <c r="D14" s="245">
        <f t="shared" si="0"/>
        <v>1.736111111111116E-2</v>
      </c>
      <c r="E14" s="568" t="s">
        <v>169</v>
      </c>
      <c r="F14" s="568"/>
      <c r="G14" s="241"/>
      <c r="H14" s="161"/>
      <c r="I14" s="161"/>
      <c r="J14" s="161"/>
      <c r="K14" s="161"/>
      <c r="L14" s="161"/>
      <c r="M14" s="161"/>
    </row>
    <row r="15" spans="1:13" x14ac:dyDescent="0.2">
      <c r="A15" s="237">
        <v>43931</v>
      </c>
      <c r="B15" s="238">
        <v>0.80208333333333337</v>
      </c>
      <c r="C15" s="238">
        <v>0.88194444444444453</v>
      </c>
      <c r="D15" s="239">
        <f t="shared" si="0"/>
        <v>7.986111111111116E-2</v>
      </c>
      <c r="E15" s="573" t="s">
        <v>170</v>
      </c>
      <c r="F15" s="570"/>
      <c r="G15" s="241" t="s">
        <v>166</v>
      </c>
      <c r="H15" s="161"/>
      <c r="I15" s="161"/>
      <c r="J15" s="161"/>
      <c r="K15" s="161"/>
      <c r="L15" s="161"/>
      <c r="M15" s="161"/>
    </row>
    <row r="16" spans="1:13" x14ac:dyDescent="0.2">
      <c r="A16" s="237">
        <v>43931</v>
      </c>
      <c r="B16" s="238">
        <v>0.88194444444444453</v>
      </c>
      <c r="C16" s="238">
        <v>0.98958333333333337</v>
      </c>
      <c r="D16" s="239">
        <f t="shared" si="0"/>
        <v>0.10763888888888884</v>
      </c>
      <c r="E16" s="570" t="s">
        <v>163</v>
      </c>
      <c r="F16" s="570"/>
      <c r="G16" s="241" t="s">
        <v>161</v>
      </c>
      <c r="H16" s="161"/>
      <c r="I16" s="161"/>
      <c r="J16" s="161"/>
      <c r="K16" s="161"/>
      <c r="L16" s="161"/>
      <c r="M16" s="161"/>
    </row>
    <row r="17" spans="1:13" x14ac:dyDescent="0.2">
      <c r="A17" s="250">
        <v>43932</v>
      </c>
      <c r="B17" s="251">
        <v>0.58333333333333337</v>
      </c>
      <c r="C17" s="251">
        <v>0.60416666666666663</v>
      </c>
      <c r="D17" s="252">
        <f t="shared" si="0"/>
        <v>2.0833333333333259E-2</v>
      </c>
      <c r="E17" s="574" t="s">
        <v>159</v>
      </c>
      <c r="F17" s="574"/>
      <c r="G17" s="253"/>
      <c r="H17" s="161"/>
      <c r="I17" s="161"/>
      <c r="J17" s="161"/>
      <c r="K17" s="161"/>
      <c r="L17" s="161"/>
      <c r="M17" s="161"/>
    </row>
    <row r="18" spans="1:13" x14ac:dyDescent="0.2">
      <c r="A18" s="242">
        <v>43933</v>
      </c>
      <c r="B18" s="243">
        <v>0.2951388888888889</v>
      </c>
      <c r="C18" s="244">
        <v>0.34375</v>
      </c>
      <c r="D18" s="245">
        <f t="shared" si="0"/>
        <v>4.8611111111111105E-2</v>
      </c>
      <c r="E18" s="568" t="s">
        <v>171</v>
      </c>
      <c r="F18" s="568"/>
      <c r="G18" s="241"/>
      <c r="H18" s="161"/>
      <c r="I18" s="161"/>
      <c r="J18" s="161"/>
      <c r="K18" s="161"/>
      <c r="L18" s="161"/>
      <c r="M18" s="161"/>
    </row>
    <row r="19" spans="1:13" x14ac:dyDescent="0.2">
      <c r="A19" s="237">
        <v>43933</v>
      </c>
      <c r="B19" s="238">
        <v>0.34375</v>
      </c>
      <c r="C19" s="238">
        <v>0.46180555555555558</v>
      </c>
      <c r="D19" s="239">
        <f t="shared" si="0"/>
        <v>0.11805555555555558</v>
      </c>
      <c r="E19" s="570" t="s">
        <v>163</v>
      </c>
      <c r="F19" s="570"/>
      <c r="G19" s="241" t="s">
        <v>161</v>
      </c>
      <c r="H19" s="161"/>
      <c r="I19" s="161"/>
      <c r="J19" s="161"/>
      <c r="K19" s="161"/>
      <c r="L19" s="161"/>
      <c r="M19" s="161"/>
    </row>
    <row r="20" spans="1:13" x14ac:dyDescent="0.2">
      <c r="A20" s="237">
        <v>43933</v>
      </c>
      <c r="B20" s="238">
        <v>0.75</v>
      </c>
      <c r="C20" s="238">
        <v>0.76388888888888884</v>
      </c>
      <c r="D20" s="254">
        <f>(C20-B20)</f>
        <v>1.388888888888884E-2</v>
      </c>
      <c r="E20" s="570" t="s">
        <v>147</v>
      </c>
      <c r="F20" s="570"/>
      <c r="G20" s="226" t="s">
        <v>144</v>
      </c>
      <c r="H20" s="161"/>
      <c r="I20" s="161"/>
      <c r="J20" s="161"/>
      <c r="K20" s="161"/>
      <c r="L20" s="161"/>
      <c r="M20" s="161"/>
    </row>
    <row r="21" spans="1:13" ht="13.5" thickBot="1" x14ac:dyDescent="0.25">
      <c r="A21" s="255">
        <v>43933</v>
      </c>
      <c r="B21" s="256">
        <v>0.8125</v>
      </c>
      <c r="C21" s="256">
        <v>0.85416666666666663</v>
      </c>
      <c r="D21" s="257">
        <f t="shared" si="0"/>
        <v>4.166666666666663E-2</v>
      </c>
      <c r="E21" s="571" t="s">
        <v>126</v>
      </c>
      <c r="F21" s="571"/>
      <c r="G21" s="258"/>
      <c r="H21" s="161"/>
      <c r="I21" s="161"/>
      <c r="J21" s="161"/>
      <c r="K21" s="161"/>
      <c r="L21" s="161"/>
      <c r="M21" s="161"/>
    </row>
    <row r="22" spans="1:13" x14ac:dyDescent="0.2">
      <c r="H22" s="161"/>
      <c r="I22" s="161"/>
      <c r="J22" s="161"/>
      <c r="K22" s="161"/>
      <c r="L22" s="161"/>
      <c r="M22" s="161"/>
    </row>
    <row r="23" spans="1:13" ht="19.5" thickBot="1" x14ac:dyDescent="0.25">
      <c r="A23" s="101" t="s">
        <v>16</v>
      </c>
      <c r="B23" s="102"/>
      <c r="C23" s="103"/>
      <c r="D23" s="104"/>
      <c r="E23" s="104"/>
      <c r="F23" s="104"/>
      <c r="G23" s="104"/>
      <c r="H23" s="161"/>
      <c r="I23" s="161"/>
      <c r="J23" s="161"/>
      <c r="K23" s="161"/>
      <c r="L23" s="161"/>
      <c r="M23" s="161"/>
    </row>
    <row r="24" spans="1:13" ht="12.75" customHeight="1" x14ac:dyDescent="0.2">
      <c r="H24" s="161"/>
      <c r="I24" s="161"/>
      <c r="J24" s="161"/>
      <c r="K24" s="161"/>
      <c r="L24" s="161"/>
      <c r="M24" s="161"/>
    </row>
    <row r="25" spans="1:13" ht="12.75" customHeight="1" x14ac:dyDescent="0.2">
      <c r="H25" s="161"/>
      <c r="I25" s="161"/>
      <c r="J25" s="161"/>
      <c r="K25" s="161"/>
      <c r="L25" s="161"/>
      <c r="M25" s="161"/>
    </row>
    <row r="26" spans="1:13" ht="12.75" customHeight="1" x14ac:dyDescent="0.2">
      <c r="F26" s="97"/>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2.75" customHeight="1" x14ac:dyDescent="0.2">
      <c r="F29" s="97"/>
      <c r="H29" s="161"/>
      <c r="I29" s="161"/>
      <c r="J29" s="161"/>
      <c r="K29" s="161"/>
      <c r="L29" s="161"/>
      <c r="M29" s="161"/>
    </row>
    <row r="30" spans="1:13" ht="12.75" customHeight="1" x14ac:dyDescent="0.2">
      <c r="F30" s="97"/>
      <c r="H30" s="161"/>
      <c r="I30" s="161"/>
      <c r="J30" s="161"/>
      <c r="K30" s="161"/>
      <c r="L30" s="161"/>
      <c r="M30" s="161"/>
    </row>
    <row r="31" spans="1:13" ht="12.75" customHeight="1" x14ac:dyDescent="0.2">
      <c r="F31" s="97"/>
      <c r="H31" s="161"/>
      <c r="I31" s="161"/>
      <c r="J31" s="161"/>
      <c r="K31" s="161"/>
      <c r="L31" s="161"/>
      <c r="M31" s="161"/>
    </row>
    <row r="32" spans="1:13" ht="12.75" customHeight="1" x14ac:dyDescent="0.2">
      <c r="F32" s="97"/>
      <c r="H32" s="161"/>
      <c r="I32" s="161"/>
      <c r="J32" s="161"/>
      <c r="K32" s="161"/>
      <c r="L32" s="161"/>
      <c r="M32" s="161"/>
    </row>
    <row r="33" spans="6:13" ht="13.5" customHeight="1" x14ac:dyDescent="0.2">
      <c r="F33" s="97"/>
      <c r="H33" s="161"/>
      <c r="I33" s="161"/>
      <c r="J33" s="161"/>
      <c r="K33" s="161"/>
      <c r="L33" s="161"/>
      <c r="M33" s="161"/>
    </row>
    <row r="34" spans="6:13" x14ac:dyDescent="0.2">
      <c r="F34" s="97"/>
      <c r="H34" s="161"/>
      <c r="I34" s="161"/>
      <c r="J34" s="161"/>
      <c r="K34" s="161"/>
      <c r="L34" s="161"/>
      <c r="M34" s="161"/>
    </row>
    <row r="35" spans="6:13" x14ac:dyDescent="0.2">
      <c r="F35" s="97"/>
      <c r="H35" s="161"/>
      <c r="I35" s="161"/>
      <c r="J35" s="161"/>
      <c r="K35" s="161"/>
      <c r="L35" s="161"/>
      <c r="M35" s="161"/>
    </row>
    <row r="36" spans="6:13" x14ac:dyDescent="0.2">
      <c r="F36" s="97"/>
      <c r="H36" s="161"/>
      <c r="I36" s="161"/>
      <c r="J36" s="161"/>
      <c r="K36" s="161"/>
      <c r="L36" s="161"/>
      <c r="M36" s="161"/>
    </row>
    <row r="37" spans="6:13" x14ac:dyDescent="0.2">
      <c r="H37" s="161"/>
      <c r="I37" s="161"/>
      <c r="J37" s="161"/>
      <c r="K37" s="161"/>
      <c r="L37" s="161"/>
      <c r="M37" s="161"/>
    </row>
    <row r="38" spans="6:13" x14ac:dyDescent="0.2">
      <c r="H38" s="161"/>
      <c r="I38" s="161"/>
      <c r="J38" s="161"/>
      <c r="K38" s="161"/>
      <c r="L38" s="161"/>
      <c r="M38" s="161"/>
    </row>
    <row r="39" spans="6:13" x14ac:dyDescent="0.2">
      <c r="H39" s="161"/>
      <c r="I39" s="161"/>
      <c r="J39" s="161"/>
      <c r="K39" s="161"/>
      <c r="L39" s="161"/>
      <c r="M39" s="161"/>
    </row>
    <row r="40" spans="6:13" x14ac:dyDescent="0.2">
      <c r="H40" s="161"/>
      <c r="I40" s="161"/>
      <c r="J40" s="161"/>
      <c r="K40" s="161"/>
      <c r="L40" s="161"/>
      <c r="M40" s="161"/>
    </row>
    <row r="41" spans="6:13" x14ac:dyDescent="0.2">
      <c r="H41" s="161"/>
      <c r="I41" s="161"/>
      <c r="J41" s="161"/>
      <c r="K41" s="161"/>
      <c r="L41" s="161"/>
      <c r="M41" s="161"/>
    </row>
    <row r="42" spans="6:13" x14ac:dyDescent="0.2">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55" spans="2:7" x14ac:dyDescent="0.2">
      <c r="B55" s="105"/>
      <c r="C55" s="106"/>
      <c r="D55" s="107"/>
      <c r="E55" s="108"/>
      <c r="F55" s="161"/>
      <c r="G55" s="161"/>
    </row>
  </sheetData>
  <mergeCells count="16">
    <mergeCell ref="E18:F18"/>
    <mergeCell ref="E19:F19"/>
    <mergeCell ref="E20:F20"/>
    <mergeCell ref="E21:F21"/>
    <mergeCell ref="E12:F12"/>
    <mergeCell ref="E13:F13"/>
    <mergeCell ref="E14:F14"/>
    <mergeCell ref="E15:F15"/>
    <mergeCell ref="E16:F16"/>
    <mergeCell ref="E17:F17"/>
    <mergeCell ref="E11:F11"/>
    <mergeCell ref="A1:D1"/>
    <mergeCell ref="A4:B5"/>
    <mergeCell ref="C4:D5"/>
    <mergeCell ref="E9:F9"/>
    <mergeCell ref="E10:F10"/>
  </mergeCells>
  <conditionalFormatting sqref="A18 D17:D18">
    <cfRule type="expression" dxfId="151" priority="37">
      <formula>ISNUMBER(SEARCH(TEXT(#REF!,"ddd"),#REF!))</formula>
    </cfRule>
  </conditionalFormatting>
  <conditionalFormatting sqref="B17:C17">
    <cfRule type="expression" dxfId="150" priority="36">
      <formula>ISNUMBER(SEARCH(TEXT(#REF!,"ddd"),#REF!))</formula>
    </cfRule>
  </conditionalFormatting>
  <conditionalFormatting sqref="B18:C18">
    <cfRule type="expression" dxfId="149" priority="35">
      <formula>ISNUMBER(SEARCH(TEXT(#REF!,"ddd"),#REF!))</formula>
    </cfRule>
  </conditionalFormatting>
  <conditionalFormatting sqref="A17">
    <cfRule type="expression" dxfId="148" priority="34">
      <formula>ISNUMBER(SEARCH(TEXT(#REF!,"ddd"),#REF!))</formula>
    </cfRule>
  </conditionalFormatting>
  <conditionalFormatting sqref="A21:C21">
    <cfRule type="expression" dxfId="147" priority="33">
      <formula>ISNUMBER(SEARCH(TEXT(#REF!,"ddd"),#REF!))</formula>
    </cfRule>
  </conditionalFormatting>
  <conditionalFormatting sqref="A19 D19">
    <cfRule type="expression" dxfId="146" priority="29">
      <formula>ISNUMBER(SEARCH(TEXT(#REF!,"ddd"),#REF!))</formula>
    </cfRule>
  </conditionalFormatting>
  <conditionalFormatting sqref="B19:C19">
    <cfRule type="expression" dxfId="145" priority="28">
      <formula>ISNUMBER(SEARCH(TEXT(#REF!,"ddd"),#REF!))</formula>
    </cfRule>
  </conditionalFormatting>
  <conditionalFormatting sqref="B19:C19">
    <cfRule type="expression" dxfId="144" priority="27">
      <formula>ISNUMBER(SEARCH(TEXT(#REF!,"ddd"),#REF!))</formula>
    </cfRule>
  </conditionalFormatting>
  <conditionalFormatting sqref="D19 A19">
    <cfRule type="expression" dxfId="143" priority="26">
      <formula>ISNUMBER(SEARCH(TEXT(#REF!,"ddd"),#REF!))</formula>
    </cfRule>
  </conditionalFormatting>
  <conditionalFormatting sqref="A16 D16">
    <cfRule type="expression" dxfId="142" priority="23">
      <formula>ISNUMBER(SEARCH(TEXT(#REF!,"ddd"),#REF!))</formula>
    </cfRule>
  </conditionalFormatting>
  <conditionalFormatting sqref="B16:C16">
    <cfRule type="expression" dxfId="141" priority="22">
      <formula>ISNUMBER(SEARCH(TEXT(#REF!,"ddd"),#REF!))</formula>
    </cfRule>
  </conditionalFormatting>
  <conditionalFormatting sqref="D13">
    <cfRule type="expression" dxfId="140" priority="32">
      <formula>ISNUMBER(SEARCH(TEXT(#REF!,"ddd"),#REF!))</formula>
    </cfRule>
  </conditionalFormatting>
  <conditionalFormatting sqref="B13:C13">
    <cfRule type="expression" dxfId="139" priority="31">
      <formula>ISNUMBER(SEARCH(TEXT(#REF!,"ddd"),#REF!))</formula>
    </cfRule>
  </conditionalFormatting>
  <conditionalFormatting sqref="A13">
    <cfRule type="expression" dxfId="138" priority="30">
      <formula>ISNUMBER(SEARCH(TEXT(#REF!,"ddd"),#REF!))</formula>
    </cfRule>
  </conditionalFormatting>
  <conditionalFormatting sqref="B16:C16">
    <cfRule type="expression" dxfId="137" priority="21">
      <formula>ISNUMBER(SEARCH(TEXT(#REF!,"ddd"),#REF!))</formula>
    </cfRule>
  </conditionalFormatting>
  <conditionalFormatting sqref="D16 A16">
    <cfRule type="expression" dxfId="136" priority="20">
      <formula>ISNUMBER(SEARCH(TEXT(#REF!,"ddd"),#REF!))</formula>
    </cfRule>
  </conditionalFormatting>
  <conditionalFormatting sqref="A12 D12">
    <cfRule type="expression" dxfId="135" priority="17">
      <formula>ISNUMBER(SEARCH(TEXT(#REF!,"ddd"),#REF!))</formula>
    </cfRule>
  </conditionalFormatting>
  <conditionalFormatting sqref="B12:C12">
    <cfRule type="expression" dxfId="134" priority="16">
      <formula>ISNUMBER(SEARCH(TEXT(#REF!,"ddd"),#REF!))</formula>
    </cfRule>
  </conditionalFormatting>
  <conditionalFormatting sqref="A14 D14">
    <cfRule type="expression" dxfId="133" priority="25">
      <formula>ISNUMBER(SEARCH(TEXT(#REF!,"ddd"),#REF!))</formula>
    </cfRule>
  </conditionalFormatting>
  <conditionalFormatting sqref="B14:C14">
    <cfRule type="expression" dxfId="132" priority="24">
      <formula>ISNUMBER(SEARCH(TEXT(#REF!,"ddd"),#REF!))</formula>
    </cfRule>
  </conditionalFormatting>
  <conditionalFormatting sqref="A20:C20">
    <cfRule type="expression" dxfId="131" priority="9">
      <formula>ISNUMBER(SEARCH(TEXT(#REF!,"ddd"),#REF!))</formula>
    </cfRule>
  </conditionalFormatting>
  <conditionalFormatting sqref="D11 A11">
    <cfRule type="expression" dxfId="130" priority="19">
      <formula>ISNUMBER(SEARCH(TEXT(#REF!,"ddd"),#REF!))</formula>
    </cfRule>
  </conditionalFormatting>
  <conditionalFormatting sqref="B11:C11">
    <cfRule type="expression" dxfId="129" priority="18">
      <formula>ISNUMBER(SEARCH(TEXT(#REF!,"ddd"),#REF!))</formula>
    </cfRule>
  </conditionalFormatting>
  <conditionalFormatting sqref="B12:C12">
    <cfRule type="expression" dxfId="128" priority="15">
      <formula>ISNUMBER(SEARCH(TEXT(#REF!,"ddd"),#REF!))</formula>
    </cfRule>
  </conditionalFormatting>
  <conditionalFormatting sqref="D12 A12">
    <cfRule type="expression" dxfId="127" priority="14">
      <formula>ISNUMBER(SEARCH(TEXT(#REF!,"ddd"),#REF!))</formula>
    </cfRule>
  </conditionalFormatting>
  <conditionalFormatting sqref="A9 D9">
    <cfRule type="expression" dxfId="126" priority="13">
      <formula>ISNUMBER(SEARCH(TEXT(#REF!,"ddd"),#REF!))</formula>
    </cfRule>
  </conditionalFormatting>
  <conditionalFormatting sqref="B9:C9">
    <cfRule type="expression" dxfId="125" priority="12">
      <formula>ISNUMBER(SEARCH(TEXT(#REF!,"ddd"),#REF!))</formula>
    </cfRule>
  </conditionalFormatting>
  <conditionalFormatting sqref="B9:C9">
    <cfRule type="expression" dxfId="124" priority="11">
      <formula>ISNUMBER(SEARCH(TEXT(#REF!,"ddd"),#REF!))</formula>
    </cfRule>
  </conditionalFormatting>
  <conditionalFormatting sqref="D9 A9">
    <cfRule type="expression" dxfId="123" priority="10">
      <formula>ISNUMBER(SEARCH(TEXT(#REF!,"ddd"),#REF!))</formula>
    </cfRule>
  </conditionalFormatting>
  <conditionalFormatting sqref="A10 D10">
    <cfRule type="expression" dxfId="122" priority="8">
      <formula>ISNUMBER(SEARCH(TEXT(#REF!,"ddd"),#REF!))</formula>
    </cfRule>
  </conditionalFormatting>
  <conditionalFormatting sqref="B10:C10">
    <cfRule type="expression" dxfId="121" priority="7">
      <formula>ISNUMBER(SEARCH(TEXT(#REF!,"ddd"),#REF!))</formula>
    </cfRule>
  </conditionalFormatting>
  <conditionalFormatting sqref="B10:C10">
    <cfRule type="expression" dxfId="120" priority="6">
      <formula>ISNUMBER(SEARCH(TEXT(#REF!,"ddd"),#REF!))</formula>
    </cfRule>
  </conditionalFormatting>
  <conditionalFormatting sqref="D10 A10">
    <cfRule type="expression" dxfId="119" priority="5">
      <formula>ISNUMBER(SEARCH(TEXT(#REF!,"ddd"),#REF!))</formula>
    </cfRule>
  </conditionalFormatting>
  <conditionalFormatting sqref="A15 D15">
    <cfRule type="expression" dxfId="118" priority="4">
      <formula>ISNUMBER(SEARCH(TEXT(#REF!,"ddd"),#REF!))</formula>
    </cfRule>
  </conditionalFormatting>
  <conditionalFormatting sqref="B15:C15">
    <cfRule type="expression" dxfId="117" priority="3">
      <formula>ISNUMBER(SEARCH(TEXT(#REF!,"ddd"),#REF!))</formula>
    </cfRule>
  </conditionalFormatting>
  <conditionalFormatting sqref="B15:C15">
    <cfRule type="expression" dxfId="116" priority="2">
      <formula>ISNUMBER(SEARCH(TEXT(#REF!,"ddd"),#REF!))</formula>
    </cfRule>
  </conditionalFormatting>
  <conditionalFormatting sqref="D15 A15">
    <cfRule type="expression" dxfId="115"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3FFF-B446-4DFA-A28C-3B02006D67EE}">
  <sheetPr codeName="Sheet21"/>
  <dimension ref="A1:M56"/>
  <sheetViews>
    <sheetView showGridLines="0" zoomScale="117" zoomScaleNormal="117" workbookViewId="0">
      <selection activeCell="A3" sqref="A3"/>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3" ht="27" thickTop="1" x14ac:dyDescent="0.4">
      <c r="A1" s="576" t="s">
        <v>49</v>
      </c>
      <c r="B1" s="576"/>
      <c r="C1" s="576"/>
      <c r="D1" s="576"/>
      <c r="E1" s="285">
        <f>WEEKNUM(A3)</f>
        <v>16</v>
      </c>
      <c r="F1" s="284"/>
      <c r="G1" s="283"/>
      <c r="H1" s="161"/>
      <c r="I1" s="161"/>
      <c r="J1" s="161"/>
      <c r="K1" s="161"/>
      <c r="L1" s="161"/>
      <c r="M1" s="161"/>
    </row>
    <row r="2" spans="1:13" s="82" customFormat="1" x14ac:dyDescent="0.2">
      <c r="A2" s="80" t="s">
        <v>0</v>
      </c>
      <c r="B2" s="80"/>
      <c r="C2" s="80" t="s">
        <v>1</v>
      </c>
      <c r="D2" s="80"/>
      <c r="E2" s="81" t="s">
        <v>2</v>
      </c>
      <c r="F2" s="81" t="s">
        <v>3</v>
      </c>
      <c r="G2" s="81" t="s">
        <v>4</v>
      </c>
      <c r="H2" s="161"/>
      <c r="I2" s="161"/>
      <c r="J2" s="161"/>
      <c r="K2" s="161"/>
      <c r="L2" s="161"/>
      <c r="M2" s="161"/>
    </row>
    <row r="3" spans="1:13" ht="13.5" thickBot="1" x14ac:dyDescent="0.25">
      <c r="A3" s="83">
        <f>MIN(A9:A34)-1</f>
        <v>43933</v>
      </c>
      <c r="B3" s="84"/>
      <c r="C3" s="83">
        <f>MAXA(A12:A34)</f>
        <v>43940</v>
      </c>
      <c r="D3" s="84"/>
      <c r="E3" s="282" t="s">
        <v>5</v>
      </c>
      <c r="F3" s="159">
        <f>Sumcolor(E3,D9:D34)</f>
        <v>4.5138888888888729E-2</v>
      </c>
      <c r="G3" s="159" t="e">
        <f ca="1">SUM(INDIRECT(CONCATENATE("Uke",TEXT(VALUE(MID(CELL("filnavn",A1),FIND("]",CELL("filnavn",A1))+4,2))-1,0),"!G3")),F3)</f>
        <v>#VALUE!</v>
      </c>
      <c r="H3" s="161"/>
      <c r="I3" s="161"/>
      <c r="J3" s="161"/>
      <c r="K3" s="161"/>
      <c r="L3" s="161"/>
      <c r="M3" s="161"/>
    </row>
    <row r="4" spans="1:13" x14ac:dyDescent="0.2">
      <c r="A4" s="365" t="s">
        <v>6</v>
      </c>
      <c r="B4" s="365"/>
      <c r="C4" s="365" t="s">
        <v>50</v>
      </c>
      <c r="D4" s="365"/>
      <c r="E4" s="281" t="s">
        <v>7</v>
      </c>
      <c r="F4" s="159">
        <f>Sumcolor(E4,D9:D34)</f>
        <v>0.60069444444444464</v>
      </c>
      <c r="G4" s="159">
        <f ca="1">SUM(INDIRECT(CONCATENATE("Uke",TEXT(VALUE(MID(CELL("filnavn",A1),FIND("]",CELL("filnavn",A1))+4,2))-1,0),"!G4")),F4)</f>
        <v>2.7944444444444443</v>
      </c>
      <c r="H4" s="161"/>
      <c r="I4" s="161"/>
      <c r="J4" s="161"/>
      <c r="K4" s="161"/>
      <c r="L4" s="161"/>
      <c r="M4" s="161"/>
    </row>
    <row r="5" spans="1:13" x14ac:dyDescent="0.2">
      <c r="A5" s="366"/>
      <c r="B5" s="366"/>
      <c r="C5" s="366"/>
      <c r="D5" s="366"/>
      <c r="E5" s="280" t="s">
        <v>8</v>
      </c>
      <c r="F5" s="159">
        <f>Sumcolor(E5,D9:D34)</f>
        <v>6.2499999999999778E-2</v>
      </c>
      <c r="G5" s="159">
        <f ca="1">SUM(INDIRECT(CONCATENATE("Uke",TEXT(VALUE(MID(CELL("filnavn",A1),FIND("]",CELL("filnavn",A1))+4,2))-1,0),"!G5")),F5)</f>
        <v>1.2604166666666663</v>
      </c>
      <c r="H5" s="161"/>
      <c r="I5" s="157"/>
      <c r="J5" s="161"/>
      <c r="K5" s="161"/>
      <c r="L5" s="161"/>
      <c r="M5" s="161"/>
    </row>
    <row r="6" spans="1:13" ht="13.5" thickBot="1" x14ac:dyDescent="0.25">
      <c r="A6" s="89">
        <f>SUM(D9:D34)</f>
        <v>0.86597222222222203</v>
      </c>
      <c r="B6" s="90"/>
      <c r="C6" s="91" t="e">
        <f ca="1">SUM(G3:G6)</f>
        <v>#VALUE!</v>
      </c>
      <c r="D6" s="92"/>
      <c r="E6" s="279" t="s">
        <v>9</v>
      </c>
      <c r="F6" s="160">
        <f>Sumcolor(E6,D9:D34)</f>
        <v>0.15763888888888888</v>
      </c>
      <c r="G6" s="160" t="e">
        <f ca="1">SUM(INDIRECT(CONCATENATE("Uke",TEXT(VALUE(MID(CELL("filnavn",A1),FIND("]",CELL("filnavn",A1))+4,2))-1,0),"!G6")),F6)</f>
        <v>#VALUE!</v>
      </c>
      <c r="H6" s="161"/>
      <c r="I6" s="157"/>
      <c r="J6" s="161"/>
      <c r="K6" s="161"/>
      <c r="L6" s="161"/>
      <c r="M6" s="161"/>
    </row>
    <row r="7" spans="1:13" x14ac:dyDescent="0.2">
      <c r="A7" s="96"/>
      <c r="C7" s="99"/>
      <c r="E7" s="96"/>
      <c r="F7" s="96"/>
      <c r="H7" s="161"/>
      <c r="I7" s="161"/>
      <c r="J7" s="161"/>
      <c r="K7" s="161"/>
      <c r="L7" s="161"/>
      <c r="M7" s="161"/>
    </row>
    <row r="8" spans="1:13" ht="13.5" thickBot="1" x14ac:dyDescent="0.25">
      <c r="A8" s="235" t="s">
        <v>10</v>
      </c>
      <c r="B8" s="235" t="s">
        <v>11</v>
      </c>
      <c r="C8" s="235" t="s">
        <v>12</v>
      </c>
      <c r="D8" s="235" t="s">
        <v>13</v>
      </c>
      <c r="E8" s="235" t="s">
        <v>14</v>
      </c>
      <c r="F8" s="104"/>
      <c r="G8" s="236" t="s">
        <v>15</v>
      </c>
      <c r="H8" s="161"/>
      <c r="I8" s="161"/>
      <c r="J8" s="161"/>
      <c r="K8" s="161"/>
      <c r="L8" s="161"/>
      <c r="M8" s="161"/>
    </row>
    <row r="9" spans="1:13" x14ac:dyDescent="0.2">
      <c r="A9" s="276">
        <v>43934</v>
      </c>
      <c r="B9" s="277">
        <v>0.58333333333333337</v>
      </c>
      <c r="C9" s="277">
        <v>0.60416666666666663</v>
      </c>
      <c r="D9" s="274">
        <f t="shared" ref="D9:D21" si="0">C9-B9</f>
        <v>2.0833333333333259E-2</v>
      </c>
      <c r="E9" s="577" t="s">
        <v>159</v>
      </c>
      <c r="F9" s="577"/>
      <c r="G9" s="240"/>
      <c r="H9" s="161"/>
      <c r="I9" s="161"/>
      <c r="J9" s="161"/>
      <c r="K9" s="161"/>
      <c r="L9" s="161"/>
      <c r="M9" s="161"/>
    </row>
    <row r="10" spans="1:13" x14ac:dyDescent="0.2">
      <c r="A10" s="273">
        <v>43935</v>
      </c>
      <c r="B10" s="272">
        <v>0.40972222222222227</v>
      </c>
      <c r="C10" s="271">
        <v>0.42708333333333331</v>
      </c>
      <c r="D10" s="270">
        <f t="shared" si="0"/>
        <v>1.7361111111111049E-2</v>
      </c>
      <c r="E10" s="578" t="s">
        <v>138</v>
      </c>
      <c r="F10" s="578"/>
      <c r="G10" s="241"/>
      <c r="H10" s="161"/>
      <c r="I10" s="161"/>
      <c r="J10" s="161"/>
      <c r="K10" s="161"/>
      <c r="L10" s="161"/>
      <c r="M10" s="161"/>
    </row>
    <row r="11" spans="1:13" x14ac:dyDescent="0.2">
      <c r="A11" s="268">
        <v>43935</v>
      </c>
      <c r="B11" s="267">
        <v>0.42708333333333331</v>
      </c>
      <c r="C11" s="267">
        <v>0.52777777777777779</v>
      </c>
      <c r="D11" s="278">
        <f t="shared" si="0"/>
        <v>0.10069444444444448</v>
      </c>
      <c r="E11" s="575" t="s">
        <v>168</v>
      </c>
      <c r="F11" s="575"/>
      <c r="G11" s="241" t="s">
        <v>161</v>
      </c>
      <c r="H11" s="161"/>
      <c r="I11" s="161"/>
      <c r="J11" s="161"/>
      <c r="K11" s="161"/>
      <c r="L11" s="161"/>
      <c r="M11" s="161"/>
    </row>
    <row r="12" spans="1:13" ht="12.75" customHeight="1" x14ac:dyDescent="0.2">
      <c r="A12" s="276">
        <v>43937</v>
      </c>
      <c r="B12" s="277">
        <v>0.58333333333333337</v>
      </c>
      <c r="C12" s="277">
        <v>0.60416666666666663</v>
      </c>
      <c r="D12" s="274">
        <f t="shared" si="0"/>
        <v>2.0833333333333259E-2</v>
      </c>
      <c r="E12" s="577" t="s">
        <v>159</v>
      </c>
      <c r="F12" s="577"/>
      <c r="G12" s="241"/>
      <c r="H12" s="161"/>
      <c r="I12" s="161"/>
      <c r="J12" s="161"/>
      <c r="K12" s="161"/>
      <c r="L12" s="161"/>
      <c r="M12" s="161"/>
    </row>
    <row r="13" spans="1:13" x14ac:dyDescent="0.2">
      <c r="A13" s="276">
        <v>43939</v>
      </c>
      <c r="B13" s="275">
        <v>0.58333333333333337</v>
      </c>
      <c r="C13" s="275">
        <v>0.60416666666666663</v>
      </c>
      <c r="D13" s="274">
        <f t="shared" si="0"/>
        <v>2.0833333333333259E-2</v>
      </c>
      <c r="E13" s="577" t="s">
        <v>159</v>
      </c>
      <c r="F13" s="577"/>
      <c r="G13" s="253"/>
      <c r="H13" s="161"/>
      <c r="I13" s="161"/>
      <c r="J13" s="161"/>
      <c r="K13" s="161"/>
      <c r="L13" s="161"/>
      <c r="M13" s="161"/>
    </row>
    <row r="14" spans="1:13" x14ac:dyDescent="0.2">
      <c r="A14" s="268">
        <v>43939</v>
      </c>
      <c r="B14" s="267">
        <v>0.60416666666666663</v>
      </c>
      <c r="C14" s="267">
        <v>0.78472222222222221</v>
      </c>
      <c r="D14" s="269">
        <f t="shared" si="0"/>
        <v>0.18055555555555558</v>
      </c>
      <c r="E14" s="575" t="s">
        <v>168</v>
      </c>
      <c r="F14" s="575"/>
      <c r="G14" s="241" t="s">
        <v>161</v>
      </c>
      <c r="H14" s="161"/>
      <c r="I14" s="161"/>
      <c r="J14" s="161"/>
      <c r="K14" s="161"/>
      <c r="L14" s="161"/>
      <c r="M14" s="161"/>
    </row>
    <row r="15" spans="1:13" x14ac:dyDescent="0.2">
      <c r="A15" s="273">
        <v>43939</v>
      </c>
      <c r="B15" s="272">
        <v>0.78819444444444453</v>
      </c>
      <c r="C15" s="271">
        <v>0.81597222222222221</v>
      </c>
      <c r="D15" s="270">
        <f t="shared" si="0"/>
        <v>2.7777777777777679E-2</v>
      </c>
      <c r="E15" s="578" t="s">
        <v>177</v>
      </c>
      <c r="F15" s="578"/>
      <c r="G15" s="241"/>
      <c r="H15" s="161"/>
      <c r="I15" s="161"/>
      <c r="J15" s="161"/>
      <c r="K15" s="161"/>
      <c r="L15" s="161"/>
      <c r="M15" s="161"/>
    </row>
    <row r="16" spans="1:13" x14ac:dyDescent="0.2">
      <c r="A16" s="268">
        <v>43939</v>
      </c>
      <c r="B16" s="267">
        <v>0.81944444444444453</v>
      </c>
      <c r="C16" s="266">
        <v>0.875</v>
      </c>
      <c r="D16" s="269">
        <f t="shared" si="0"/>
        <v>5.5555555555555469E-2</v>
      </c>
      <c r="E16" s="575" t="s">
        <v>147</v>
      </c>
      <c r="F16" s="575"/>
      <c r="G16" s="241" t="s">
        <v>144</v>
      </c>
      <c r="H16" s="161"/>
      <c r="I16" s="161"/>
      <c r="J16" s="161"/>
      <c r="K16" s="161"/>
      <c r="L16" s="161"/>
      <c r="M16" s="161"/>
    </row>
    <row r="17" spans="1:13" x14ac:dyDescent="0.2">
      <c r="A17" s="268">
        <v>43939</v>
      </c>
      <c r="B17" s="267">
        <v>0.875</v>
      </c>
      <c r="C17" s="266">
        <v>0.90277777777777779</v>
      </c>
      <c r="D17" s="269">
        <f t="shared" si="0"/>
        <v>2.777777777777779E-2</v>
      </c>
      <c r="E17" s="575" t="s">
        <v>176</v>
      </c>
      <c r="F17" s="575"/>
      <c r="G17" s="241" t="s">
        <v>175</v>
      </c>
      <c r="H17" s="161"/>
      <c r="I17" s="161"/>
      <c r="J17" s="161"/>
      <c r="K17" s="161"/>
      <c r="L17" s="161"/>
      <c r="M17" s="161"/>
    </row>
    <row r="18" spans="1:13" x14ac:dyDescent="0.2">
      <c r="A18" s="268">
        <v>43939</v>
      </c>
      <c r="B18" s="267">
        <v>0.90277777777777779</v>
      </c>
      <c r="C18" s="266">
        <v>0.97569444444444453</v>
      </c>
      <c r="D18" s="269">
        <f t="shared" si="0"/>
        <v>7.2916666666666741E-2</v>
      </c>
      <c r="E18" s="575" t="s">
        <v>174</v>
      </c>
      <c r="F18" s="575"/>
      <c r="G18" s="241" t="s">
        <v>149</v>
      </c>
      <c r="H18" s="161"/>
      <c r="I18" s="161"/>
      <c r="J18" s="161"/>
      <c r="K18" s="161"/>
      <c r="L18" s="161"/>
      <c r="M18" s="161"/>
    </row>
    <row r="19" spans="1:13" x14ac:dyDescent="0.2">
      <c r="A19" s="268">
        <v>43940</v>
      </c>
      <c r="B19" s="267">
        <v>0.63541666666666663</v>
      </c>
      <c r="C19" s="266">
        <v>0.67361111111111116</v>
      </c>
      <c r="D19" s="269">
        <f t="shared" si="0"/>
        <v>3.8194444444444531E-2</v>
      </c>
      <c r="E19" s="575" t="s">
        <v>173</v>
      </c>
      <c r="F19" s="575"/>
      <c r="G19" s="241" t="s">
        <v>166</v>
      </c>
      <c r="H19" s="161"/>
      <c r="I19" s="161"/>
      <c r="J19" s="161"/>
      <c r="K19" s="161"/>
      <c r="L19" s="161"/>
      <c r="M19" s="161"/>
    </row>
    <row r="20" spans="1:13" x14ac:dyDescent="0.2">
      <c r="A20" s="268">
        <v>43940</v>
      </c>
      <c r="B20" s="267">
        <v>0.70833333333333337</v>
      </c>
      <c r="C20" s="266">
        <v>0.83333333333333337</v>
      </c>
      <c r="D20" s="265">
        <f t="shared" si="0"/>
        <v>0.125</v>
      </c>
      <c r="E20" s="575" t="s">
        <v>141</v>
      </c>
      <c r="F20" s="575"/>
      <c r="G20" s="241"/>
      <c r="H20" s="161"/>
      <c r="I20" s="161"/>
      <c r="J20" s="161"/>
      <c r="K20" s="161"/>
      <c r="L20" s="161"/>
      <c r="M20" s="161"/>
    </row>
    <row r="21" spans="1:13" x14ac:dyDescent="0.2">
      <c r="A21" s="264">
        <v>43940</v>
      </c>
      <c r="B21" s="263">
        <v>0.875</v>
      </c>
      <c r="C21" s="263">
        <v>0.99097222222222225</v>
      </c>
      <c r="D21" s="262">
        <f t="shared" si="0"/>
        <v>0.11597222222222225</v>
      </c>
      <c r="E21" s="579" t="s">
        <v>172</v>
      </c>
      <c r="F21" s="579"/>
      <c r="G21" s="227"/>
      <c r="H21" s="161"/>
      <c r="I21" s="161"/>
      <c r="J21" s="161"/>
      <c r="K21" s="161"/>
      <c r="L21" s="161"/>
      <c r="M21" s="161"/>
    </row>
    <row r="22" spans="1:13" ht="13.5" thickBot="1" x14ac:dyDescent="0.25">
      <c r="A22" s="261">
        <v>43940</v>
      </c>
      <c r="B22" s="260">
        <v>0.83333333333333337</v>
      </c>
      <c r="C22" s="260">
        <v>0.875</v>
      </c>
      <c r="D22" s="259">
        <f>(C22-B22)</f>
        <v>4.166666666666663E-2</v>
      </c>
      <c r="E22" s="580" t="s">
        <v>126</v>
      </c>
      <c r="F22" s="580"/>
      <c r="G22" s="258"/>
      <c r="H22" s="161"/>
      <c r="I22" s="161"/>
      <c r="J22" s="161"/>
      <c r="K22" s="161"/>
      <c r="L22" s="161"/>
      <c r="M22" s="161"/>
    </row>
    <row r="23" spans="1:13" x14ac:dyDescent="0.2">
      <c r="H23" s="161"/>
      <c r="I23" s="161"/>
      <c r="J23" s="161"/>
      <c r="K23" s="161"/>
      <c r="L23" s="161"/>
      <c r="M23" s="161"/>
    </row>
    <row r="24" spans="1:13" ht="19.5" thickBot="1" x14ac:dyDescent="0.25">
      <c r="A24" s="101" t="s">
        <v>16</v>
      </c>
      <c r="B24" s="102"/>
      <c r="C24" s="103"/>
      <c r="D24" s="104"/>
      <c r="E24" s="104"/>
      <c r="F24" s="104"/>
      <c r="G24" s="104"/>
      <c r="H24" s="161"/>
      <c r="I24" s="161"/>
      <c r="J24" s="161"/>
      <c r="K24" s="161"/>
      <c r="L24" s="161"/>
      <c r="M24" s="161"/>
    </row>
    <row r="25" spans="1:13" ht="12.75" customHeight="1" x14ac:dyDescent="0.2">
      <c r="H25" s="161"/>
      <c r="I25" s="161"/>
      <c r="J25" s="161"/>
      <c r="K25" s="161"/>
      <c r="L25" s="161"/>
      <c r="M25" s="161"/>
    </row>
    <row r="26" spans="1:13" ht="12.75" customHeight="1" x14ac:dyDescent="0.2">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2.75" customHeight="1" x14ac:dyDescent="0.2">
      <c r="F29" s="97"/>
      <c r="H29" s="161"/>
      <c r="I29" s="161"/>
      <c r="J29" s="161"/>
      <c r="K29" s="161"/>
      <c r="L29" s="161"/>
      <c r="M29" s="161"/>
    </row>
    <row r="30" spans="1:13" ht="12.75" customHeight="1" x14ac:dyDescent="0.2">
      <c r="F30" s="97"/>
      <c r="H30" s="161"/>
      <c r="I30" s="161"/>
      <c r="J30" s="161"/>
      <c r="K30" s="161"/>
      <c r="L30" s="161"/>
      <c r="M30" s="161"/>
    </row>
    <row r="31" spans="1:13" ht="12.75" customHeight="1" x14ac:dyDescent="0.2">
      <c r="F31" s="97"/>
      <c r="H31" s="161"/>
      <c r="I31" s="161"/>
      <c r="J31" s="161"/>
      <c r="K31" s="161"/>
      <c r="L31" s="161"/>
      <c r="M31" s="161"/>
    </row>
    <row r="32" spans="1:13" ht="12.75" customHeight="1" x14ac:dyDescent="0.2">
      <c r="F32" s="97"/>
      <c r="H32" s="161"/>
      <c r="I32" s="161"/>
      <c r="J32" s="161"/>
      <c r="K32" s="161"/>
      <c r="L32" s="161"/>
      <c r="M32" s="161"/>
    </row>
    <row r="33" spans="6:13" ht="12.75" customHeight="1" x14ac:dyDescent="0.2">
      <c r="F33" s="97"/>
      <c r="H33" s="161"/>
      <c r="I33" s="161"/>
      <c r="J33" s="161"/>
      <c r="K33" s="161"/>
      <c r="L33" s="161"/>
      <c r="M33" s="161"/>
    </row>
    <row r="34" spans="6:13" ht="13.5" customHeight="1" x14ac:dyDescent="0.2">
      <c r="F34" s="97"/>
      <c r="H34" s="161"/>
      <c r="I34" s="161"/>
      <c r="J34" s="161"/>
      <c r="K34" s="161"/>
      <c r="L34" s="161"/>
      <c r="M34" s="161"/>
    </row>
    <row r="35" spans="6:13" x14ac:dyDescent="0.2">
      <c r="F35" s="97"/>
      <c r="H35" s="161"/>
      <c r="I35" s="161"/>
      <c r="J35" s="161"/>
      <c r="K35" s="161"/>
      <c r="L35" s="161"/>
      <c r="M35" s="161"/>
    </row>
    <row r="36" spans="6:13" x14ac:dyDescent="0.2">
      <c r="F36" s="97"/>
      <c r="H36" s="161"/>
      <c r="I36" s="161"/>
      <c r="J36" s="161"/>
      <c r="K36" s="161"/>
      <c r="L36" s="161"/>
      <c r="M36" s="161"/>
    </row>
    <row r="37" spans="6:13" x14ac:dyDescent="0.2">
      <c r="F37" s="97"/>
      <c r="H37" s="161"/>
      <c r="I37" s="161"/>
      <c r="J37" s="161"/>
      <c r="K37" s="161"/>
      <c r="L37" s="161"/>
      <c r="M37" s="161"/>
    </row>
    <row r="38" spans="6:13" x14ac:dyDescent="0.2">
      <c r="H38" s="161"/>
      <c r="I38" s="161"/>
      <c r="J38" s="161"/>
      <c r="K38" s="161"/>
      <c r="L38" s="161"/>
      <c r="M38" s="161"/>
    </row>
    <row r="39" spans="6:13" x14ac:dyDescent="0.2">
      <c r="H39" s="161"/>
      <c r="I39" s="161"/>
      <c r="J39" s="161"/>
      <c r="K39" s="161"/>
      <c r="L39" s="161"/>
      <c r="M39" s="161"/>
    </row>
    <row r="40" spans="6:13" x14ac:dyDescent="0.2">
      <c r="H40" s="161"/>
      <c r="I40" s="161"/>
      <c r="J40" s="161"/>
      <c r="K40" s="161"/>
      <c r="L40" s="161"/>
      <c r="M40" s="161"/>
    </row>
    <row r="41" spans="6:13" x14ac:dyDescent="0.2">
      <c r="H41" s="161"/>
      <c r="I41" s="161"/>
      <c r="J41" s="161"/>
      <c r="K41" s="161"/>
      <c r="L41" s="161"/>
      <c r="M41" s="161"/>
    </row>
    <row r="42" spans="6:13" x14ac:dyDescent="0.2">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56" spans="2:7" x14ac:dyDescent="0.2">
      <c r="B56" s="105"/>
      <c r="C56" s="106"/>
      <c r="D56" s="107"/>
      <c r="E56" s="108"/>
      <c r="F56" s="161"/>
      <c r="G56" s="161"/>
    </row>
  </sheetData>
  <mergeCells count="17">
    <mergeCell ref="E20:F20"/>
    <mergeCell ref="E15:F15"/>
    <mergeCell ref="E21:F21"/>
    <mergeCell ref="E22:F22"/>
    <mergeCell ref="E12:F12"/>
    <mergeCell ref="E14:F14"/>
    <mergeCell ref="E13:F13"/>
    <mergeCell ref="E16:F16"/>
    <mergeCell ref="E17:F17"/>
    <mergeCell ref="E18:F18"/>
    <mergeCell ref="E19:F19"/>
    <mergeCell ref="E11:F11"/>
    <mergeCell ref="A1:D1"/>
    <mergeCell ref="A4:B5"/>
    <mergeCell ref="C4:D5"/>
    <mergeCell ref="E9:F9"/>
    <mergeCell ref="E10:F10"/>
  </mergeCells>
  <conditionalFormatting sqref="A20 D20">
    <cfRule type="expression" dxfId="114" priority="22">
      <formula>ISNUMBER(SEARCH(TEXT(#REF!,"ddd"),#REF!))</formula>
    </cfRule>
  </conditionalFormatting>
  <conditionalFormatting sqref="B13:C13">
    <cfRule type="expression" dxfId="113" priority="21">
      <formula>ISNUMBER(SEARCH(TEXT(#REF!,"ddd"),#REF!))</formula>
    </cfRule>
  </conditionalFormatting>
  <conditionalFormatting sqref="B20:C20">
    <cfRule type="expression" dxfId="112" priority="20">
      <formula>ISNUMBER(SEARCH(TEXT(#REF!,"ddd"),#REF!))</formula>
    </cfRule>
  </conditionalFormatting>
  <conditionalFormatting sqref="A22:C22">
    <cfRule type="expression" dxfId="111" priority="19">
      <formula>ISNUMBER(SEARCH(TEXT(#REF!,"ddd"),#REF!))</formula>
    </cfRule>
  </conditionalFormatting>
  <conditionalFormatting sqref="D12:D13">
    <cfRule type="expression" dxfId="110" priority="17">
      <formula>ISNUMBER(SEARCH(TEXT(#REF!,"ddd"),#REF!))</formula>
    </cfRule>
  </conditionalFormatting>
  <conditionalFormatting sqref="B12:C12">
    <cfRule type="expression" dxfId="109" priority="18">
      <formula>ISNUMBER(SEARCH(TEXT(#REF!,"ddd"),#REF!))</formula>
    </cfRule>
  </conditionalFormatting>
  <conditionalFormatting sqref="A21:C21">
    <cfRule type="expression" dxfId="108" priority="16">
      <formula>ISNUMBER(SEARCH(TEXT(#REF!,"ddd"),#REF!))</formula>
    </cfRule>
  </conditionalFormatting>
  <conditionalFormatting sqref="D9:D11">
    <cfRule type="expression" dxfId="107" priority="15">
      <formula>ISNUMBER(SEARCH(TEXT(#REF!,"ddd"),#REF!))</formula>
    </cfRule>
  </conditionalFormatting>
  <conditionalFormatting sqref="B9:C9">
    <cfRule type="expression" dxfId="106" priority="14">
      <formula>ISNUMBER(SEARCH(TEXT(#REF!,"ddd"),#REF!))</formula>
    </cfRule>
  </conditionalFormatting>
  <conditionalFormatting sqref="A9">
    <cfRule type="expression" dxfId="105" priority="13">
      <formula>ISNUMBER(SEARCH(TEXT(#REF!,"ddd"),#REF!))</formula>
    </cfRule>
  </conditionalFormatting>
  <conditionalFormatting sqref="A10">
    <cfRule type="expression" dxfId="104" priority="5">
      <formula>ISNUMBER(SEARCH(TEXT(#REF!,"ddd"),#REF!))</formula>
    </cfRule>
  </conditionalFormatting>
  <conditionalFormatting sqref="A12">
    <cfRule type="expression" dxfId="103" priority="12">
      <formula>ISNUMBER(SEARCH(TEXT(#REF!,"ddd"),#REF!))</formula>
    </cfRule>
  </conditionalFormatting>
  <conditionalFormatting sqref="A13">
    <cfRule type="expression" dxfId="102" priority="11">
      <formula>ISNUMBER(SEARCH(TEXT(#REF!,"ddd"),#REF!))</formula>
    </cfRule>
  </conditionalFormatting>
  <conditionalFormatting sqref="B10:C10">
    <cfRule type="expression" dxfId="101" priority="10">
      <formula>ISNUMBER(SEARCH(TEXT(#REF!,"ddd"),#REF!))</formula>
    </cfRule>
  </conditionalFormatting>
  <conditionalFormatting sqref="A11">
    <cfRule type="expression" dxfId="100" priority="9">
      <formula>ISNUMBER(SEARCH(TEXT(#REF!,"ddd"),#REF!))</formula>
    </cfRule>
  </conditionalFormatting>
  <conditionalFormatting sqref="B11:C11">
    <cfRule type="expression" dxfId="99" priority="8">
      <formula>ISNUMBER(SEARCH(TEXT(#REF!,"ddd"),#REF!))</formula>
    </cfRule>
  </conditionalFormatting>
  <conditionalFormatting sqref="B11:C11">
    <cfRule type="expression" dxfId="98" priority="7">
      <formula>ISNUMBER(SEARCH(TEXT(#REF!,"ddd"),#REF!))</formula>
    </cfRule>
  </conditionalFormatting>
  <conditionalFormatting sqref="A11">
    <cfRule type="expression" dxfId="97" priority="6">
      <formula>ISNUMBER(SEARCH(TEXT(#REF!,"ddd"),#REF!))</formula>
    </cfRule>
  </conditionalFormatting>
  <conditionalFormatting sqref="A14:C14 A16:C19">
    <cfRule type="expression" dxfId="96" priority="4">
      <formula>ISNUMBER(SEARCH(TEXT(#REF!,"ddd"),#REF!))</formula>
    </cfRule>
  </conditionalFormatting>
  <conditionalFormatting sqref="D15">
    <cfRule type="expression" dxfId="95" priority="3">
      <formula>ISNUMBER(SEARCH(TEXT(#REF!,"ddd"),#REF!))</formula>
    </cfRule>
  </conditionalFormatting>
  <conditionalFormatting sqref="A15">
    <cfRule type="expression" dxfId="94" priority="1">
      <formula>ISNUMBER(SEARCH(TEXT(#REF!,"ddd"),#REF!))</formula>
    </cfRule>
  </conditionalFormatting>
  <conditionalFormatting sqref="B15:C15">
    <cfRule type="expression" dxfId="93" priority="2">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888EC-78AD-4FF5-BE73-90C071A2841F}">
  <sheetPr codeName="Sheet22"/>
  <dimension ref="A1:O58"/>
  <sheetViews>
    <sheetView showGridLines="0" zoomScale="117" zoomScaleNormal="117" workbookViewId="0">
      <selection activeCell="A16" sqref="A16"/>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5" ht="27" thickTop="1" x14ac:dyDescent="0.4">
      <c r="A1" s="576" t="s">
        <v>49</v>
      </c>
      <c r="B1" s="576"/>
      <c r="C1" s="576"/>
      <c r="D1" s="576"/>
      <c r="E1" s="285">
        <f>WEEKNUM(A3)</f>
        <v>17</v>
      </c>
      <c r="F1" s="284"/>
      <c r="G1" s="283"/>
      <c r="H1" s="161"/>
      <c r="I1" s="161"/>
      <c r="J1" s="161"/>
      <c r="K1" s="161"/>
      <c r="L1" s="161"/>
      <c r="M1" s="161"/>
    </row>
    <row r="2" spans="1:15" s="82" customFormat="1" x14ac:dyDescent="0.2">
      <c r="A2" s="80" t="s">
        <v>0</v>
      </c>
      <c r="B2" s="80"/>
      <c r="C2" s="80" t="s">
        <v>1</v>
      </c>
      <c r="D2" s="80"/>
      <c r="E2" s="81" t="s">
        <v>2</v>
      </c>
      <c r="F2" s="81" t="s">
        <v>3</v>
      </c>
      <c r="G2" s="81" t="s">
        <v>4</v>
      </c>
      <c r="H2" s="161"/>
      <c r="I2" s="161"/>
      <c r="J2" s="161"/>
      <c r="K2" s="161"/>
      <c r="L2" s="161"/>
      <c r="M2" s="161"/>
    </row>
    <row r="3" spans="1:15" ht="13.5" thickBot="1" x14ac:dyDescent="0.25">
      <c r="A3" s="83">
        <f>MIN(A9:A36)</f>
        <v>43941</v>
      </c>
      <c r="B3" s="84"/>
      <c r="C3" s="83">
        <f>MAXA(A15:A36)</f>
        <v>43947</v>
      </c>
      <c r="D3" s="84"/>
      <c r="E3" s="282" t="s">
        <v>5</v>
      </c>
      <c r="F3" s="159">
        <f>Sumcolor(E3,D9:D36)</f>
        <v>2.083333333333337E-2</v>
      </c>
      <c r="G3" s="159" t="e">
        <f ca="1">SUM(INDIRECT(CONCATENATE("Uke",TEXT(VALUE(MID(CELL("filnavn",A1),FIND("]",CELL("filnavn",A1))+4,2))-1,0),"!G3")),F3)</f>
        <v>#VALUE!</v>
      </c>
      <c r="H3" s="161"/>
      <c r="I3" s="161"/>
      <c r="J3" s="161"/>
      <c r="K3" s="161"/>
      <c r="L3" s="161"/>
      <c r="M3" s="161"/>
    </row>
    <row r="4" spans="1:15" x14ac:dyDescent="0.2">
      <c r="A4" s="365" t="s">
        <v>6</v>
      </c>
      <c r="B4" s="365"/>
      <c r="C4" s="365" t="s">
        <v>50</v>
      </c>
      <c r="D4" s="365"/>
      <c r="E4" s="281" t="s">
        <v>7</v>
      </c>
      <c r="F4" s="159">
        <f>Sumcolor(E4,D9:D36)</f>
        <v>0.72222222222222188</v>
      </c>
      <c r="G4" s="159">
        <f ca="1">SUM(INDIRECT(CONCATENATE("Uke",TEXT(VALUE(MID(CELL("filnavn",A1),FIND("]",CELL("filnavn",A1))+4,2))-1,0),"!G4")),F4)</f>
        <v>3.5166666666666662</v>
      </c>
      <c r="H4" s="161"/>
      <c r="I4" s="161"/>
      <c r="J4" s="161"/>
      <c r="K4" s="161"/>
      <c r="L4" s="161"/>
      <c r="M4" s="161"/>
    </row>
    <row r="5" spans="1:15" x14ac:dyDescent="0.2">
      <c r="A5" s="366"/>
      <c r="B5" s="366"/>
      <c r="C5" s="366"/>
      <c r="D5" s="366"/>
      <c r="E5" s="280" t="s">
        <v>8</v>
      </c>
      <c r="F5" s="159">
        <f>Sumcolor(E5,D9:D36)</f>
        <v>8.6805555555555358E-2</v>
      </c>
      <c r="G5" s="159">
        <f ca="1">SUM(INDIRECT(CONCATENATE("Uke",TEXT(VALUE(MID(CELL("filnavn",A1),FIND("]",CELL("filnavn",A1))+4,2))-1,0),"!G5")),F5)</f>
        <v>1.3472222222222217</v>
      </c>
      <c r="H5" s="161"/>
      <c r="I5" s="157"/>
      <c r="J5" s="161"/>
      <c r="K5" s="161"/>
      <c r="L5" s="161"/>
      <c r="M5" s="161"/>
    </row>
    <row r="6" spans="1:15" ht="13.5" thickBot="1" x14ac:dyDescent="0.25">
      <c r="A6" s="294">
        <f>SUM(D9:D36)</f>
        <v>0.9166666666666663</v>
      </c>
      <c r="B6" s="90"/>
      <c r="C6" s="91" t="e">
        <f ca="1">SUM(G3:G6)</f>
        <v>#VALUE!</v>
      </c>
      <c r="D6" s="92"/>
      <c r="E6" s="279" t="s">
        <v>9</v>
      </c>
      <c r="F6" s="160">
        <f>Sumcolor(E6,D9:D36)</f>
        <v>8.6805555555555691E-2</v>
      </c>
      <c r="G6" s="160" t="e">
        <f ca="1">SUM(INDIRECT(CONCATENATE("Uke",TEXT(VALUE(MID(CELL("filnavn",A1),FIND("]",CELL("filnavn",A1))+4,2))-1,0),"!G6")),F6)</f>
        <v>#VALUE!</v>
      </c>
      <c r="H6" s="161"/>
      <c r="I6" s="157"/>
      <c r="J6" s="161"/>
      <c r="K6" s="161"/>
      <c r="L6" s="161"/>
      <c r="M6" s="161"/>
    </row>
    <row r="7" spans="1:15" x14ac:dyDescent="0.2">
      <c r="A7" s="96"/>
      <c r="C7" s="99"/>
      <c r="E7" s="96"/>
      <c r="F7" s="96"/>
      <c r="H7" s="161"/>
      <c r="I7" s="161"/>
      <c r="J7" s="161"/>
      <c r="K7" s="161"/>
      <c r="L7" s="161"/>
      <c r="M7" s="161"/>
    </row>
    <row r="8" spans="1:15" ht="13.5" thickBot="1" x14ac:dyDescent="0.25">
      <c r="A8" s="235" t="s">
        <v>10</v>
      </c>
      <c r="B8" s="235" t="s">
        <v>11</v>
      </c>
      <c r="C8" s="235" t="s">
        <v>12</v>
      </c>
      <c r="D8" s="235" t="s">
        <v>13</v>
      </c>
      <c r="E8" s="235" t="s">
        <v>14</v>
      </c>
      <c r="F8" s="104"/>
      <c r="G8" s="236" t="s">
        <v>15</v>
      </c>
      <c r="H8" s="161"/>
      <c r="I8" s="161"/>
      <c r="J8" s="161"/>
      <c r="K8" s="161"/>
      <c r="L8" s="161"/>
      <c r="M8" s="161"/>
    </row>
    <row r="9" spans="1:15" x14ac:dyDescent="0.2">
      <c r="A9" s="293">
        <v>43941</v>
      </c>
      <c r="B9" s="292">
        <v>0.58333333333333337</v>
      </c>
      <c r="C9" s="292">
        <v>0.60416666666666663</v>
      </c>
      <c r="D9" s="291">
        <f t="shared" ref="D9:D23" si="0">C9-B9</f>
        <v>2.0833333333333259E-2</v>
      </c>
      <c r="E9" s="581" t="s">
        <v>159</v>
      </c>
      <c r="F9" s="582"/>
      <c r="G9" s="240"/>
      <c r="H9" s="161"/>
      <c r="I9" s="161"/>
      <c r="J9" s="161"/>
      <c r="K9" s="161"/>
      <c r="L9" s="161"/>
      <c r="M9" s="161"/>
    </row>
    <row r="10" spans="1:15" x14ac:dyDescent="0.2">
      <c r="A10" s="288">
        <v>43941</v>
      </c>
      <c r="B10" s="277">
        <v>0.625</v>
      </c>
      <c r="C10" s="277">
        <v>0.64930555555555558</v>
      </c>
      <c r="D10" s="274">
        <f t="shared" si="0"/>
        <v>2.430555555555558E-2</v>
      </c>
      <c r="E10" s="577" t="s">
        <v>183</v>
      </c>
      <c r="F10" s="583"/>
      <c r="G10" s="241"/>
      <c r="H10" s="161"/>
      <c r="I10" s="161"/>
      <c r="J10" s="161"/>
      <c r="K10" s="161"/>
      <c r="L10" s="161"/>
      <c r="M10" s="161"/>
      <c r="N10" s="161"/>
      <c r="O10" s="161"/>
    </row>
    <row r="11" spans="1:15" x14ac:dyDescent="0.2">
      <c r="A11" s="287">
        <v>43941</v>
      </c>
      <c r="B11" s="267">
        <v>0.76736111111111116</v>
      </c>
      <c r="C11" s="266">
        <v>0.88541666666666663</v>
      </c>
      <c r="D11" s="265">
        <f t="shared" si="0"/>
        <v>0.11805555555555547</v>
      </c>
      <c r="E11" s="575" t="s">
        <v>141</v>
      </c>
      <c r="F11" s="584"/>
      <c r="G11" s="241"/>
      <c r="H11" s="161"/>
      <c r="I11" s="161"/>
      <c r="J11" s="161"/>
      <c r="K11" s="161"/>
      <c r="L11" s="161"/>
      <c r="M11" s="161"/>
      <c r="N11" s="161"/>
      <c r="O11" s="161"/>
    </row>
    <row r="12" spans="1:15" x14ac:dyDescent="0.2">
      <c r="A12" s="287">
        <v>43942</v>
      </c>
      <c r="B12" s="267">
        <v>0.67708333333333337</v>
      </c>
      <c r="C12" s="266">
        <v>0.82986111111111116</v>
      </c>
      <c r="D12" s="265">
        <f t="shared" si="0"/>
        <v>0.15277777777777779</v>
      </c>
      <c r="E12" s="575" t="s">
        <v>141</v>
      </c>
      <c r="F12" s="584"/>
      <c r="G12" s="241"/>
      <c r="H12" s="161"/>
      <c r="I12" s="161"/>
      <c r="J12" s="161"/>
      <c r="K12" s="161"/>
      <c r="L12" s="161"/>
      <c r="M12" s="161"/>
      <c r="N12" s="161"/>
      <c r="O12" s="161"/>
    </row>
    <row r="13" spans="1:15" x14ac:dyDescent="0.2">
      <c r="A13" s="290">
        <v>43942</v>
      </c>
      <c r="B13" s="263">
        <v>0.875</v>
      </c>
      <c r="C13" s="263">
        <v>0.92361111111111116</v>
      </c>
      <c r="D13" s="262">
        <f t="shared" si="0"/>
        <v>4.861111111111116E-2</v>
      </c>
      <c r="E13" s="579" t="s">
        <v>182</v>
      </c>
      <c r="F13" s="586"/>
      <c r="G13" s="241"/>
      <c r="H13" s="161"/>
      <c r="I13" s="161"/>
      <c r="J13" s="161"/>
      <c r="K13" s="161"/>
      <c r="L13" s="161"/>
      <c r="M13" s="161"/>
      <c r="N13" s="161"/>
      <c r="O13" s="161"/>
    </row>
    <row r="14" spans="1:15" x14ac:dyDescent="0.2">
      <c r="A14" s="287">
        <v>43944</v>
      </c>
      <c r="B14" s="267">
        <v>0.51388888888888895</v>
      </c>
      <c r="C14" s="267">
        <v>0.58333333333333337</v>
      </c>
      <c r="D14" s="278">
        <f t="shared" si="0"/>
        <v>6.944444444444442E-2</v>
      </c>
      <c r="E14" s="575" t="s">
        <v>168</v>
      </c>
      <c r="F14" s="584"/>
      <c r="G14" s="241" t="s">
        <v>161</v>
      </c>
      <c r="H14" s="161"/>
      <c r="I14" s="161"/>
      <c r="J14" s="161"/>
      <c r="K14" s="161"/>
      <c r="L14" s="161"/>
      <c r="M14" s="161"/>
      <c r="N14" s="161"/>
      <c r="O14" s="161"/>
    </row>
    <row r="15" spans="1:15" x14ac:dyDescent="0.2">
      <c r="A15" s="288">
        <v>43944</v>
      </c>
      <c r="B15" s="277">
        <v>0.58333333333333337</v>
      </c>
      <c r="C15" s="277">
        <v>0.60416666666666663</v>
      </c>
      <c r="D15" s="274">
        <f t="shared" si="0"/>
        <v>2.0833333333333259E-2</v>
      </c>
      <c r="E15" s="577" t="s">
        <v>159</v>
      </c>
      <c r="F15" s="583"/>
      <c r="G15" s="220"/>
      <c r="H15" s="161"/>
      <c r="I15" s="161"/>
      <c r="J15" s="161"/>
      <c r="K15" s="161"/>
      <c r="L15" s="161"/>
      <c r="M15" s="161"/>
      <c r="N15" s="161"/>
      <c r="O15" s="161"/>
    </row>
    <row r="16" spans="1:15" x14ac:dyDescent="0.2">
      <c r="A16" s="289">
        <v>43944</v>
      </c>
      <c r="B16" s="272">
        <v>0.60416666666666663</v>
      </c>
      <c r="C16" s="271">
        <v>0.625</v>
      </c>
      <c r="D16" s="270">
        <f t="shared" si="0"/>
        <v>2.083333333333337E-2</v>
      </c>
      <c r="E16" s="578" t="s">
        <v>181</v>
      </c>
      <c r="F16" s="587"/>
      <c r="G16" s="220"/>
      <c r="H16" s="161"/>
      <c r="I16" s="161"/>
      <c r="J16" s="161"/>
      <c r="K16" s="161"/>
      <c r="L16" s="161"/>
      <c r="M16" s="161"/>
      <c r="N16" s="161"/>
      <c r="O16" s="161"/>
    </row>
    <row r="17" spans="1:15" ht="12.75" customHeight="1" x14ac:dyDescent="0.2">
      <c r="A17" s="287">
        <v>43944</v>
      </c>
      <c r="B17" s="267">
        <v>0.625</v>
      </c>
      <c r="C17" s="267">
        <v>0.8125</v>
      </c>
      <c r="D17" s="278">
        <f t="shared" si="0"/>
        <v>0.1875</v>
      </c>
      <c r="E17" s="575" t="s">
        <v>179</v>
      </c>
      <c r="F17" s="584"/>
      <c r="G17" s="241"/>
      <c r="H17" s="161"/>
      <c r="I17" s="161"/>
      <c r="J17" s="161"/>
      <c r="K17" s="161"/>
      <c r="L17" s="161"/>
      <c r="M17" s="161"/>
      <c r="N17" s="161"/>
      <c r="O17" s="161"/>
    </row>
    <row r="18" spans="1:15" ht="12.75" customHeight="1" x14ac:dyDescent="0.2">
      <c r="A18" s="287">
        <v>43945</v>
      </c>
      <c r="B18" s="267">
        <v>0.51388888888888895</v>
      </c>
      <c r="C18" s="267">
        <v>0.54166666666666663</v>
      </c>
      <c r="D18" s="278">
        <f t="shared" si="0"/>
        <v>2.7777777777777679E-2</v>
      </c>
      <c r="E18" s="575" t="s">
        <v>179</v>
      </c>
      <c r="F18" s="584"/>
      <c r="G18" s="241"/>
      <c r="H18" s="161"/>
      <c r="I18" s="161"/>
      <c r="J18" s="161"/>
      <c r="K18" s="161"/>
      <c r="L18" s="161"/>
      <c r="M18" s="161"/>
      <c r="N18" s="161"/>
      <c r="O18" s="161"/>
    </row>
    <row r="19" spans="1:15" ht="12.75" customHeight="1" x14ac:dyDescent="0.2">
      <c r="A19" s="288">
        <v>43946</v>
      </c>
      <c r="B19" s="275">
        <v>0.58333333333333337</v>
      </c>
      <c r="C19" s="275">
        <v>0.60416666666666663</v>
      </c>
      <c r="D19" s="274">
        <f t="shared" si="0"/>
        <v>2.0833333333333259E-2</v>
      </c>
      <c r="E19" s="577" t="s">
        <v>159</v>
      </c>
      <c r="F19" s="583"/>
      <c r="G19" s="241"/>
      <c r="H19" s="161"/>
      <c r="I19" s="161"/>
      <c r="J19" s="161"/>
      <c r="K19" s="161"/>
      <c r="L19" s="161"/>
      <c r="M19" s="161"/>
      <c r="N19" s="161"/>
      <c r="O19" s="161"/>
    </row>
    <row r="20" spans="1:15" ht="12.75" customHeight="1" x14ac:dyDescent="0.2">
      <c r="A20" s="287">
        <v>43946</v>
      </c>
      <c r="B20" s="267">
        <v>0.64583333333333337</v>
      </c>
      <c r="C20" s="267">
        <v>0.66666666666666663</v>
      </c>
      <c r="D20" s="278">
        <f t="shared" si="0"/>
        <v>2.0833333333333259E-2</v>
      </c>
      <c r="E20" s="575" t="s">
        <v>180</v>
      </c>
      <c r="F20" s="584"/>
      <c r="G20" s="241"/>
      <c r="H20" s="161"/>
      <c r="I20" s="161"/>
      <c r="J20" s="161"/>
      <c r="K20" s="161"/>
      <c r="L20" s="161"/>
      <c r="M20" s="161"/>
      <c r="N20" s="161"/>
      <c r="O20" s="161"/>
    </row>
    <row r="21" spans="1:15" ht="12.75" customHeight="1" x14ac:dyDescent="0.2">
      <c r="A21" s="287">
        <v>43947</v>
      </c>
      <c r="B21" s="267">
        <v>0.55555555555555558</v>
      </c>
      <c r="C21" s="267">
        <v>0.61805555555555558</v>
      </c>
      <c r="D21" s="269">
        <f t="shared" si="0"/>
        <v>6.25E-2</v>
      </c>
      <c r="E21" s="575" t="s">
        <v>179</v>
      </c>
      <c r="F21" s="584"/>
      <c r="G21" s="253"/>
      <c r="H21" s="161"/>
      <c r="I21" s="161"/>
      <c r="J21" s="161"/>
      <c r="K21" s="161"/>
      <c r="L21" s="161"/>
      <c r="M21" s="161"/>
      <c r="N21" s="161"/>
      <c r="O21" s="161"/>
    </row>
    <row r="22" spans="1:15" x14ac:dyDescent="0.2">
      <c r="A22" s="287">
        <v>43947</v>
      </c>
      <c r="B22" s="267">
        <v>0.64583333333333337</v>
      </c>
      <c r="C22" s="267">
        <v>0.66666666666666663</v>
      </c>
      <c r="D22" s="269">
        <f t="shared" si="0"/>
        <v>2.0833333333333259E-2</v>
      </c>
      <c r="E22" s="575" t="s">
        <v>178</v>
      </c>
      <c r="F22" s="584"/>
      <c r="G22" s="253"/>
      <c r="H22" s="161"/>
      <c r="I22" s="161"/>
      <c r="J22" s="161"/>
      <c r="K22" s="161"/>
      <c r="L22" s="161"/>
      <c r="M22" s="161"/>
      <c r="N22" s="161"/>
      <c r="O22" s="161"/>
    </row>
    <row r="23" spans="1:15" x14ac:dyDescent="0.2">
      <c r="A23" s="287">
        <v>43947</v>
      </c>
      <c r="B23" s="267">
        <v>0.875</v>
      </c>
      <c r="C23" s="267">
        <v>0.9375</v>
      </c>
      <c r="D23" s="269">
        <f t="shared" si="0"/>
        <v>6.25E-2</v>
      </c>
      <c r="E23" s="575" t="s">
        <v>168</v>
      </c>
      <c r="F23" s="584"/>
      <c r="G23" s="241" t="s">
        <v>161</v>
      </c>
      <c r="H23" s="161"/>
      <c r="I23" s="161"/>
      <c r="J23" s="161"/>
      <c r="K23" s="161"/>
      <c r="L23" s="161"/>
      <c r="M23" s="161"/>
    </row>
    <row r="24" spans="1:15" ht="13.5" thickBot="1" x14ac:dyDescent="0.25">
      <c r="A24" s="286">
        <v>43947</v>
      </c>
      <c r="B24" s="260">
        <v>0.95138888888888884</v>
      </c>
      <c r="C24" s="260">
        <v>0.98958333333333337</v>
      </c>
      <c r="D24" s="259">
        <f>(C24-B24)</f>
        <v>3.8194444444444531E-2</v>
      </c>
      <c r="E24" s="580" t="s">
        <v>126</v>
      </c>
      <c r="F24" s="585"/>
      <c r="G24" s="258"/>
      <c r="H24" s="161"/>
      <c r="I24" s="161"/>
      <c r="J24" s="161"/>
      <c r="K24" s="161"/>
      <c r="L24" s="161"/>
      <c r="M24" s="161"/>
    </row>
    <row r="25" spans="1:15" x14ac:dyDescent="0.2">
      <c r="H25" s="161"/>
      <c r="I25" s="161"/>
      <c r="J25" s="161"/>
      <c r="K25" s="161"/>
      <c r="L25" s="161"/>
      <c r="M25" s="161"/>
    </row>
    <row r="26" spans="1:15" ht="19.5" thickBot="1" x14ac:dyDescent="0.25">
      <c r="A26" s="101" t="s">
        <v>16</v>
      </c>
      <c r="B26" s="102"/>
      <c r="C26" s="103"/>
      <c r="D26" s="104"/>
      <c r="E26" s="104"/>
      <c r="F26" s="104"/>
      <c r="G26" s="104"/>
      <c r="H26" s="161"/>
      <c r="I26" s="161"/>
      <c r="J26" s="161"/>
      <c r="K26" s="161"/>
      <c r="L26" s="161"/>
      <c r="M26" s="161"/>
    </row>
    <row r="27" spans="1:15" ht="12.75" customHeight="1" x14ac:dyDescent="0.2">
      <c r="H27" s="161"/>
      <c r="I27" s="161"/>
      <c r="J27" s="161"/>
      <c r="K27" s="161"/>
      <c r="L27" s="161"/>
      <c r="M27" s="161"/>
    </row>
    <row r="28" spans="1:15" ht="12.75" customHeight="1" x14ac:dyDescent="0.2">
      <c r="H28" s="161"/>
      <c r="I28" s="161"/>
      <c r="J28" s="161"/>
      <c r="K28" s="161"/>
      <c r="L28" s="161"/>
      <c r="M28" s="161"/>
    </row>
    <row r="29" spans="1:15" ht="12.75" customHeight="1" x14ac:dyDescent="0.2">
      <c r="F29" s="97"/>
      <c r="H29" s="161"/>
      <c r="I29" s="161"/>
      <c r="J29" s="161"/>
      <c r="K29" s="161"/>
      <c r="L29" s="161"/>
      <c r="M29" s="161"/>
    </row>
    <row r="30" spans="1:15" ht="12.75" customHeight="1" x14ac:dyDescent="0.2">
      <c r="F30" s="97"/>
      <c r="H30" s="161"/>
      <c r="I30" s="161"/>
      <c r="J30" s="161"/>
      <c r="K30" s="161"/>
      <c r="L30" s="161"/>
      <c r="M30" s="161"/>
    </row>
    <row r="31" spans="1:15" ht="12.75" customHeight="1" x14ac:dyDescent="0.2">
      <c r="F31" s="97"/>
      <c r="H31" s="161"/>
      <c r="I31" s="161"/>
      <c r="J31" s="161"/>
      <c r="K31" s="161"/>
      <c r="L31" s="161"/>
      <c r="M31" s="161"/>
    </row>
    <row r="32" spans="1:15" ht="12.75" customHeight="1" x14ac:dyDescent="0.2">
      <c r="F32" s="97"/>
      <c r="H32" s="161"/>
      <c r="I32" s="161"/>
      <c r="J32" s="161"/>
      <c r="K32" s="161"/>
      <c r="L32" s="161"/>
      <c r="M32" s="161"/>
    </row>
    <row r="33" spans="6:13" ht="12.75" customHeight="1" x14ac:dyDescent="0.2">
      <c r="F33" s="97"/>
      <c r="H33" s="161"/>
      <c r="I33" s="161"/>
      <c r="J33" s="161"/>
      <c r="K33" s="161"/>
      <c r="L33" s="161"/>
      <c r="M33" s="161"/>
    </row>
    <row r="34" spans="6:13" ht="12.75" customHeight="1" x14ac:dyDescent="0.2">
      <c r="F34" s="97"/>
      <c r="H34" s="161"/>
      <c r="I34" s="161"/>
      <c r="J34" s="161"/>
      <c r="K34" s="161"/>
      <c r="L34" s="161"/>
      <c r="M34" s="161"/>
    </row>
    <row r="35" spans="6:13" ht="12.75" customHeight="1" x14ac:dyDescent="0.2">
      <c r="F35" s="97"/>
      <c r="H35" s="161"/>
      <c r="I35" s="161"/>
      <c r="J35" s="161"/>
      <c r="K35" s="161"/>
      <c r="L35" s="161"/>
      <c r="M35" s="161"/>
    </row>
    <row r="36" spans="6:13" ht="13.5" customHeight="1" x14ac:dyDescent="0.2">
      <c r="F36" s="97"/>
      <c r="H36" s="161"/>
      <c r="I36" s="161"/>
      <c r="J36" s="161"/>
      <c r="K36" s="161"/>
      <c r="L36" s="161"/>
      <c r="M36" s="161"/>
    </row>
    <row r="37" spans="6:13" x14ac:dyDescent="0.2">
      <c r="F37" s="97"/>
      <c r="H37" s="161"/>
      <c r="I37" s="161"/>
      <c r="J37" s="161"/>
      <c r="K37" s="161"/>
      <c r="L37" s="161"/>
      <c r="M37" s="161"/>
    </row>
    <row r="38" spans="6:13" x14ac:dyDescent="0.2">
      <c r="F38" s="97"/>
      <c r="H38" s="161"/>
      <c r="I38" s="161"/>
      <c r="J38" s="161"/>
      <c r="K38" s="161"/>
      <c r="L38" s="161"/>
      <c r="M38" s="161"/>
    </row>
    <row r="39" spans="6:13" x14ac:dyDescent="0.2">
      <c r="F39" s="97"/>
      <c r="H39" s="161"/>
      <c r="I39" s="161"/>
      <c r="J39" s="161"/>
      <c r="K39" s="161"/>
      <c r="L39" s="161"/>
      <c r="M39" s="161"/>
    </row>
    <row r="40" spans="6:13" x14ac:dyDescent="0.2">
      <c r="H40" s="161"/>
      <c r="I40" s="161"/>
      <c r="J40" s="161"/>
      <c r="K40" s="161"/>
      <c r="L40" s="161"/>
      <c r="M40" s="161"/>
    </row>
    <row r="41" spans="6:13" x14ac:dyDescent="0.2">
      <c r="H41" s="161"/>
      <c r="I41" s="161"/>
      <c r="J41" s="161"/>
      <c r="K41" s="161"/>
      <c r="L41" s="161"/>
      <c r="M41" s="161"/>
    </row>
    <row r="42" spans="6:13" x14ac:dyDescent="0.2">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49" spans="2:13" x14ac:dyDescent="0.2">
      <c r="H49" s="161"/>
      <c r="I49" s="161"/>
      <c r="J49" s="161"/>
      <c r="K49" s="161"/>
      <c r="L49" s="161"/>
      <c r="M49" s="161"/>
    </row>
    <row r="50" spans="2:13" x14ac:dyDescent="0.2">
      <c r="H50" s="161"/>
      <c r="I50" s="161"/>
      <c r="J50" s="161"/>
      <c r="K50" s="161"/>
      <c r="L50" s="161"/>
      <c r="M50" s="161"/>
    </row>
    <row r="58" spans="2:13" x14ac:dyDescent="0.2">
      <c r="B58" s="105"/>
      <c r="C58" s="106"/>
      <c r="D58" s="107"/>
      <c r="E58" s="108"/>
      <c r="F58" s="161"/>
      <c r="G58" s="161"/>
    </row>
  </sheetData>
  <mergeCells count="19">
    <mergeCell ref="E21:F21"/>
    <mergeCell ref="E22:F22"/>
    <mergeCell ref="E23:F23"/>
    <mergeCell ref="E24:F24"/>
    <mergeCell ref="E11:F11"/>
    <mergeCell ref="E12:F12"/>
    <mergeCell ref="E13:F13"/>
    <mergeCell ref="E14:F14"/>
    <mergeCell ref="E17:F17"/>
    <mergeCell ref="E15:F15"/>
    <mergeCell ref="E19:F19"/>
    <mergeCell ref="E16:F16"/>
    <mergeCell ref="E20:F20"/>
    <mergeCell ref="E18:F18"/>
    <mergeCell ref="A1:D1"/>
    <mergeCell ref="A4:B5"/>
    <mergeCell ref="C4:D5"/>
    <mergeCell ref="E9:F9"/>
    <mergeCell ref="E10:F10"/>
  </mergeCells>
  <conditionalFormatting sqref="B19:C19">
    <cfRule type="expression" dxfId="92" priority="41">
      <formula>ISNUMBER(SEARCH(TEXT(#REF!,"ddd"),#REF!))</formula>
    </cfRule>
  </conditionalFormatting>
  <conditionalFormatting sqref="A24:C24">
    <cfRule type="expression" dxfId="91" priority="40">
      <formula>ISNUMBER(SEARCH(TEXT(#REF!,"ddd"),#REF!))</formula>
    </cfRule>
  </conditionalFormatting>
  <conditionalFormatting sqref="D19 D15">
    <cfRule type="expression" dxfId="90" priority="38">
      <formula>ISNUMBER(SEARCH(TEXT(#REF!,"ddd"),#REF!))</formula>
    </cfRule>
  </conditionalFormatting>
  <conditionalFormatting sqref="B15:C15">
    <cfRule type="expression" dxfId="89" priority="39">
      <formula>ISNUMBER(SEARCH(TEXT(#REF!,"ddd"),#REF!))</formula>
    </cfRule>
  </conditionalFormatting>
  <conditionalFormatting sqref="D9">
    <cfRule type="expression" dxfId="88" priority="37">
      <formula>ISNUMBER(SEARCH(TEXT(#REF!,"ddd"),#REF!))</formula>
    </cfRule>
  </conditionalFormatting>
  <conditionalFormatting sqref="B9:C9">
    <cfRule type="expression" dxfId="87" priority="36">
      <formula>ISNUMBER(SEARCH(TEXT(#REF!,"ddd"),#REF!))</formula>
    </cfRule>
  </conditionalFormatting>
  <conditionalFormatting sqref="A9">
    <cfRule type="expression" dxfId="86" priority="35">
      <formula>ISNUMBER(SEARCH(TEXT(#REF!,"ddd"),#REF!))</formula>
    </cfRule>
  </conditionalFormatting>
  <conditionalFormatting sqref="A15">
    <cfRule type="expression" dxfId="85" priority="34">
      <formula>ISNUMBER(SEARCH(TEXT(#REF!,"ddd"),#REF!))</formula>
    </cfRule>
  </conditionalFormatting>
  <conditionalFormatting sqref="A19">
    <cfRule type="expression" dxfId="84" priority="33">
      <formula>ISNUMBER(SEARCH(TEXT(#REF!,"ddd"),#REF!))</formula>
    </cfRule>
  </conditionalFormatting>
  <conditionalFormatting sqref="A11 D11">
    <cfRule type="expression" dxfId="83" priority="32">
      <formula>ISNUMBER(SEARCH(TEXT(#REF!,"ddd"),#REF!))</formula>
    </cfRule>
  </conditionalFormatting>
  <conditionalFormatting sqref="B11:C11">
    <cfRule type="expression" dxfId="82" priority="31">
      <formula>ISNUMBER(SEARCH(TEXT(#REF!,"ddd"),#REF!))</formula>
    </cfRule>
  </conditionalFormatting>
  <conditionalFormatting sqref="D10">
    <cfRule type="expression" dxfId="81" priority="30">
      <formula>ISNUMBER(SEARCH(TEXT(#REF!,"ddd"),#REF!))</formula>
    </cfRule>
  </conditionalFormatting>
  <conditionalFormatting sqref="B10:C10">
    <cfRule type="expression" dxfId="80" priority="29">
      <formula>ISNUMBER(SEARCH(TEXT(#REF!,"ddd"),#REF!))</formula>
    </cfRule>
  </conditionalFormatting>
  <conditionalFormatting sqref="A10">
    <cfRule type="expression" dxfId="79" priority="28">
      <formula>ISNUMBER(SEARCH(TEXT(#REF!,"ddd"),#REF!))</formula>
    </cfRule>
  </conditionalFormatting>
  <conditionalFormatting sqref="A13:C13">
    <cfRule type="expression" dxfId="78" priority="25">
      <formula>ISNUMBER(SEARCH(TEXT(#REF!,"ddd"),#REF!))</formula>
    </cfRule>
  </conditionalFormatting>
  <conditionalFormatting sqref="A12 D12">
    <cfRule type="expression" dxfId="77" priority="27">
      <formula>ISNUMBER(SEARCH(TEXT(#REF!,"ddd"),#REF!))</formula>
    </cfRule>
  </conditionalFormatting>
  <conditionalFormatting sqref="B12:C12">
    <cfRule type="expression" dxfId="76" priority="26">
      <formula>ISNUMBER(SEARCH(TEXT(#REF!,"ddd"),#REF!))</formula>
    </cfRule>
  </conditionalFormatting>
  <conditionalFormatting sqref="D14">
    <cfRule type="expression" dxfId="75" priority="24">
      <formula>ISNUMBER(SEARCH(TEXT(#REF!,"ddd"),#REF!))</formula>
    </cfRule>
  </conditionalFormatting>
  <conditionalFormatting sqref="A14">
    <cfRule type="expression" dxfId="74" priority="23">
      <formula>ISNUMBER(SEARCH(TEXT(#REF!,"ddd"),#REF!))</formula>
    </cfRule>
  </conditionalFormatting>
  <conditionalFormatting sqref="B14:C14">
    <cfRule type="expression" dxfId="73" priority="22">
      <formula>ISNUMBER(SEARCH(TEXT(#REF!,"ddd"),#REF!))</formula>
    </cfRule>
  </conditionalFormatting>
  <conditionalFormatting sqref="B14:C14">
    <cfRule type="expression" dxfId="72" priority="21">
      <formula>ISNUMBER(SEARCH(TEXT(#REF!,"ddd"),#REF!))</formula>
    </cfRule>
  </conditionalFormatting>
  <conditionalFormatting sqref="A14">
    <cfRule type="expression" dxfId="71" priority="20">
      <formula>ISNUMBER(SEARCH(TEXT(#REF!,"ddd"),#REF!))</formula>
    </cfRule>
  </conditionalFormatting>
  <conditionalFormatting sqref="D17 D19">
    <cfRule type="expression" dxfId="70" priority="19">
      <formula>ISNUMBER(SEARCH(TEXT(#REF!,"ddd"),#REF!))</formula>
    </cfRule>
  </conditionalFormatting>
  <conditionalFormatting sqref="A17 A19">
    <cfRule type="expression" dxfId="69" priority="18">
      <formula>ISNUMBER(SEARCH(TEXT(#REF!,"ddd"),#REF!))</formula>
    </cfRule>
  </conditionalFormatting>
  <conditionalFormatting sqref="B17:C17 B19:C19">
    <cfRule type="expression" dxfId="68" priority="17">
      <formula>ISNUMBER(SEARCH(TEXT(#REF!,"ddd"),#REF!))</formula>
    </cfRule>
  </conditionalFormatting>
  <conditionalFormatting sqref="B17:C17 B19:C19">
    <cfRule type="expression" dxfId="67" priority="16">
      <formula>ISNUMBER(SEARCH(TEXT(#REF!,"ddd"),#REF!))</formula>
    </cfRule>
  </conditionalFormatting>
  <conditionalFormatting sqref="A17 A19">
    <cfRule type="expression" dxfId="66" priority="15">
      <formula>ISNUMBER(SEARCH(TEXT(#REF!,"ddd"),#REF!))</formula>
    </cfRule>
  </conditionalFormatting>
  <conditionalFormatting sqref="D16">
    <cfRule type="expression" dxfId="65" priority="14">
      <formula>ISNUMBER(SEARCH(TEXT(#REF!,"ddd"),#REF!))</formula>
    </cfRule>
  </conditionalFormatting>
  <conditionalFormatting sqref="A16">
    <cfRule type="expression" dxfId="64" priority="12">
      <formula>ISNUMBER(SEARCH(TEXT(#REF!,"ddd"),#REF!))</formula>
    </cfRule>
  </conditionalFormatting>
  <conditionalFormatting sqref="B16:C16">
    <cfRule type="expression" dxfId="63" priority="13">
      <formula>ISNUMBER(SEARCH(TEXT(#REF!,"ddd"),#REF!))</formula>
    </cfRule>
  </conditionalFormatting>
  <conditionalFormatting sqref="D18">
    <cfRule type="expression" dxfId="62" priority="11">
      <formula>ISNUMBER(SEARCH(TEXT(#REF!,"ddd"),#REF!))</formula>
    </cfRule>
  </conditionalFormatting>
  <conditionalFormatting sqref="A18">
    <cfRule type="expression" dxfId="61" priority="10">
      <formula>ISNUMBER(SEARCH(TEXT(#REF!,"ddd"),#REF!))</formula>
    </cfRule>
  </conditionalFormatting>
  <conditionalFormatting sqref="B18:C18">
    <cfRule type="expression" dxfId="60" priority="9">
      <formula>ISNUMBER(SEARCH(TEXT(#REF!,"ddd"),#REF!))</formula>
    </cfRule>
  </conditionalFormatting>
  <conditionalFormatting sqref="B18:C18">
    <cfRule type="expression" dxfId="59" priority="8">
      <formula>ISNUMBER(SEARCH(TEXT(#REF!,"ddd"),#REF!))</formula>
    </cfRule>
  </conditionalFormatting>
  <conditionalFormatting sqref="A18">
    <cfRule type="expression" dxfId="58" priority="7">
      <formula>ISNUMBER(SEARCH(TEXT(#REF!,"ddd"),#REF!))</formula>
    </cfRule>
  </conditionalFormatting>
  <conditionalFormatting sqref="D20">
    <cfRule type="expression" dxfId="57" priority="6">
      <formula>ISNUMBER(SEARCH(TEXT(#REF!,"ddd"),#REF!))</formula>
    </cfRule>
  </conditionalFormatting>
  <conditionalFormatting sqref="A20">
    <cfRule type="expression" dxfId="56" priority="5">
      <formula>ISNUMBER(SEARCH(TEXT(#REF!,"ddd"),#REF!))</formula>
    </cfRule>
  </conditionalFormatting>
  <conditionalFormatting sqref="B20:C20">
    <cfRule type="expression" dxfId="55" priority="4">
      <formula>ISNUMBER(SEARCH(TEXT(#REF!,"ddd"),#REF!))</formula>
    </cfRule>
  </conditionalFormatting>
  <conditionalFormatting sqref="B20:C20">
    <cfRule type="expression" dxfId="54" priority="3">
      <formula>ISNUMBER(SEARCH(TEXT(#REF!,"ddd"),#REF!))</formula>
    </cfRule>
  </conditionalFormatting>
  <conditionalFormatting sqref="A20">
    <cfRule type="expression" dxfId="53" priority="2">
      <formula>ISNUMBER(SEARCH(TEXT(#REF!,"ddd"),#REF!))</formula>
    </cfRule>
  </conditionalFormatting>
  <conditionalFormatting sqref="A21:C23">
    <cfRule type="expression" dxfId="52"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CC4E7-4E23-490F-9627-406192D8E50F}">
  <sheetPr codeName="Sheet23"/>
  <dimension ref="A1:O51"/>
  <sheetViews>
    <sheetView showGridLines="0" zoomScale="117" zoomScaleNormal="117" workbookViewId="0">
      <selection activeCell="D18" sqref="D18"/>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5" ht="27" thickTop="1" x14ac:dyDescent="0.4">
      <c r="A1" s="576" t="s">
        <v>49</v>
      </c>
      <c r="B1" s="576"/>
      <c r="C1" s="576"/>
      <c r="D1" s="576"/>
      <c r="E1" s="285">
        <f>WEEKNUM(A3)</f>
        <v>18</v>
      </c>
      <c r="F1" s="284"/>
      <c r="G1" s="283"/>
      <c r="H1" s="161"/>
      <c r="I1" s="161"/>
      <c r="J1" s="161"/>
      <c r="K1" s="161"/>
      <c r="L1" s="161"/>
      <c r="M1" s="161"/>
    </row>
    <row r="2" spans="1:15" s="82" customFormat="1" x14ac:dyDescent="0.2">
      <c r="A2" s="80" t="s">
        <v>0</v>
      </c>
      <c r="B2" s="80"/>
      <c r="C2" s="80" t="s">
        <v>1</v>
      </c>
      <c r="D2" s="80"/>
      <c r="E2" s="81" t="s">
        <v>2</v>
      </c>
      <c r="F2" s="81" t="s">
        <v>3</v>
      </c>
      <c r="G2" s="81" t="s">
        <v>4</v>
      </c>
      <c r="H2" s="161"/>
      <c r="I2" s="161"/>
      <c r="J2" s="161"/>
      <c r="K2" s="161"/>
      <c r="L2" s="161"/>
      <c r="M2" s="161"/>
    </row>
    <row r="3" spans="1:15" ht="13.5" thickBot="1" x14ac:dyDescent="0.25">
      <c r="A3" s="83">
        <f>MIN(A10:A29)</f>
        <v>43948</v>
      </c>
      <c r="B3" s="84"/>
      <c r="C3" s="83">
        <f>MAXA(A11:A29)</f>
        <v>43954</v>
      </c>
      <c r="D3" s="84"/>
      <c r="E3" s="282" t="s">
        <v>5</v>
      </c>
      <c r="F3" s="159">
        <f>Sumcolor(E3,D10:D29)</f>
        <v>3.1249999999999986E-2</v>
      </c>
      <c r="G3" s="159" t="e">
        <f ca="1">SUM(INDIRECT(CONCATENATE("Uke",TEXT(VALUE(MID(CELL("filnavn",A1),FIND("]",CELL("filnavn",A1))+4,2))-1,0),"!G3")),F3)</f>
        <v>#VALUE!</v>
      </c>
      <c r="H3" s="161"/>
      <c r="I3" s="161"/>
      <c r="J3" s="161"/>
      <c r="K3" s="161"/>
      <c r="L3" s="161"/>
      <c r="M3" s="161"/>
    </row>
    <row r="4" spans="1:15" x14ac:dyDescent="0.2">
      <c r="A4" s="365" t="s">
        <v>6</v>
      </c>
      <c r="B4" s="365"/>
      <c r="C4" s="365" t="s">
        <v>50</v>
      </c>
      <c r="D4" s="365"/>
      <c r="E4" s="281" t="s">
        <v>7</v>
      </c>
      <c r="F4" s="159">
        <f>Sumcolor(E4,D10:D29)</f>
        <v>0.1944444444444445</v>
      </c>
      <c r="G4" s="159">
        <f ca="1">SUM(INDIRECT(CONCATENATE("Uke",TEXT(VALUE(MID(CELL("filnavn",A1),FIND("]",CELL("filnavn",A1))+4,2))-1,0),"!G4")),F4)</f>
        <v>3.7111111111111108</v>
      </c>
      <c r="H4" s="161"/>
      <c r="I4" s="161"/>
      <c r="J4" s="161"/>
      <c r="K4" s="161"/>
      <c r="L4" s="161"/>
      <c r="M4" s="161"/>
    </row>
    <row r="5" spans="1:15" x14ac:dyDescent="0.2">
      <c r="A5" s="366"/>
      <c r="B5" s="366"/>
      <c r="C5" s="366"/>
      <c r="D5" s="366"/>
      <c r="E5" s="280" t="s">
        <v>8</v>
      </c>
      <c r="F5" s="159">
        <f>Sumcolor(E5,D10:D29)</f>
        <v>6.5972222222222099E-2</v>
      </c>
      <c r="G5" s="159">
        <f ca="1">SUM(INDIRECT(CONCATENATE("Uke",TEXT(VALUE(MID(CELL("filnavn",A1),FIND("]",CELL("filnavn",A1))+4,2))-1,0),"!G5")),F5)</f>
        <v>1.4131944444444438</v>
      </c>
      <c r="H5" s="161"/>
      <c r="I5" s="157"/>
      <c r="J5" s="161"/>
      <c r="K5" s="161"/>
      <c r="L5" s="161"/>
      <c r="M5" s="161"/>
    </row>
    <row r="6" spans="1:15" ht="13.5" thickBot="1" x14ac:dyDescent="0.25">
      <c r="A6" s="294">
        <f>SUM(D10:D29)</f>
        <v>0.31597222222222221</v>
      </c>
      <c r="B6" s="90"/>
      <c r="C6" s="91" t="e">
        <f ca="1">SUM(G3:G6)</f>
        <v>#VALUE!</v>
      </c>
      <c r="D6" s="92"/>
      <c r="E6" s="279" t="s">
        <v>9</v>
      </c>
      <c r="F6" s="160">
        <f>Sumcolor(E6,D10:D29)</f>
        <v>2.430555555555558E-2</v>
      </c>
      <c r="G6" s="160" t="e">
        <f ca="1">SUM(INDIRECT(CONCATENATE("Uke",TEXT(VALUE(MID(CELL("filnavn",A1),FIND("]",CELL("filnavn",A1))+4,2))-1,0),"!G6")),F6)</f>
        <v>#VALUE!</v>
      </c>
      <c r="H6" s="161"/>
      <c r="I6" s="157"/>
      <c r="J6" s="161"/>
      <c r="K6" s="161"/>
      <c r="L6" s="161"/>
      <c r="M6" s="161"/>
    </row>
    <row r="7" spans="1:15" x14ac:dyDescent="0.2">
      <c r="A7" s="96"/>
      <c r="C7" s="99"/>
      <c r="E7" s="96"/>
      <c r="F7" s="96"/>
      <c r="H7" s="161"/>
      <c r="I7" s="161"/>
      <c r="J7" s="161"/>
      <c r="K7" s="161"/>
      <c r="L7" s="161"/>
      <c r="M7" s="161"/>
    </row>
    <row r="8" spans="1:15" ht="13.5" thickBot="1" x14ac:dyDescent="0.25">
      <c r="A8" s="235" t="s">
        <v>10</v>
      </c>
      <c r="B8" s="235" t="s">
        <v>11</v>
      </c>
      <c r="C8" s="235" t="s">
        <v>12</v>
      </c>
      <c r="D8" s="235" t="s">
        <v>13</v>
      </c>
      <c r="E8" s="235" t="s">
        <v>14</v>
      </c>
      <c r="F8" s="104"/>
      <c r="G8" s="236" t="s">
        <v>15</v>
      </c>
      <c r="H8" s="161"/>
      <c r="I8" s="161"/>
      <c r="J8" s="161"/>
      <c r="K8" s="161"/>
      <c r="L8" s="161"/>
      <c r="M8" s="161"/>
    </row>
    <row r="9" spans="1:15" ht="13.5" thickBot="1" x14ac:dyDescent="0.25">
      <c r="A9" s="287">
        <v>43948</v>
      </c>
      <c r="B9" s="267">
        <v>6.9444444444444434E-2</v>
      </c>
      <c r="C9" s="267">
        <v>0.12152777777777778</v>
      </c>
      <c r="D9" s="269">
        <f t="shared" ref="D9:D16" si="0">C9-B9</f>
        <v>5.2083333333333343E-2</v>
      </c>
      <c r="E9" s="575" t="s">
        <v>168</v>
      </c>
      <c r="F9" s="584"/>
      <c r="G9" s="241" t="s">
        <v>161</v>
      </c>
      <c r="H9" s="161"/>
      <c r="I9" s="161"/>
      <c r="J9" s="161"/>
      <c r="K9" s="161"/>
      <c r="L9" s="161"/>
      <c r="M9" s="161"/>
    </row>
    <row r="10" spans="1:15" x14ac:dyDescent="0.2">
      <c r="A10" s="293">
        <v>43948</v>
      </c>
      <c r="B10" s="292">
        <v>0.58333333333333337</v>
      </c>
      <c r="C10" s="292">
        <v>0.60763888888888895</v>
      </c>
      <c r="D10" s="291">
        <f t="shared" si="0"/>
        <v>2.430555555555558E-2</v>
      </c>
      <c r="E10" s="581" t="s">
        <v>159</v>
      </c>
      <c r="F10" s="582"/>
      <c r="G10" s="241"/>
      <c r="H10" s="161"/>
      <c r="I10" s="161"/>
      <c r="J10" s="161"/>
      <c r="K10" s="161"/>
      <c r="L10" s="161"/>
      <c r="M10" s="161"/>
      <c r="N10" s="161"/>
      <c r="O10" s="161"/>
    </row>
    <row r="11" spans="1:15" x14ac:dyDescent="0.2">
      <c r="A11" s="288">
        <v>43951</v>
      </c>
      <c r="B11" s="277">
        <v>0.58333333333333337</v>
      </c>
      <c r="C11" s="277">
        <v>0.60416666666666663</v>
      </c>
      <c r="D11" s="274">
        <f t="shared" si="0"/>
        <v>2.0833333333333259E-2</v>
      </c>
      <c r="E11" s="577" t="s">
        <v>159</v>
      </c>
      <c r="F11" s="583"/>
      <c r="G11" s="220"/>
      <c r="H11" s="161"/>
      <c r="I11" s="161"/>
      <c r="J11" s="161"/>
      <c r="K11" s="161"/>
      <c r="L11" s="161"/>
      <c r="M11" s="161"/>
      <c r="N11" s="161"/>
      <c r="O11" s="161"/>
    </row>
    <row r="12" spans="1:15" ht="12.75" customHeight="1" x14ac:dyDescent="0.2">
      <c r="A12" s="287">
        <v>43953</v>
      </c>
      <c r="B12" s="267">
        <v>1.0416666666666666E-2</v>
      </c>
      <c r="C12" s="267">
        <v>0.12152777777777778</v>
      </c>
      <c r="D12" s="269">
        <f t="shared" si="0"/>
        <v>0.1111111111111111</v>
      </c>
      <c r="E12" s="575" t="s">
        <v>168</v>
      </c>
      <c r="F12" s="584"/>
      <c r="G12" s="241" t="s">
        <v>161</v>
      </c>
      <c r="H12" s="161"/>
      <c r="I12" s="161"/>
      <c r="J12" s="161"/>
      <c r="K12" s="161"/>
      <c r="L12" s="161"/>
      <c r="M12" s="161"/>
      <c r="N12" s="161"/>
      <c r="O12" s="161"/>
    </row>
    <row r="13" spans="1:15" ht="12.75" customHeight="1" x14ac:dyDescent="0.2">
      <c r="A13" s="289">
        <v>43953</v>
      </c>
      <c r="B13" s="272">
        <v>0.12152777777777778</v>
      </c>
      <c r="C13" s="271">
        <v>0.15277777777777776</v>
      </c>
      <c r="D13" s="270">
        <f t="shared" si="0"/>
        <v>3.1249999999999986E-2</v>
      </c>
      <c r="E13" s="578" t="s">
        <v>185</v>
      </c>
      <c r="F13" s="587"/>
      <c r="G13" s="241"/>
      <c r="H13" s="161"/>
      <c r="I13" s="161"/>
      <c r="J13" s="161"/>
      <c r="K13" s="161"/>
      <c r="L13" s="161"/>
      <c r="M13" s="161"/>
      <c r="N13" s="161"/>
      <c r="O13" s="161"/>
    </row>
    <row r="14" spans="1:15" ht="12.75" customHeight="1" x14ac:dyDescent="0.2">
      <c r="A14" s="287">
        <v>43953</v>
      </c>
      <c r="B14" s="267">
        <v>0.15277777777777776</v>
      </c>
      <c r="C14" s="267">
        <v>0.22222222222222221</v>
      </c>
      <c r="D14" s="269">
        <f t="shared" si="0"/>
        <v>6.9444444444444448E-2</v>
      </c>
      <c r="E14" s="575" t="s">
        <v>168</v>
      </c>
      <c r="F14" s="584"/>
      <c r="G14" s="241" t="s">
        <v>161</v>
      </c>
      <c r="H14" s="161"/>
      <c r="I14" s="161"/>
      <c r="J14" s="161"/>
      <c r="K14" s="161"/>
      <c r="L14" s="161"/>
      <c r="M14" s="161"/>
      <c r="N14" s="161"/>
      <c r="O14" s="161"/>
    </row>
    <row r="15" spans="1:15" ht="12.75" customHeight="1" x14ac:dyDescent="0.2">
      <c r="A15" s="288">
        <v>43953</v>
      </c>
      <c r="B15" s="275">
        <v>0.58333333333333337</v>
      </c>
      <c r="C15" s="275">
        <v>0.60416666666666663</v>
      </c>
      <c r="D15" s="274">
        <f t="shared" si="0"/>
        <v>2.0833333333333259E-2</v>
      </c>
      <c r="E15" s="577" t="s">
        <v>159</v>
      </c>
      <c r="F15" s="583"/>
      <c r="G15" s="241"/>
      <c r="H15" s="161"/>
      <c r="I15" s="161"/>
      <c r="J15" s="161"/>
      <c r="K15" s="161"/>
      <c r="L15" s="161"/>
      <c r="M15" s="161"/>
      <c r="N15" s="161"/>
      <c r="O15" s="161"/>
    </row>
    <row r="16" spans="1:15" ht="12.75" customHeight="1" x14ac:dyDescent="0.2">
      <c r="A16" s="287">
        <v>43953</v>
      </c>
      <c r="B16" s="267">
        <v>0.625</v>
      </c>
      <c r="C16" s="267">
        <v>0.63888888888888895</v>
      </c>
      <c r="D16" s="278">
        <f t="shared" si="0"/>
        <v>1.3888888888888951E-2</v>
      </c>
      <c r="E16" s="575" t="s">
        <v>184</v>
      </c>
      <c r="F16" s="584"/>
      <c r="G16" s="241"/>
      <c r="H16" s="161"/>
      <c r="I16" s="161"/>
      <c r="J16" s="161"/>
      <c r="K16" s="161"/>
      <c r="L16" s="161"/>
      <c r="M16" s="161"/>
      <c r="N16" s="161"/>
      <c r="O16" s="161"/>
    </row>
    <row r="17" spans="1:13" ht="13.5" thickBot="1" x14ac:dyDescent="0.25">
      <c r="A17" s="286">
        <v>43954</v>
      </c>
      <c r="B17" s="260">
        <v>0.90277777777777779</v>
      </c>
      <c r="C17" s="260">
        <v>0.92708333333333337</v>
      </c>
      <c r="D17" s="259">
        <f>(C17-B17)</f>
        <v>2.430555555555558E-2</v>
      </c>
      <c r="E17" s="580" t="s">
        <v>126</v>
      </c>
      <c r="F17" s="585"/>
      <c r="G17" s="258"/>
      <c r="H17" s="161"/>
      <c r="I17" s="161"/>
      <c r="J17" s="161"/>
      <c r="K17" s="161"/>
      <c r="L17" s="161"/>
      <c r="M17" s="161"/>
    </row>
    <row r="18" spans="1:13" x14ac:dyDescent="0.2">
      <c r="H18" s="161"/>
      <c r="I18" s="161"/>
      <c r="J18" s="161"/>
      <c r="K18" s="161"/>
      <c r="L18" s="161"/>
      <c r="M18" s="161"/>
    </row>
    <row r="19" spans="1:13" ht="19.5" thickBot="1" x14ac:dyDescent="0.25">
      <c r="A19" s="101" t="s">
        <v>16</v>
      </c>
      <c r="B19" s="102"/>
      <c r="C19" s="103"/>
      <c r="D19" s="104"/>
      <c r="E19" s="104"/>
      <c r="F19" s="104"/>
      <c r="G19" s="104"/>
      <c r="H19" s="161"/>
      <c r="I19" s="161"/>
      <c r="J19" s="161"/>
      <c r="K19" s="161"/>
      <c r="L19" s="161"/>
      <c r="M19" s="161"/>
    </row>
    <row r="20" spans="1:13" ht="12.75" customHeight="1" x14ac:dyDescent="0.2">
      <c r="H20" s="161"/>
      <c r="I20" s="161"/>
      <c r="J20" s="161"/>
      <c r="K20" s="161"/>
      <c r="L20" s="161"/>
      <c r="M20" s="161"/>
    </row>
    <row r="21" spans="1:13" ht="12.75" customHeight="1" x14ac:dyDescent="0.2">
      <c r="H21" s="161"/>
      <c r="I21" s="161"/>
      <c r="J21" s="161"/>
      <c r="K21" s="161"/>
      <c r="L21" s="161"/>
      <c r="M21" s="161"/>
    </row>
    <row r="22" spans="1:13" ht="12.75" customHeight="1" x14ac:dyDescent="0.2">
      <c r="F22" s="97"/>
      <c r="H22" s="161"/>
      <c r="I22" s="161"/>
      <c r="J22" s="161"/>
      <c r="K22" s="161"/>
      <c r="L22" s="161"/>
      <c r="M22" s="161"/>
    </row>
    <row r="23" spans="1:13" ht="12.75" customHeight="1" x14ac:dyDescent="0.2">
      <c r="F23" s="97"/>
      <c r="H23" s="161"/>
      <c r="I23" s="161"/>
      <c r="J23" s="161"/>
      <c r="K23" s="161"/>
      <c r="L23" s="161"/>
      <c r="M23" s="161"/>
    </row>
    <row r="24" spans="1:13" ht="12.75" customHeight="1" x14ac:dyDescent="0.2">
      <c r="F24" s="97"/>
      <c r="H24" s="161"/>
      <c r="I24" s="161"/>
      <c r="J24" s="161"/>
      <c r="K24" s="161"/>
      <c r="L24" s="161"/>
      <c r="M24" s="161"/>
    </row>
    <row r="25" spans="1:13" ht="12.75" customHeight="1" x14ac:dyDescent="0.2">
      <c r="F25" s="97"/>
      <c r="H25" s="161"/>
      <c r="I25" s="161"/>
      <c r="J25" s="161"/>
      <c r="K25" s="161"/>
      <c r="L25" s="161"/>
      <c r="M25" s="161"/>
    </row>
    <row r="26" spans="1:13" ht="12.75" customHeight="1" x14ac:dyDescent="0.2">
      <c r="F26" s="97"/>
      <c r="H26" s="161"/>
      <c r="I26" s="161"/>
      <c r="J26" s="161"/>
      <c r="K26" s="161"/>
      <c r="L26" s="161"/>
      <c r="M26" s="161"/>
    </row>
    <row r="27" spans="1:13" ht="12.75" customHeight="1" x14ac:dyDescent="0.2">
      <c r="F27" s="97"/>
      <c r="H27" s="161"/>
      <c r="I27" s="161"/>
      <c r="J27" s="161"/>
      <c r="K27" s="161"/>
      <c r="L27" s="161"/>
      <c r="M27" s="161"/>
    </row>
    <row r="28" spans="1:13" ht="12.75" customHeight="1" x14ac:dyDescent="0.2">
      <c r="F28" s="97"/>
      <c r="H28" s="161"/>
      <c r="I28" s="161"/>
      <c r="J28" s="161"/>
      <c r="K28" s="161"/>
      <c r="L28" s="161"/>
      <c r="M28" s="161"/>
    </row>
    <row r="29" spans="1:13" ht="13.5" customHeight="1" x14ac:dyDescent="0.2">
      <c r="F29" s="97"/>
      <c r="H29" s="161"/>
      <c r="I29" s="161"/>
      <c r="J29" s="161"/>
      <c r="K29" s="161"/>
      <c r="L29" s="161"/>
      <c r="M29" s="161"/>
    </row>
    <row r="30" spans="1:13" x14ac:dyDescent="0.2">
      <c r="F30" s="97"/>
      <c r="H30" s="161"/>
      <c r="I30" s="161"/>
      <c r="J30" s="161"/>
      <c r="K30" s="161"/>
      <c r="L30" s="161"/>
      <c r="M30" s="161"/>
    </row>
    <row r="31" spans="1:13" x14ac:dyDescent="0.2">
      <c r="F31" s="97"/>
      <c r="H31" s="161"/>
      <c r="I31" s="161"/>
      <c r="J31" s="161"/>
      <c r="K31" s="161"/>
      <c r="L31" s="161"/>
      <c r="M31" s="161"/>
    </row>
    <row r="32" spans="1:13" x14ac:dyDescent="0.2">
      <c r="F32" s="97"/>
      <c r="H32" s="161"/>
      <c r="I32" s="161"/>
      <c r="J32" s="161"/>
      <c r="K32" s="161"/>
      <c r="L32" s="161"/>
      <c r="M32" s="161"/>
    </row>
    <row r="33" spans="8:13" x14ac:dyDescent="0.2">
      <c r="H33" s="161"/>
      <c r="I33" s="161"/>
      <c r="J33" s="161"/>
      <c r="K33" s="161"/>
      <c r="L33" s="161"/>
      <c r="M33" s="161"/>
    </row>
    <row r="34" spans="8:13" x14ac:dyDescent="0.2">
      <c r="H34" s="161"/>
      <c r="I34" s="161"/>
      <c r="J34" s="161"/>
      <c r="K34" s="161"/>
      <c r="L34" s="161"/>
      <c r="M34" s="161"/>
    </row>
    <row r="35" spans="8:13" x14ac:dyDescent="0.2">
      <c r="H35" s="161"/>
      <c r="I35" s="161"/>
      <c r="J35" s="161"/>
      <c r="K35" s="161"/>
      <c r="L35" s="161"/>
      <c r="M35" s="161"/>
    </row>
    <row r="36" spans="8:13" x14ac:dyDescent="0.2">
      <c r="H36" s="161"/>
      <c r="I36" s="161"/>
      <c r="J36" s="161"/>
      <c r="K36" s="161"/>
      <c r="L36" s="161"/>
      <c r="M36" s="161"/>
    </row>
    <row r="37" spans="8:13" x14ac:dyDescent="0.2">
      <c r="H37" s="161"/>
      <c r="I37" s="161"/>
      <c r="J37" s="161"/>
      <c r="K37" s="161"/>
      <c r="L37" s="161"/>
      <c r="M37" s="161"/>
    </row>
    <row r="38" spans="8:13" x14ac:dyDescent="0.2">
      <c r="H38" s="161"/>
      <c r="I38" s="161"/>
      <c r="J38" s="161"/>
      <c r="K38" s="161"/>
      <c r="L38" s="161"/>
      <c r="M38" s="161"/>
    </row>
    <row r="39" spans="8:13" x14ac:dyDescent="0.2">
      <c r="H39" s="161"/>
      <c r="I39" s="161"/>
      <c r="J39" s="161"/>
      <c r="K39" s="161"/>
      <c r="L39" s="161"/>
      <c r="M39" s="161"/>
    </row>
    <row r="40" spans="8:13" x14ac:dyDescent="0.2">
      <c r="H40" s="161"/>
      <c r="I40" s="161"/>
      <c r="J40" s="161"/>
      <c r="K40" s="161"/>
      <c r="L40" s="161"/>
      <c r="M40" s="161"/>
    </row>
    <row r="41" spans="8:13" x14ac:dyDescent="0.2">
      <c r="H41" s="161"/>
      <c r="I41" s="161"/>
      <c r="J41" s="161"/>
      <c r="K41" s="161"/>
      <c r="L41" s="161"/>
      <c r="M41" s="161"/>
    </row>
    <row r="42" spans="8:13" x14ac:dyDescent="0.2">
      <c r="H42" s="161"/>
      <c r="I42" s="161"/>
      <c r="J42" s="161"/>
      <c r="K42" s="161"/>
      <c r="L42" s="161"/>
      <c r="M42" s="161"/>
    </row>
    <row r="43" spans="8:13" x14ac:dyDescent="0.2">
      <c r="H43" s="161"/>
      <c r="I43" s="161"/>
      <c r="J43" s="161"/>
      <c r="K43" s="161"/>
      <c r="L43" s="161"/>
      <c r="M43" s="161"/>
    </row>
    <row r="51" spans="2:7" x14ac:dyDescent="0.2">
      <c r="B51" s="105"/>
      <c r="C51" s="106"/>
      <c r="D51" s="107"/>
      <c r="E51" s="108"/>
      <c r="F51" s="161"/>
      <c r="G51" s="161"/>
    </row>
  </sheetData>
  <mergeCells count="12">
    <mergeCell ref="A1:D1"/>
    <mergeCell ref="A4:B5"/>
    <mergeCell ref="C4:D5"/>
    <mergeCell ref="E10:F10"/>
    <mergeCell ref="E17:F17"/>
    <mergeCell ref="E9:F9"/>
    <mergeCell ref="E12:F12"/>
    <mergeCell ref="E15:F15"/>
    <mergeCell ref="E16:F16"/>
    <mergeCell ref="E13:F13"/>
    <mergeCell ref="E14:F14"/>
    <mergeCell ref="E11:F11"/>
  </mergeCells>
  <conditionalFormatting sqref="B15:C15">
    <cfRule type="expression" dxfId="51" priority="25">
      <formula>ISNUMBER(SEARCH(TEXT(#REF!,"ddd"),#REF!))</formula>
    </cfRule>
  </conditionalFormatting>
  <conditionalFormatting sqref="A17:C17">
    <cfRule type="expression" dxfId="50" priority="24">
      <formula>ISNUMBER(SEARCH(TEXT(#REF!,"ddd"),#REF!))</formula>
    </cfRule>
  </conditionalFormatting>
  <conditionalFormatting sqref="D15 D11">
    <cfRule type="expression" dxfId="49" priority="22">
      <formula>ISNUMBER(SEARCH(TEXT(#REF!,"ddd"),#REF!))</formula>
    </cfRule>
  </conditionalFormatting>
  <conditionalFormatting sqref="B11:C11">
    <cfRule type="expression" dxfId="48" priority="23">
      <formula>ISNUMBER(SEARCH(TEXT(#REF!,"ddd"),#REF!))</formula>
    </cfRule>
  </conditionalFormatting>
  <conditionalFormatting sqref="D10">
    <cfRule type="expression" dxfId="47" priority="21">
      <formula>ISNUMBER(SEARCH(TEXT(#REF!,"ddd"),#REF!))</formula>
    </cfRule>
  </conditionalFormatting>
  <conditionalFormatting sqref="B10:C10">
    <cfRule type="expression" dxfId="46" priority="20">
      <formula>ISNUMBER(SEARCH(TEXT(#REF!,"ddd"),#REF!))</formula>
    </cfRule>
  </conditionalFormatting>
  <conditionalFormatting sqref="A10">
    <cfRule type="expression" dxfId="45" priority="19">
      <formula>ISNUMBER(SEARCH(TEXT(#REF!,"ddd"),#REF!))</formula>
    </cfRule>
  </conditionalFormatting>
  <conditionalFormatting sqref="A11">
    <cfRule type="expression" dxfId="44" priority="18">
      <formula>ISNUMBER(SEARCH(TEXT(#REF!,"ddd"),#REF!))</formula>
    </cfRule>
  </conditionalFormatting>
  <conditionalFormatting sqref="A15">
    <cfRule type="expression" dxfId="43" priority="17">
      <formula>ISNUMBER(SEARCH(TEXT(#REF!,"ddd"),#REF!))</formula>
    </cfRule>
  </conditionalFormatting>
  <conditionalFormatting sqref="D15">
    <cfRule type="expression" dxfId="42" priority="16">
      <formula>ISNUMBER(SEARCH(TEXT(#REF!,"ddd"),#REF!))</formula>
    </cfRule>
  </conditionalFormatting>
  <conditionalFormatting sqref="A15">
    <cfRule type="expression" dxfId="41" priority="15">
      <formula>ISNUMBER(SEARCH(TEXT(#REF!,"ddd"),#REF!))</formula>
    </cfRule>
  </conditionalFormatting>
  <conditionalFormatting sqref="B15:C15">
    <cfRule type="expression" dxfId="40" priority="14">
      <formula>ISNUMBER(SEARCH(TEXT(#REF!,"ddd"),#REF!))</formula>
    </cfRule>
  </conditionalFormatting>
  <conditionalFormatting sqref="B15:C15">
    <cfRule type="expression" dxfId="39" priority="13">
      <formula>ISNUMBER(SEARCH(TEXT(#REF!,"ddd"),#REF!))</formula>
    </cfRule>
  </conditionalFormatting>
  <conditionalFormatting sqref="A15">
    <cfRule type="expression" dxfId="38" priority="12">
      <formula>ISNUMBER(SEARCH(TEXT(#REF!,"ddd"),#REF!))</formula>
    </cfRule>
  </conditionalFormatting>
  <conditionalFormatting sqref="D16">
    <cfRule type="expression" dxfId="37" priority="11">
      <formula>ISNUMBER(SEARCH(TEXT(#REF!,"ddd"),#REF!))</formula>
    </cfRule>
  </conditionalFormatting>
  <conditionalFormatting sqref="A16">
    <cfRule type="expression" dxfId="36" priority="10">
      <formula>ISNUMBER(SEARCH(TEXT(#REF!,"ddd"),#REF!))</formula>
    </cfRule>
  </conditionalFormatting>
  <conditionalFormatting sqref="B16:C16">
    <cfRule type="expression" dxfId="35" priority="9">
      <formula>ISNUMBER(SEARCH(TEXT(#REF!,"ddd"),#REF!))</formula>
    </cfRule>
  </conditionalFormatting>
  <conditionalFormatting sqref="B16:C16">
    <cfRule type="expression" dxfId="34" priority="8">
      <formula>ISNUMBER(SEARCH(TEXT(#REF!,"ddd"),#REF!))</formula>
    </cfRule>
  </conditionalFormatting>
  <conditionalFormatting sqref="A16">
    <cfRule type="expression" dxfId="33" priority="7">
      <formula>ISNUMBER(SEARCH(TEXT(#REF!,"ddd"),#REF!))</formula>
    </cfRule>
  </conditionalFormatting>
  <conditionalFormatting sqref="A9:C9">
    <cfRule type="expression" dxfId="32" priority="6">
      <formula>ISNUMBER(SEARCH(TEXT(#REF!,"ddd"),#REF!))</formula>
    </cfRule>
  </conditionalFormatting>
  <conditionalFormatting sqref="A12:C12">
    <cfRule type="expression" dxfId="31" priority="5">
      <formula>ISNUMBER(SEARCH(TEXT(#REF!,"ddd"),#REF!))</formula>
    </cfRule>
  </conditionalFormatting>
  <conditionalFormatting sqref="D13">
    <cfRule type="expression" dxfId="30" priority="4">
      <formula>ISNUMBER(SEARCH(TEXT(#REF!,"ddd"),#REF!))</formula>
    </cfRule>
  </conditionalFormatting>
  <conditionalFormatting sqref="A13">
    <cfRule type="expression" dxfId="29" priority="2">
      <formula>ISNUMBER(SEARCH(TEXT(#REF!,"ddd"),#REF!))</formula>
    </cfRule>
  </conditionalFormatting>
  <conditionalFormatting sqref="B13:C13">
    <cfRule type="expression" dxfId="28" priority="3">
      <formula>ISNUMBER(SEARCH(TEXT(#REF!,"ddd"),#REF!))</formula>
    </cfRule>
  </conditionalFormatting>
  <conditionalFormatting sqref="A14:C14">
    <cfRule type="expression" dxfId="27"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62B3C-1B1A-49BC-A2CA-154B1DF8CA7A}">
  <sheetPr codeName="Sheet25"/>
  <dimension ref="A1:O61"/>
  <sheetViews>
    <sheetView showGridLines="0" zoomScale="117" zoomScaleNormal="117" workbookViewId="0">
      <selection activeCell="F3" sqref="F3"/>
    </sheetView>
  </sheetViews>
  <sheetFormatPr baseColWidth="10" defaultColWidth="9" defaultRowHeight="12.75" x14ac:dyDescent="0.2"/>
  <cols>
    <col min="1" max="1" width="10" style="79" customWidth="1"/>
    <col min="2" max="2" width="5.625" style="79" customWidth="1"/>
    <col min="3" max="3" width="8.875" style="79" bestFit="1" customWidth="1"/>
    <col min="4" max="4" width="9.875" style="79" customWidth="1"/>
    <col min="5" max="5" width="27.75" style="79" customWidth="1"/>
    <col min="6" max="6" width="14.375" style="79" customWidth="1"/>
    <col min="7" max="7" width="14.25" style="79" customWidth="1"/>
    <col min="8" max="8" width="7.625" style="79" customWidth="1"/>
    <col min="9" max="9" width="11.625" style="79" customWidth="1"/>
    <col min="10" max="10" width="22.125" style="79" customWidth="1"/>
    <col min="11" max="11" width="12.375" style="79" customWidth="1"/>
    <col min="12" max="12" width="17.875" style="79" bestFit="1" customWidth="1"/>
    <col min="13" max="13" width="19.25" style="79" bestFit="1" customWidth="1"/>
    <col min="14" max="16384" width="9" style="79"/>
  </cols>
  <sheetData>
    <row r="1" spans="1:15" ht="27" thickTop="1" x14ac:dyDescent="0.4">
      <c r="A1" s="605" t="s">
        <v>49</v>
      </c>
      <c r="B1" s="605"/>
      <c r="C1" s="605"/>
      <c r="D1" s="605"/>
      <c r="E1" s="344">
        <f>WEEKNUM(A3)</f>
        <v>19</v>
      </c>
      <c r="F1" s="343"/>
      <c r="G1" s="342"/>
      <c r="H1" s="161"/>
      <c r="I1" s="161"/>
      <c r="J1" s="161"/>
      <c r="K1" s="161"/>
      <c r="L1" s="161"/>
      <c r="M1" s="161"/>
    </row>
    <row r="2" spans="1:15" s="82" customFormat="1" x14ac:dyDescent="0.2">
      <c r="A2" s="80" t="s">
        <v>0</v>
      </c>
      <c r="B2" s="80"/>
      <c r="C2" s="80" t="s">
        <v>1</v>
      </c>
      <c r="D2" s="80"/>
      <c r="E2" s="81" t="s">
        <v>2</v>
      </c>
      <c r="F2" s="81" t="s">
        <v>3</v>
      </c>
      <c r="G2" s="81" t="s">
        <v>4</v>
      </c>
      <c r="H2" s="161"/>
      <c r="I2" s="161"/>
      <c r="J2" s="161"/>
      <c r="K2" s="161"/>
      <c r="L2" s="161"/>
      <c r="M2" s="161"/>
    </row>
    <row r="3" spans="1:15" ht="13.5" thickBot="1" x14ac:dyDescent="0.25">
      <c r="A3" s="83">
        <f>MIN(A10:A39)</f>
        <v>43955</v>
      </c>
      <c r="B3" s="84"/>
      <c r="C3" s="83">
        <f>MAXA(A11:A39)</f>
        <v>43961</v>
      </c>
      <c r="D3" s="84"/>
      <c r="E3" s="341" t="s">
        <v>5</v>
      </c>
      <c r="F3" s="159">
        <f>Sumcolor(E3,D10:D39)</f>
        <v>0</v>
      </c>
      <c r="G3" s="159" t="e">
        <f ca="1">SUM(INDIRECT(CONCATENATE("Uke",TEXT(VALUE(MID(CELL("filnavn",A1),FIND("]",CELL("filnavn",A1))+4,2))-1,0),"!G3")),F3)</f>
        <v>#VALUE!</v>
      </c>
      <c r="H3" s="161"/>
      <c r="I3" s="161"/>
      <c r="J3" s="161"/>
      <c r="K3" s="161"/>
      <c r="L3" s="161"/>
      <c r="M3" s="161"/>
    </row>
    <row r="4" spans="1:15" x14ac:dyDescent="0.2">
      <c r="A4" s="365" t="s">
        <v>6</v>
      </c>
      <c r="B4" s="365"/>
      <c r="C4" s="365" t="s">
        <v>50</v>
      </c>
      <c r="D4" s="365"/>
      <c r="E4" s="340" t="s">
        <v>7</v>
      </c>
      <c r="F4" s="159">
        <f>Sumcolor(E4,D10:D39)</f>
        <v>0.74305555555555547</v>
      </c>
      <c r="G4" s="159">
        <f ca="1">SUM(INDIRECT(CONCATENATE("Uke",TEXT(VALUE(MID(CELL("filnavn",A1),FIND("]",CELL("filnavn",A1))+4,2))-1,0),"!G4")),F4)</f>
        <v>4.4541666666666666</v>
      </c>
      <c r="H4" s="161"/>
      <c r="I4" s="161"/>
      <c r="J4" s="161"/>
      <c r="K4" s="161"/>
      <c r="L4" s="161"/>
      <c r="M4" s="161"/>
    </row>
    <row r="5" spans="1:15" x14ac:dyDescent="0.2">
      <c r="A5" s="366"/>
      <c r="B5" s="366"/>
      <c r="C5" s="366"/>
      <c r="D5" s="366"/>
      <c r="E5" s="339" t="s">
        <v>8</v>
      </c>
      <c r="F5" s="159">
        <f>Sumcolor(E5,D10:D39)</f>
        <v>0.10416666666666641</v>
      </c>
      <c r="G5" s="159">
        <f ca="1">SUM(INDIRECT(CONCATENATE("Uke",TEXT(VALUE(MID(CELL("filnavn",A1),FIND("]",CELL("filnavn",A1))+4,2))-1,0),"!G5")),F5)</f>
        <v>1.5173611111111103</v>
      </c>
      <c r="H5" s="161"/>
      <c r="I5" s="157"/>
      <c r="J5" s="161"/>
      <c r="K5" s="161"/>
      <c r="L5" s="161"/>
      <c r="M5" s="161"/>
    </row>
    <row r="6" spans="1:15" ht="13.5" thickBot="1" x14ac:dyDescent="0.25">
      <c r="A6" s="294">
        <f>SUM(D10:D39)</f>
        <v>0.88888888888888862</v>
      </c>
      <c r="B6" s="90"/>
      <c r="C6" s="91" t="e">
        <f ca="1">SUM(G3:G6)</f>
        <v>#VALUE!</v>
      </c>
      <c r="D6" s="92"/>
      <c r="E6" s="338" t="s">
        <v>9</v>
      </c>
      <c r="F6" s="160">
        <f>Sumcolor(E6,D10:D39)</f>
        <v>4.1666666666666685E-2</v>
      </c>
      <c r="G6" s="160" t="e">
        <f ca="1">SUM(INDIRECT(CONCATENATE("Uke",TEXT(VALUE(MID(CELL("filnavn",A1),FIND("]",CELL("filnavn",A1))+4,2))-1,0),"!G6")),F6)</f>
        <v>#VALUE!</v>
      </c>
      <c r="H6" s="161"/>
      <c r="I6" s="157"/>
      <c r="J6" s="161"/>
      <c r="K6" s="161"/>
      <c r="L6" s="161"/>
      <c r="M6" s="161"/>
    </row>
    <row r="7" spans="1:15" x14ac:dyDescent="0.2">
      <c r="A7" s="96"/>
      <c r="C7" s="99"/>
      <c r="E7" s="96"/>
      <c r="F7" s="96"/>
      <c r="H7" s="161"/>
      <c r="I7" s="161"/>
      <c r="J7" s="161"/>
      <c r="K7" s="161"/>
      <c r="L7" s="161"/>
      <c r="M7" s="161"/>
    </row>
    <row r="8" spans="1:15" ht="13.5" thickBot="1" x14ac:dyDescent="0.25">
      <c r="A8" s="235" t="s">
        <v>10</v>
      </c>
      <c r="B8" s="235" t="s">
        <v>11</v>
      </c>
      <c r="C8" s="235" t="s">
        <v>12</v>
      </c>
      <c r="D8" s="235" t="s">
        <v>13</v>
      </c>
      <c r="E8" s="235" t="s">
        <v>14</v>
      </c>
      <c r="F8" s="104"/>
      <c r="G8" s="236" t="s">
        <v>15</v>
      </c>
      <c r="H8" s="161"/>
      <c r="I8" s="161"/>
      <c r="J8" s="161"/>
      <c r="K8" s="161"/>
      <c r="L8" s="161"/>
      <c r="M8" s="161"/>
    </row>
    <row r="9" spans="1:15" ht="13.5" customHeight="1" x14ac:dyDescent="0.2">
      <c r="A9" s="337">
        <v>43955</v>
      </c>
      <c r="B9" s="336">
        <v>0.58333333333333337</v>
      </c>
      <c r="C9" s="336">
        <v>0.59722222222222221</v>
      </c>
      <c r="D9" s="335">
        <f t="shared" ref="D9:D15" si="0">C9-B9</f>
        <v>1.388888888888884E-2</v>
      </c>
      <c r="E9" s="606" t="s">
        <v>159</v>
      </c>
      <c r="F9" s="606"/>
      <c r="G9" s="240"/>
      <c r="H9" s="161"/>
      <c r="I9" s="161"/>
      <c r="J9" s="161"/>
      <c r="K9" s="161"/>
      <c r="L9" s="161"/>
      <c r="M9" s="161"/>
    </row>
    <row r="10" spans="1:15" x14ac:dyDescent="0.2">
      <c r="A10" s="334">
        <v>43955</v>
      </c>
      <c r="B10" s="333">
        <v>0.69097222222222221</v>
      </c>
      <c r="C10" s="333">
        <v>0.91319444444444453</v>
      </c>
      <c r="D10" s="332">
        <f t="shared" si="0"/>
        <v>0.22222222222222232</v>
      </c>
      <c r="E10" s="597" t="s">
        <v>186</v>
      </c>
      <c r="F10" s="597"/>
      <c r="G10" s="241" t="s">
        <v>187</v>
      </c>
      <c r="H10" s="161"/>
      <c r="I10" s="161"/>
      <c r="J10" s="161"/>
      <c r="K10" s="161"/>
      <c r="L10" s="161"/>
      <c r="M10" s="161"/>
      <c r="N10" s="161"/>
      <c r="O10" s="161"/>
    </row>
    <row r="11" spans="1:15" x14ac:dyDescent="0.2">
      <c r="A11" s="316">
        <v>43957</v>
      </c>
      <c r="B11" s="315">
        <v>0.58333333333333337</v>
      </c>
      <c r="C11" s="315">
        <v>0.60416666666666663</v>
      </c>
      <c r="D11" s="314">
        <f t="shared" si="0"/>
        <v>2.0833333333333259E-2</v>
      </c>
      <c r="E11" s="596" t="s">
        <v>159</v>
      </c>
      <c r="F11" s="596"/>
      <c r="G11" s="220"/>
      <c r="H11" s="161"/>
      <c r="I11" s="161"/>
      <c r="J11" s="161"/>
      <c r="K11" s="161"/>
      <c r="L11" s="161"/>
      <c r="M11" s="161"/>
      <c r="N11" s="161"/>
      <c r="O11" s="161"/>
    </row>
    <row r="12" spans="1:15" x14ac:dyDescent="0.2">
      <c r="A12" s="334">
        <v>43958</v>
      </c>
      <c r="B12" s="333">
        <v>0.70486111111111116</v>
      </c>
      <c r="C12" s="333">
        <v>0.75347222222222221</v>
      </c>
      <c r="D12" s="332">
        <f t="shared" si="0"/>
        <v>4.8611111111111049E-2</v>
      </c>
      <c r="E12" s="597" t="s">
        <v>188</v>
      </c>
      <c r="F12" s="597"/>
      <c r="G12" s="295" t="s">
        <v>189</v>
      </c>
      <c r="H12" s="161"/>
      <c r="I12" s="161"/>
      <c r="J12" s="161"/>
      <c r="K12" s="161"/>
      <c r="L12" s="161"/>
      <c r="M12" s="161"/>
      <c r="N12" s="161"/>
      <c r="O12" s="161"/>
    </row>
    <row r="13" spans="1:15" x14ac:dyDescent="0.2">
      <c r="A13" s="316">
        <v>43959</v>
      </c>
      <c r="B13" s="315">
        <v>0.58333333333333337</v>
      </c>
      <c r="C13" s="315">
        <v>0.60416666666666663</v>
      </c>
      <c r="D13" s="314">
        <f t="shared" si="0"/>
        <v>2.0833333333333259E-2</v>
      </c>
      <c r="E13" s="596" t="s">
        <v>159</v>
      </c>
      <c r="F13" s="596"/>
      <c r="G13" s="220"/>
      <c r="H13" s="161"/>
      <c r="I13" s="161"/>
      <c r="J13" s="161"/>
      <c r="K13" s="161"/>
      <c r="L13" s="161"/>
      <c r="M13" s="161"/>
      <c r="N13" s="161"/>
      <c r="O13" s="161"/>
    </row>
    <row r="14" spans="1:15" x14ac:dyDescent="0.2">
      <c r="A14" s="331">
        <v>43959</v>
      </c>
      <c r="B14" s="330">
        <v>0.60416666666666663</v>
      </c>
      <c r="C14" s="330">
        <v>0.62847222222222221</v>
      </c>
      <c r="D14" s="329">
        <f t="shared" si="0"/>
        <v>2.430555555555558E-2</v>
      </c>
      <c r="E14" s="598" t="s">
        <v>190</v>
      </c>
      <c r="F14" s="598"/>
      <c r="G14" s="220"/>
      <c r="H14" s="161"/>
      <c r="I14" s="161"/>
      <c r="J14" s="161"/>
      <c r="K14" s="161"/>
      <c r="L14" s="161"/>
      <c r="M14" s="161"/>
      <c r="N14" s="161"/>
      <c r="O14" s="161"/>
    </row>
    <row r="15" spans="1:15" ht="12.75" customHeight="1" x14ac:dyDescent="0.2">
      <c r="A15" s="599">
        <v>43959</v>
      </c>
      <c r="B15" s="601">
        <v>0.79861111111111116</v>
      </c>
      <c r="C15" s="601">
        <v>0.93055555555555547</v>
      </c>
      <c r="D15" s="603">
        <f t="shared" si="0"/>
        <v>0.13194444444444431</v>
      </c>
      <c r="E15" s="593" t="s">
        <v>199</v>
      </c>
      <c r="F15" s="593"/>
      <c r="G15" s="590" t="s">
        <v>198</v>
      </c>
      <c r="H15" s="161"/>
      <c r="I15" s="161"/>
      <c r="J15" s="161"/>
      <c r="K15" s="161"/>
      <c r="L15" s="161"/>
      <c r="M15" s="161"/>
      <c r="N15" s="161"/>
      <c r="O15" s="161"/>
    </row>
    <row r="16" spans="1:15" x14ac:dyDescent="0.2">
      <c r="A16" s="600"/>
      <c r="B16" s="602"/>
      <c r="C16" s="602"/>
      <c r="D16" s="604"/>
      <c r="E16" s="594"/>
      <c r="F16" s="594"/>
      <c r="G16" s="590"/>
      <c r="H16" s="161"/>
      <c r="I16" s="161"/>
      <c r="J16" s="161"/>
      <c r="K16" s="161"/>
      <c r="L16" s="161"/>
      <c r="M16" s="161"/>
      <c r="N16" s="161"/>
      <c r="O16" s="161"/>
    </row>
    <row r="17" spans="1:15" x14ac:dyDescent="0.2">
      <c r="A17" s="328">
        <v>43960</v>
      </c>
      <c r="B17" s="327">
        <v>0.25347222222222221</v>
      </c>
      <c r="C17" s="327">
        <v>0.3298611111111111</v>
      </c>
      <c r="D17" s="326">
        <f>C17-B17</f>
        <v>7.6388888888888895E-2</v>
      </c>
      <c r="E17" s="591" t="s">
        <v>197</v>
      </c>
      <c r="F17" s="591"/>
      <c r="G17" s="220"/>
      <c r="H17" s="161"/>
      <c r="I17" s="161"/>
      <c r="J17" s="161"/>
      <c r="K17" s="161"/>
      <c r="L17" s="161"/>
      <c r="M17" s="161"/>
      <c r="N17" s="161"/>
      <c r="O17" s="161"/>
    </row>
    <row r="18" spans="1:15" x14ac:dyDescent="0.2">
      <c r="A18" s="325">
        <v>43960</v>
      </c>
      <c r="B18" s="324">
        <v>0.59027777777777779</v>
      </c>
      <c r="C18" s="324">
        <v>0.61111111111111105</v>
      </c>
      <c r="D18" s="323">
        <f>C18-B18</f>
        <v>2.0833333333333259E-2</v>
      </c>
      <c r="E18" s="592" t="s">
        <v>191</v>
      </c>
      <c r="F18" s="592"/>
      <c r="G18" s="220"/>
      <c r="H18" s="161"/>
      <c r="I18" s="161"/>
      <c r="J18" s="161"/>
      <c r="K18" s="161"/>
      <c r="L18" s="161"/>
      <c r="M18" s="161"/>
      <c r="N18" s="161"/>
      <c r="O18" s="161"/>
    </row>
    <row r="19" spans="1:15" ht="12.75" customHeight="1" x14ac:dyDescent="0.2">
      <c r="A19" s="322">
        <v>43960</v>
      </c>
      <c r="B19" s="321">
        <v>0.59375</v>
      </c>
      <c r="C19" s="321">
        <v>0.78472222222222221</v>
      </c>
      <c r="D19" s="320">
        <f>C19-B19</f>
        <v>0.19097222222222221</v>
      </c>
      <c r="E19" s="593" t="s">
        <v>196</v>
      </c>
      <c r="F19" s="593"/>
      <c r="G19" s="590" t="s">
        <v>187</v>
      </c>
      <c r="H19" s="161"/>
      <c r="I19" s="161"/>
      <c r="J19" s="161"/>
      <c r="K19" s="161"/>
      <c r="L19" s="161"/>
      <c r="M19" s="161"/>
      <c r="N19" s="161"/>
      <c r="O19" s="161"/>
    </row>
    <row r="20" spans="1:15" x14ac:dyDescent="0.2">
      <c r="A20" s="319"/>
      <c r="B20" s="318"/>
      <c r="C20" s="318"/>
      <c r="D20" s="317"/>
      <c r="E20" s="594"/>
      <c r="F20" s="594"/>
      <c r="G20" s="590"/>
      <c r="H20" s="161"/>
      <c r="I20" s="161"/>
      <c r="J20" s="161"/>
      <c r="K20" s="161"/>
      <c r="L20" s="161"/>
      <c r="M20" s="161"/>
      <c r="N20" s="161"/>
      <c r="O20" s="161"/>
    </row>
    <row r="21" spans="1:15" ht="12.75" customHeight="1" x14ac:dyDescent="0.2">
      <c r="A21" s="316">
        <v>43960</v>
      </c>
      <c r="B21" s="315">
        <v>0.78472222222222221</v>
      </c>
      <c r="C21" s="315">
        <v>0.82638888888888884</v>
      </c>
      <c r="D21" s="314">
        <f>C21-B21</f>
        <v>4.166666666666663E-2</v>
      </c>
      <c r="E21" s="313" t="s">
        <v>192</v>
      </c>
      <c r="F21" s="313"/>
      <c r="G21" s="220"/>
      <c r="H21" s="161"/>
      <c r="I21" s="161"/>
      <c r="J21" s="161"/>
      <c r="K21" s="161"/>
      <c r="L21" s="161"/>
      <c r="M21" s="161"/>
      <c r="N21" s="161"/>
      <c r="O21" s="161"/>
    </row>
    <row r="22" spans="1:15" x14ac:dyDescent="0.2">
      <c r="A22" s="312">
        <v>43960</v>
      </c>
      <c r="B22" s="311">
        <v>0.82638888888888884</v>
      </c>
      <c r="C22" s="311">
        <v>0.875</v>
      </c>
      <c r="D22" s="310">
        <f>C22-B22</f>
        <v>4.861111111111116E-2</v>
      </c>
      <c r="E22" s="595" t="s">
        <v>193</v>
      </c>
      <c r="F22" s="595"/>
      <c r="G22" s="241" t="s">
        <v>194</v>
      </c>
      <c r="H22" s="161"/>
      <c r="I22" s="161"/>
      <c r="J22" s="161"/>
      <c r="K22" s="161"/>
      <c r="L22" s="161"/>
      <c r="M22" s="161"/>
      <c r="N22" s="161"/>
      <c r="O22" s="161"/>
    </row>
    <row r="23" spans="1:15" x14ac:dyDescent="0.2">
      <c r="A23" s="309">
        <v>43961</v>
      </c>
      <c r="B23" s="308">
        <v>6.5972222222222224E-2</v>
      </c>
      <c r="C23" s="308">
        <v>8.6805555555555566E-2</v>
      </c>
      <c r="D23" s="307">
        <f>(C23-B23)</f>
        <v>2.0833333333333343E-2</v>
      </c>
      <c r="E23" s="588" t="s">
        <v>195</v>
      </c>
      <c r="F23" s="588"/>
      <c r="G23" s="241"/>
      <c r="H23" s="161"/>
      <c r="I23" s="161"/>
      <c r="J23" s="161"/>
      <c r="K23" s="161"/>
      <c r="L23" s="161"/>
      <c r="M23" s="161"/>
      <c r="N23" s="161"/>
      <c r="O23" s="161"/>
    </row>
    <row r="24" spans="1:15" x14ac:dyDescent="0.2">
      <c r="A24" s="306"/>
      <c r="B24" s="305"/>
      <c r="C24" s="305"/>
      <c r="D24" s="304"/>
      <c r="E24" s="303"/>
      <c r="F24" s="303"/>
      <c r="G24" s="241"/>
      <c r="H24" s="161"/>
      <c r="I24" s="161"/>
      <c r="J24" s="161"/>
      <c r="K24" s="161"/>
      <c r="L24" s="161"/>
      <c r="M24" s="161"/>
      <c r="N24" s="161"/>
      <c r="O24" s="161"/>
    </row>
    <row r="25" spans="1:15" x14ac:dyDescent="0.2">
      <c r="A25" s="302"/>
      <c r="B25" s="301"/>
      <c r="C25" s="301"/>
      <c r="D25" s="300"/>
      <c r="E25" s="299"/>
      <c r="F25" s="299"/>
      <c r="G25" s="241"/>
      <c r="H25" s="161"/>
      <c r="I25" s="161"/>
      <c r="J25" s="161"/>
      <c r="K25" s="161"/>
      <c r="L25" s="161"/>
      <c r="M25" s="161"/>
      <c r="N25" s="161"/>
      <c r="O25" s="161"/>
    </row>
    <row r="26" spans="1:15" ht="12.75" customHeight="1" thickBot="1" x14ac:dyDescent="0.25">
      <c r="A26" s="298">
        <v>43961</v>
      </c>
      <c r="B26" s="297">
        <v>6.5972222222222224E-2</v>
      </c>
      <c r="C26" s="297">
        <v>8.6805555555555566E-2</v>
      </c>
      <c r="D26" s="296">
        <f>(C26-B26)</f>
        <v>2.0833333333333343E-2</v>
      </c>
      <c r="E26" s="589" t="s">
        <v>126</v>
      </c>
      <c r="F26" s="589"/>
      <c r="G26" s="258"/>
      <c r="H26" s="161"/>
      <c r="I26" s="161"/>
      <c r="J26" s="161"/>
      <c r="K26" s="161"/>
      <c r="L26" s="161"/>
      <c r="M26" s="161"/>
      <c r="N26" s="161"/>
      <c r="O26" s="161"/>
    </row>
    <row r="27" spans="1:15" x14ac:dyDescent="0.2">
      <c r="H27" s="161"/>
      <c r="I27" s="161"/>
      <c r="J27" s="161"/>
      <c r="K27" s="161"/>
      <c r="L27" s="161"/>
      <c r="M27" s="161"/>
    </row>
    <row r="28" spans="1:15" x14ac:dyDescent="0.2">
      <c r="H28" s="161"/>
      <c r="I28" s="161"/>
      <c r="J28" s="161"/>
      <c r="K28" s="161"/>
      <c r="L28" s="161"/>
      <c r="M28" s="161"/>
    </row>
    <row r="29" spans="1:15" ht="19.5" thickBot="1" x14ac:dyDescent="0.25">
      <c r="A29" s="101" t="s">
        <v>16</v>
      </c>
      <c r="B29" s="102"/>
      <c r="C29" s="103"/>
      <c r="D29" s="104"/>
      <c r="E29" s="104"/>
      <c r="F29" s="104"/>
      <c r="G29" s="104"/>
      <c r="H29" s="161"/>
      <c r="I29" s="161"/>
      <c r="J29" s="161"/>
      <c r="K29" s="161"/>
      <c r="L29" s="161"/>
      <c r="M29" s="161"/>
    </row>
    <row r="30" spans="1:15" ht="12.75" customHeight="1" x14ac:dyDescent="0.2">
      <c r="H30" s="161"/>
      <c r="I30" s="161"/>
      <c r="J30" s="161"/>
      <c r="K30" s="161"/>
      <c r="L30" s="161"/>
      <c r="M30" s="161"/>
    </row>
    <row r="31" spans="1:15" ht="12.75" customHeight="1" x14ac:dyDescent="0.2">
      <c r="H31" s="161"/>
      <c r="I31" s="161"/>
      <c r="J31" s="161"/>
      <c r="K31" s="161"/>
      <c r="L31" s="161"/>
      <c r="M31" s="161"/>
    </row>
    <row r="32" spans="1:15" ht="12.75" customHeight="1" x14ac:dyDescent="0.2">
      <c r="F32" s="97"/>
      <c r="H32" s="161"/>
      <c r="I32" s="161"/>
      <c r="J32" s="161"/>
      <c r="K32" s="161"/>
      <c r="L32" s="161"/>
      <c r="M32" s="161"/>
    </row>
    <row r="33" spans="6:13" ht="12.75" customHeight="1" x14ac:dyDescent="0.2">
      <c r="F33" s="97"/>
      <c r="H33" s="161"/>
      <c r="I33" s="161"/>
      <c r="J33" s="161"/>
      <c r="K33" s="161"/>
      <c r="L33" s="161"/>
      <c r="M33" s="161"/>
    </row>
    <row r="34" spans="6:13" ht="12.75" customHeight="1" x14ac:dyDescent="0.2">
      <c r="F34" s="97"/>
      <c r="H34" s="161"/>
      <c r="I34" s="161"/>
      <c r="J34" s="161"/>
      <c r="K34" s="161"/>
      <c r="L34" s="161"/>
      <c r="M34" s="161"/>
    </row>
    <row r="35" spans="6:13" ht="12.75" customHeight="1" x14ac:dyDescent="0.2">
      <c r="F35" s="97"/>
      <c r="H35" s="161"/>
      <c r="I35" s="161"/>
      <c r="J35" s="161"/>
      <c r="K35" s="161"/>
      <c r="L35" s="161"/>
      <c r="M35" s="161"/>
    </row>
    <row r="36" spans="6:13" ht="12.75" customHeight="1" x14ac:dyDescent="0.2">
      <c r="F36" s="97"/>
      <c r="H36" s="161"/>
      <c r="I36" s="161"/>
      <c r="J36" s="161"/>
      <c r="K36" s="161"/>
      <c r="L36" s="161"/>
      <c r="M36" s="161"/>
    </row>
    <row r="37" spans="6:13" ht="12.75" customHeight="1" x14ac:dyDescent="0.2">
      <c r="F37" s="97"/>
      <c r="H37" s="161"/>
      <c r="I37" s="161"/>
      <c r="J37" s="161"/>
      <c r="K37" s="161"/>
      <c r="L37" s="161"/>
      <c r="M37" s="161"/>
    </row>
    <row r="38" spans="6:13" ht="12.75" customHeight="1" x14ac:dyDescent="0.2">
      <c r="F38" s="97"/>
      <c r="H38" s="161"/>
      <c r="I38" s="161"/>
      <c r="J38" s="161"/>
      <c r="K38" s="161"/>
      <c r="L38" s="161"/>
      <c r="M38" s="161"/>
    </row>
    <row r="39" spans="6:13" ht="13.5" customHeight="1" x14ac:dyDescent="0.2">
      <c r="F39" s="97"/>
      <c r="H39" s="161"/>
      <c r="I39" s="161"/>
      <c r="J39" s="161"/>
      <c r="K39" s="161"/>
      <c r="L39" s="161"/>
      <c r="M39" s="161"/>
    </row>
    <row r="40" spans="6:13" x14ac:dyDescent="0.2">
      <c r="F40" s="97"/>
      <c r="H40" s="161"/>
      <c r="I40" s="161"/>
      <c r="J40" s="161"/>
      <c r="K40" s="161"/>
      <c r="L40" s="161"/>
      <c r="M40" s="161"/>
    </row>
    <row r="41" spans="6:13" x14ac:dyDescent="0.2">
      <c r="F41" s="97"/>
      <c r="H41" s="161"/>
      <c r="I41" s="161"/>
      <c r="J41" s="161"/>
      <c r="K41" s="161"/>
      <c r="L41" s="161"/>
      <c r="M41" s="161"/>
    </row>
    <row r="42" spans="6:13" x14ac:dyDescent="0.2">
      <c r="F42" s="97"/>
      <c r="H42" s="161"/>
      <c r="I42" s="161"/>
      <c r="J42" s="161"/>
      <c r="K42" s="161"/>
      <c r="L42" s="161"/>
      <c r="M42" s="161"/>
    </row>
    <row r="43" spans="6:13" x14ac:dyDescent="0.2">
      <c r="H43" s="161"/>
      <c r="I43" s="161"/>
      <c r="J43" s="161"/>
      <c r="K43" s="161"/>
      <c r="L43" s="161"/>
      <c r="M43" s="161"/>
    </row>
    <row r="44" spans="6:13" x14ac:dyDescent="0.2">
      <c r="H44" s="161"/>
      <c r="I44" s="161"/>
      <c r="J44" s="161"/>
      <c r="K44" s="161"/>
      <c r="L44" s="161"/>
      <c r="M44" s="161"/>
    </row>
    <row r="45" spans="6:13" x14ac:dyDescent="0.2">
      <c r="H45" s="161"/>
      <c r="I45" s="161"/>
      <c r="J45" s="161"/>
      <c r="K45" s="161"/>
      <c r="L45" s="161"/>
      <c r="M45" s="161"/>
    </row>
    <row r="46" spans="6:13" x14ac:dyDescent="0.2">
      <c r="H46" s="161"/>
      <c r="I46" s="161"/>
      <c r="J46" s="161"/>
      <c r="K46" s="161"/>
      <c r="L46" s="161"/>
      <c r="M46" s="161"/>
    </row>
    <row r="47" spans="6:13" x14ac:dyDescent="0.2">
      <c r="H47" s="161"/>
      <c r="I47" s="161"/>
      <c r="J47" s="161"/>
      <c r="K47" s="161"/>
      <c r="L47" s="161"/>
      <c r="M47" s="161"/>
    </row>
    <row r="48" spans="6:13" x14ac:dyDescent="0.2">
      <c r="H48" s="161"/>
      <c r="I48" s="161"/>
      <c r="J48" s="161"/>
      <c r="K48" s="161"/>
      <c r="L48" s="161"/>
      <c r="M48" s="161"/>
    </row>
    <row r="49" spans="2:13" x14ac:dyDescent="0.2">
      <c r="H49" s="161"/>
      <c r="I49" s="161"/>
      <c r="J49" s="161"/>
      <c r="K49" s="161"/>
      <c r="L49" s="161"/>
      <c r="M49" s="161"/>
    </row>
    <row r="50" spans="2:13" x14ac:dyDescent="0.2">
      <c r="H50" s="161"/>
      <c r="I50" s="161"/>
      <c r="J50" s="161"/>
      <c r="K50" s="161"/>
      <c r="L50" s="161"/>
      <c r="M50" s="161"/>
    </row>
    <row r="51" spans="2:13" x14ac:dyDescent="0.2">
      <c r="H51" s="161"/>
      <c r="I51" s="161"/>
      <c r="J51" s="161"/>
      <c r="K51" s="161"/>
      <c r="L51" s="161"/>
      <c r="M51" s="161"/>
    </row>
    <row r="52" spans="2:13" x14ac:dyDescent="0.2">
      <c r="H52" s="161"/>
      <c r="I52" s="161"/>
      <c r="J52" s="161"/>
      <c r="K52" s="161"/>
      <c r="L52" s="161"/>
      <c r="M52" s="161"/>
    </row>
    <row r="53" spans="2:13" x14ac:dyDescent="0.2">
      <c r="H53" s="161"/>
      <c r="I53" s="161"/>
      <c r="J53" s="161"/>
      <c r="K53" s="161"/>
      <c r="L53" s="161"/>
      <c r="M53" s="161"/>
    </row>
    <row r="61" spans="2:13" x14ac:dyDescent="0.2">
      <c r="B61" s="105"/>
      <c r="C61" s="106"/>
      <c r="D61" s="107"/>
      <c r="E61" s="108"/>
      <c r="F61" s="161"/>
      <c r="G61" s="161"/>
    </row>
  </sheetData>
  <mergeCells count="22">
    <mergeCell ref="A1:D1"/>
    <mergeCell ref="A4:B5"/>
    <mergeCell ref="C4:D5"/>
    <mergeCell ref="E9:F9"/>
    <mergeCell ref="E10:F10"/>
    <mergeCell ref="E11:F11"/>
    <mergeCell ref="E12:F12"/>
    <mergeCell ref="E13:F13"/>
    <mergeCell ref="E14:F14"/>
    <mergeCell ref="A15:A16"/>
    <mergeCell ref="B15:B16"/>
    <mergeCell ref="C15:C16"/>
    <mergeCell ref="D15:D16"/>
    <mergeCell ref="E15:F16"/>
    <mergeCell ref="E23:F23"/>
    <mergeCell ref="E26:F26"/>
    <mergeCell ref="G15:G16"/>
    <mergeCell ref="E17:F17"/>
    <mergeCell ref="E18:F18"/>
    <mergeCell ref="E19:F20"/>
    <mergeCell ref="G19:G20"/>
    <mergeCell ref="E22:F22"/>
  </mergeCells>
  <conditionalFormatting sqref="A23:C25">
    <cfRule type="expression" dxfId="26" priority="27">
      <formula>ISNUMBER(SEARCH(TEXT(#REF!,"ddd"),#REF!))</formula>
    </cfRule>
  </conditionalFormatting>
  <conditionalFormatting sqref="A22:C25">
    <cfRule type="expression" dxfId="25" priority="26">
      <formula>ISNUMBER(SEARCH(TEXT(#REF!,"ddd"),#REF!))</formula>
    </cfRule>
  </conditionalFormatting>
  <conditionalFormatting sqref="A18">
    <cfRule type="expression" dxfId="24" priority="14">
      <formula>ISNUMBER(SEARCH(TEXT(#REF!,"ddd"),#REF!))</formula>
    </cfRule>
  </conditionalFormatting>
  <conditionalFormatting sqref="A9">
    <cfRule type="expression" dxfId="23" priority="23">
      <formula>ISNUMBER(SEARCH(TEXT(#REF!,"ddd"),#REF!))</formula>
    </cfRule>
  </conditionalFormatting>
  <conditionalFormatting sqref="D9">
    <cfRule type="expression" dxfId="22" priority="25">
      <formula>ISNUMBER(SEARCH(TEXT(#REF!,"ddd"),#REF!))</formula>
    </cfRule>
  </conditionalFormatting>
  <conditionalFormatting sqref="B9:C9">
    <cfRule type="expression" dxfId="21" priority="24">
      <formula>ISNUMBER(SEARCH(TEXT(#REF!,"ddd"),#REF!))</formula>
    </cfRule>
  </conditionalFormatting>
  <conditionalFormatting sqref="D11">
    <cfRule type="expression" dxfId="20" priority="22">
      <formula>ISNUMBER(SEARCH(TEXT(#REF!,"ddd"),#REF!))</formula>
    </cfRule>
  </conditionalFormatting>
  <conditionalFormatting sqref="B11:C11">
    <cfRule type="expression" dxfId="19" priority="21">
      <formula>ISNUMBER(SEARCH(TEXT(#REF!,"ddd"),#REF!))</formula>
    </cfRule>
  </conditionalFormatting>
  <conditionalFormatting sqref="A11">
    <cfRule type="expression" dxfId="18" priority="20">
      <formula>ISNUMBER(SEARCH(TEXT(#REF!,"ddd"),#REF!))</formula>
    </cfRule>
  </conditionalFormatting>
  <conditionalFormatting sqref="D13:D15 D17">
    <cfRule type="expression" dxfId="17" priority="19">
      <formula>ISNUMBER(SEARCH(TEXT(#REF!,"ddd"),#REF!))</formula>
    </cfRule>
  </conditionalFormatting>
  <conditionalFormatting sqref="B13:C15 B17:C17">
    <cfRule type="expression" dxfId="16" priority="18">
      <formula>ISNUMBER(SEARCH(TEXT(#REF!,"ddd"),#REF!))</formula>
    </cfRule>
  </conditionalFormatting>
  <conditionalFormatting sqref="A13:A15 A17">
    <cfRule type="expression" dxfId="15" priority="17">
      <formula>ISNUMBER(SEARCH(TEXT(#REF!,"ddd"),#REF!))</formula>
    </cfRule>
  </conditionalFormatting>
  <conditionalFormatting sqref="D18">
    <cfRule type="expression" dxfId="14" priority="16">
      <formula>ISNUMBER(SEARCH(TEXT(#REF!,"ddd"),#REF!))</formula>
    </cfRule>
  </conditionalFormatting>
  <conditionalFormatting sqref="B18:C18">
    <cfRule type="expression" dxfId="13" priority="15">
      <formula>ISNUMBER(SEARCH(TEXT(#REF!,"ddd"),#REF!))</formula>
    </cfRule>
  </conditionalFormatting>
  <conditionalFormatting sqref="A21">
    <cfRule type="expression" dxfId="12" priority="11">
      <formula>ISNUMBER(SEARCH(TEXT(#REF!,"ddd"),#REF!))</formula>
    </cfRule>
  </conditionalFormatting>
  <conditionalFormatting sqref="D21">
    <cfRule type="expression" dxfId="11" priority="13">
      <formula>ISNUMBER(SEARCH(TEXT(#REF!,"ddd"),#REF!))</formula>
    </cfRule>
  </conditionalFormatting>
  <conditionalFormatting sqref="B21:C21">
    <cfRule type="expression" dxfId="10" priority="12">
      <formula>ISNUMBER(SEARCH(TEXT(#REF!,"ddd"),#REF!))</formula>
    </cfRule>
  </conditionalFormatting>
  <conditionalFormatting sqref="A10">
    <cfRule type="expression" dxfId="9" priority="6">
      <formula>ISNUMBER(SEARCH(TEXT(#REF!,"ddd"),#REF!))</formula>
    </cfRule>
  </conditionalFormatting>
  <conditionalFormatting sqref="A19:C20">
    <cfRule type="expression" dxfId="8" priority="10">
      <formula>ISNUMBER(SEARCH(TEXT(#REF!,"ddd"),#REF!))</formula>
    </cfRule>
  </conditionalFormatting>
  <conditionalFormatting sqref="A17:C17">
    <cfRule type="expression" dxfId="7" priority="9">
      <formula>ISNUMBER(SEARCH(TEXT(#REF!,"ddd"),#REF!))</formula>
    </cfRule>
  </conditionalFormatting>
  <conditionalFormatting sqref="D10">
    <cfRule type="expression" dxfId="6" priority="8">
      <formula>ISNUMBER(SEARCH(TEXT(#REF!,"ddd"),#REF!))</formula>
    </cfRule>
  </conditionalFormatting>
  <conditionalFormatting sqref="B10:C10">
    <cfRule type="expression" dxfId="5" priority="7">
      <formula>ISNUMBER(SEARCH(TEXT(#REF!,"ddd"),#REF!))</formula>
    </cfRule>
  </conditionalFormatting>
  <conditionalFormatting sqref="D12">
    <cfRule type="expression" dxfId="4" priority="5">
      <formula>ISNUMBER(SEARCH(TEXT(#REF!,"ddd"),#REF!))</formula>
    </cfRule>
  </conditionalFormatting>
  <conditionalFormatting sqref="B12:C12">
    <cfRule type="expression" dxfId="3" priority="4">
      <formula>ISNUMBER(SEARCH(TEXT(#REF!,"ddd"),#REF!))</formula>
    </cfRule>
  </conditionalFormatting>
  <conditionalFormatting sqref="A12">
    <cfRule type="expression" dxfId="2" priority="3">
      <formula>ISNUMBER(SEARCH(TEXT(#REF!,"ddd"),#REF!))</formula>
    </cfRule>
  </conditionalFormatting>
  <conditionalFormatting sqref="A26:C26">
    <cfRule type="expression" dxfId="1" priority="2">
      <formula>ISNUMBER(SEARCH(TEXT(#REF!,"ddd"),#REF!))</formula>
    </cfRule>
  </conditionalFormatting>
  <conditionalFormatting sqref="A26:C26">
    <cfRule type="expression" dxfId="0" priority="1">
      <formula>ISNUMBER(SEARCH(TEXT(#REF!,"ddd"),#REF!))</formula>
    </cfRule>
  </conditionalFormatting>
  <pageMargins left="0.11811023622047245" right="0.11811023622047245" top="0.11811023622047245" bottom="0" header="0" footer="0"/>
  <pageSetup paperSize="9"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A6" sqref="A6"/>
    </sheetView>
  </sheetViews>
  <sheetFormatPr baseColWidth="10" defaultColWidth="9" defaultRowHeight="12.75" x14ac:dyDescent="0.2"/>
  <sheetData>
    <row r="6" spans="1:1" x14ac:dyDescent="0.2">
      <c r="A6" s="11">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x14ac:dyDescent="0.2"/>
  <cols>
    <col min="1" max="1" width="9" style="2"/>
    <col min="2" max="2" width="9.75" style="2" bestFit="1" customWidth="1"/>
    <col min="3" max="3" width="9" style="2"/>
    <col min="4" max="4" width="11.125" style="2" bestFit="1" customWidth="1"/>
    <col min="5" max="5" width="9.875" customWidth="1"/>
    <col min="6" max="6" width="9.75" customWidth="1"/>
  </cols>
  <sheetData>
    <row r="1" spans="1:5" x14ac:dyDescent="0.2">
      <c r="A1" s="4" t="s">
        <v>17</v>
      </c>
      <c r="B1" s="4" t="s">
        <v>18</v>
      </c>
      <c r="C1" s="4" t="s">
        <v>19</v>
      </c>
      <c r="D1" s="4" t="s">
        <v>20</v>
      </c>
      <c r="E1" s="4" t="s">
        <v>21</v>
      </c>
    </row>
    <row r="2" spans="1:5" x14ac:dyDescent="0.2">
      <c r="A2" s="2">
        <v>2015</v>
      </c>
      <c r="B2" s="2" t="s">
        <v>22</v>
      </c>
      <c r="C2" s="2">
        <v>1</v>
      </c>
      <c r="D2" s="3" t="s">
        <v>23</v>
      </c>
      <c r="E2" s="2" t="b">
        <v>1</v>
      </c>
    </row>
    <row r="3" spans="1:5" x14ac:dyDescent="0.2">
      <c r="A3" s="2">
        <v>2016</v>
      </c>
      <c r="B3" s="2" t="s">
        <v>24</v>
      </c>
      <c r="C3" s="2">
        <v>2</v>
      </c>
      <c r="D3" s="3" t="s">
        <v>25</v>
      </c>
    </row>
    <row r="4" spans="1:5" x14ac:dyDescent="0.2">
      <c r="A4" s="2">
        <v>2017</v>
      </c>
      <c r="B4" s="2" t="s">
        <v>26</v>
      </c>
      <c r="C4" s="2">
        <v>3</v>
      </c>
      <c r="D4" s="3" t="s">
        <v>27</v>
      </c>
    </row>
    <row r="5" spans="1:5" x14ac:dyDescent="0.2">
      <c r="A5" s="2">
        <v>2018</v>
      </c>
      <c r="B5" s="2" t="s">
        <v>28</v>
      </c>
      <c r="C5" s="2">
        <v>4</v>
      </c>
      <c r="D5" s="3" t="s">
        <v>29</v>
      </c>
    </row>
    <row r="6" spans="1:5" x14ac:dyDescent="0.2">
      <c r="A6" s="2">
        <v>2019</v>
      </c>
      <c r="B6" s="2" t="s">
        <v>30</v>
      </c>
      <c r="C6" s="2">
        <v>5</v>
      </c>
      <c r="D6" s="3" t="s">
        <v>31</v>
      </c>
    </row>
    <row r="7" spans="1:5" x14ac:dyDescent="0.2">
      <c r="A7" s="2">
        <v>2020</v>
      </c>
      <c r="B7" s="2" t="s">
        <v>32</v>
      </c>
      <c r="C7" s="2">
        <v>6</v>
      </c>
      <c r="D7" s="3" t="s">
        <v>33</v>
      </c>
    </row>
    <row r="8" spans="1:5" x14ac:dyDescent="0.2">
      <c r="A8" s="2">
        <v>2021</v>
      </c>
      <c r="B8" s="2" t="s">
        <v>34</v>
      </c>
      <c r="C8" s="2">
        <v>7</v>
      </c>
      <c r="D8" s="3" t="s">
        <v>35</v>
      </c>
    </row>
    <row r="9" spans="1:5" x14ac:dyDescent="0.2">
      <c r="A9" s="2">
        <v>2022</v>
      </c>
      <c r="B9" s="2" t="s">
        <v>36</v>
      </c>
      <c r="C9" s="2">
        <v>8</v>
      </c>
      <c r="D9" s="3" t="s">
        <v>37</v>
      </c>
    </row>
    <row r="10" spans="1:5" x14ac:dyDescent="0.2">
      <c r="A10" s="2">
        <v>2023</v>
      </c>
      <c r="B10" s="2" t="s">
        <v>38</v>
      </c>
      <c r="C10" s="2">
        <v>9</v>
      </c>
      <c r="D10" s="3" t="s">
        <v>39</v>
      </c>
    </row>
    <row r="11" spans="1:5" x14ac:dyDescent="0.2">
      <c r="A11" s="2">
        <v>2024</v>
      </c>
      <c r="B11" s="2" t="s">
        <v>40</v>
      </c>
      <c r="C11" s="2">
        <v>10</v>
      </c>
      <c r="D11" s="3" t="s">
        <v>41</v>
      </c>
    </row>
    <row r="12" spans="1:5" x14ac:dyDescent="0.2">
      <c r="A12" s="2">
        <v>2025</v>
      </c>
      <c r="B12" s="2" t="s">
        <v>42</v>
      </c>
      <c r="C12" s="2">
        <v>11</v>
      </c>
      <c r="D12" s="3" t="s">
        <v>43</v>
      </c>
    </row>
    <row r="13" spans="1:5" x14ac:dyDescent="0.2">
      <c r="B13" s="2" t="s">
        <v>44</v>
      </c>
      <c r="C13" s="2">
        <v>12</v>
      </c>
      <c r="D13" s="3" t="s">
        <v>45</v>
      </c>
    </row>
    <row r="14" spans="1:5" x14ac:dyDescent="0.2">
      <c r="C14" s="2">
        <v>13</v>
      </c>
      <c r="D14" s="3" t="s">
        <v>46</v>
      </c>
    </row>
    <row r="15" spans="1:5" x14ac:dyDescent="0.2">
      <c r="C15" s="2">
        <v>14</v>
      </c>
      <c r="D15" s="3" t="s">
        <v>47</v>
      </c>
    </row>
    <row r="16" spans="1:5" x14ac:dyDescent="0.2">
      <c r="C16" s="2">
        <v>15</v>
      </c>
      <c r="D16" s="3" t="s">
        <v>48</v>
      </c>
    </row>
    <row r="17" spans="3:4" x14ac:dyDescent="0.2">
      <c r="C17" s="2">
        <v>16</v>
      </c>
      <c r="D17" s="3"/>
    </row>
    <row r="18" spans="3:4" x14ac:dyDescent="0.2">
      <c r="C18" s="2">
        <v>17</v>
      </c>
      <c r="D18" s="3"/>
    </row>
    <row r="19" spans="3:4" x14ac:dyDescent="0.2">
      <c r="C19" s="2">
        <v>18</v>
      </c>
      <c r="D19" s="3"/>
    </row>
    <row r="20" spans="3:4" x14ac:dyDescent="0.2">
      <c r="C20" s="2">
        <v>19</v>
      </c>
    </row>
    <row r="21" spans="3:4" x14ac:dyDescent="0.2">
      <c r="C21" s="2">
        <v>20</v>
      </c>
    </row>
    <row r="22" spans="3:4" x14ac:dyDescent="0.2">
      <c r="C22" s="2">
        <v>21</v>
      </c>
    </row>
    <row r="23" spans="3:4" x14ac:dyDescent="0.2">
      <c r="C23" s="2">
        <v>22</v>
      </c>
    </row>
    <row r="24" spans="3:4" x14ac:dyDescent="0.2">
      <c r="C24" s="2">
        <v>23</v>
      </c>
    </row>
    <row r="25" spans="3:4" x14ac:dyDescent="0.2">
      <c r="C25" s="2">
        <v>24</v>
      </c>
    </row>
    <row r="26" spans="3:4" x14ac:dyDescent="0.2">
      <c r="C26" s="2">
        <v>25</v>
      </c>
    </row>
    <row r="27" spans="3:4" x14ac:dyDescent="0.2">
      <c r="C27" s="2">
        <v>26</v>
      </c>
    </row>
    <row r="28" spans="3:4" x14ac:dyDescent="0.2">
      <c r="C28" s="2">
        <v>27</v>
      </c>
    </row>
    <row r="29" spans="3:4" x14ac:dyDescent="0.2">
      <c r="C29" s="2">
        <v>28</v>
      </c>
    </row>
    <row r="30" spans="3:4" x14ac:dyDescent="0.2">
      <c r="C30" s="2">
        <v>29</v>
      </c>
    </row>
    <row r="31" spans="3:4" x14ac:dyDescent="0.2">
      <c r="C31" s="2">
        <v>30</v>
      </c>
    </row>
    <row r="32" spans="3:4" x14ac:dyDescent="0.2">
      <c r="C32" s="2">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20</vt:i4>
      </vt:variant>
    </vt:vector>
  </HeadingPairs>
  <TitlesOfParts>
    <vt:vector size="20" baseType="lpstr">
      <vt:lpstr>Først</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Sist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adrian chirita</dc:creator>
  <cp:keywords/>
  <dc:description/>
  <cp:lastModifiedBy>Anders</cp:lastModifiedBy>
  <cp:revision/>
  <cp:lastPrinted>2020-04-05T21:27:35Z</cp:lastPrinted>
  <dcterms:created xsi:type="dcterms:W3CDTF">2015-07-13T20:50:55Z</dcterms:created>
  <dcterms:modified xsi:type="dcterms:W3CDTF">2020-05-19T09:55:05Z</dcterms:modified>
  <cp:category/>
  <cp:contentStatus/>
</cp:coreProperties>
</file>
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ThinkPad\PycharmProjects\PythonTesting\Scripts\dataExtraction\Weekplans_SystemUtvikling\assets\"/>
    </mc:Choice>
  </mc:AlternateContent>
  <xr:revisionPtr revIDLastSave="0" documentId="13_ncr:1_{A244D265-3B57-402B-A1F4-257C882455CE}" xr6:coauthVersionLast="44" xr6:coauthVersionMax="45" xr10:uidLastSave="{00000000-0000-0000-0000-000000000000}"/>
  <bookViews>
    <workbookView xWindow="-120" yWindow="480" windowWidth="29040" windowHeight="17640" firstSheet="6" activeTab="16" xr2:uid="{00000000-000D-0000-FFFF-FFFF00000000}"/>
  </bookViews>
  <sheets>
    <sheet name="Først" sheetId="11" r:id="rId1"/>
    <sheet name="UkeX" sheetId="36" r:id="rId2"/>
    <sheet name="Uke3" sheetId="37" r:id="rId3"/>
    <sheet name="Uke4" sheetId="38" r:id="rId4"/>
    <sheet name="Uke5" sheetId="39" r:id="rId5"/>
    <sheet name="Uke6" sheetId="40" r:id="rId6"/>
    <sheet name="Uke7" sheetId="43" r:id="rId7"/>
    <sheet name="Uke8" sheetId="46" r:id="rId8"/>
    <sheet name="Uke9" sheetId="50" r:id="rId9"/>
    <sheet name="Uke10" sheetId="51" r:id="rId10"/>
    <sheet name="Uke11" sheetId="52" r:id="rId11"/>
    <sheet name="Uke12" sheetId="53" r:id="rId12"/>
    <sheet name="Uke13" sheetId="54" r:id="rId13"/>
    <sheet name="Uke14" sheetId="55" r:id="rId14"/>
    <sheet name="Uke15" sheetId="56" r:id="rId15"/>
    <sheet name="Uke16" sheetId="57" r:id="rId16"/>
    <sheet name="Uke17" sheetId="58" r:id="rId17"/>
    <sheet name="Uke18" sheetId="60" r:id="rId18"/>
    <sheet name="Uke19" sheetId="61" r:id="rId19"/>
    <sheet name="Uke20" sheetId="62" r:id="rId20"/>
    <sheet name="Uke21" sheetId="63" r:id="rId21"/>
    <sheet name="Sist" sheetId="12" r:id="rId22"/>
    <sheet name="Data" sheetId="2" state="hidden" r:id="rId23"/>
  </sheets>
  <functionGroups builtInGroupCount="19"/>
  <definedNames>
    <definedName name="DateCalc" localSheetId="9">Data!$C$2:INDEX(Data!$C$2:$C$32,DAY(DATE('Uke10'!#REF!,MATCH('Uke10'!#REF!,Data!$B$2:$B$13,0)+1,0)))</definedName>
    <definedName name="DateCalc" localSheetId="10">Data!$C$2:INDEX(Data!$C$2:$C$32,DAY(DATE('Uke11'!#REF!,MATCH('Uke11'!#REF!,Data!$B$2:$B$13,0)+1,0)))</definedName>
    <definedName name="DateCalc" localSheetId="11">Data!$C$2:INDEX(Data!$C$2:$C$32,DAY(DATE('Uke12'!#REF!,MATCH('Uke12'!#REF!,Data!$B$2:$B$13,0)+1,0)))</definedName>
    <definedName name="DateCalc" localSheetId="12">Data!$C$2:INDEX(Data!$C$2:$C$32,DAY(DATE('Uke13'!#REF!,MATCH('Uke13'!#REF!,Data!$B$2:$B$13,0)+1,0)))</definedName>
    <definedName name="DateCalc" localSheetId="13">Data!$C$2:INDEX(Data!$C$2:$C$32,DAY(DATE('Uke14'!#REF!,MATCH('Uke14'!#REF!,Data!$B$2:$B$13,0)+1,0)))</definedName>
    <definedName name="DateCalc" localSheetId="14">Data!$C$2:INDEX(Data!$C$2:$C$32,DAY(DATE('Uke15'!#REF!,MATCH('Uke15'!#REF!,Data!$B$2:$B$13,0)+1,0)))</definedName>
    <definedName name="DateCalc" localSheetId="15">Data!$C$2:INDEX(Data!$C$2:$C$32,DAY(DATE('Uke16'!#REF!,MATCH('Uke16'!#REF!,Data!$B$2:$B$13,0)+1,0)))</definedName>
    <definedName name="DateCalc" localSheetId="16">Data!$C$2:INDEX(Data!$C$2:$C$32,DAY(DATE('Uke17'!#REF!,MATCH('Uke17'!#REF!,Data!$B$2:$B$13,0)+1,0)))</definedName>
    <definedName name="DateCalc" localSheetId="17">Data!$C$2:INDEX(Data!$C$2:$C$32,DAY(DATE('Uke18'!#REF!,MATCH('Uke18'!#REF!,Data!$B$2:$B$13,0)+1,0)))</definedName>
    <definedName name="DateCalc" localSheetId="18">Data!$C$2:INDEX(Data!$C$2:$C$32,DAY(DATE('Uke19'!#REF!,MATCH('Uke19'!#REF!,Data!$B$2:$B$13,0)+1,0)))</definedName>
    <definedName name="DateCalc" localSheetId="19">Data!$C$2:INDEX(Data!$C$2:$C$32,DAY(DATE('Uke20'!#REF!,MATCH('Uke20'!#REF!,Data!$B$2:$B$13,0)+1,0)))</definedName>
    <definedName name="DateCalc" localSheetId="20">Data!$C$2:INDEX(Data!$C$2:$C$32,DAY(DATE('Uke21'!#REF!,MATCH('Uke21'!#REF!,Data!$B$2:$B$13,0)+1,0)))</definedName>
    <definedName name="DateCalc" localSheetId="2">Data!$C$2:INDEX(Data!$C$2:$C$32,DAY(DATE('Uke3'!#REF!,MATCH('Uke3'!#REF!,Data!$B$2:$B$13,0)+1,0)))</definedName>
    <definedName name="DateCalc" localSheetId="3">Data!$C$2:INDEX(Data!$C$2:$C$32,DAY(DATE('Uke4'!#REF!,MATCH('Uke4'!#REF!,Data!$B$2:$B$13,0)+1,0)))</definedName>
    <definedName name="DateCalc" localSheetId="4">Data!$C$2:INDEX(Data!$C$2:$C$32,DAY(DATE('Uke5'!#REF!,MATCH('Uke5'!#REF!,Data!$B$2:$B$13,0)+1,0)))</definedName>
    <definedName name="DateCalc" localSheetId="5">Data!$C$2:INDEX(Data!$C$2:$C$32,DAY(DATE('Uke6'!#REF!,MATCH('Uke6'!#REF!,Data!$B$2:$B$13,0)+1,0)))</definedName>
    <definedName name="DateCalc" localSheetId="6">Data!$C$2:INDEX(Data!$C$2:$C$32,DAY(DATE('Uke7'!#REF!,MATCH('Uke7'!#REF!,Data!$B$2:$B$13,0)+1,0)))</definedName>
    <definedName name="DateCalc" localSheetId="7">Data!$C$2:INDEX(Data!$C$2:$C$32,DAY(DATE('Uke8'!#REF!,MATCH('Uke8'!#REF!,Data!$B$2:$B$13,0)+1,0)))</definedName>
    <definedName name="DateCalc" localSheetId="8">Data!$C$2:INDEX(Data!$C$2:$C$32,DAY(DATE('Uke9'!#REF!,MATCH('Uke9'!#REF!,Data!$B$2:$B$13,0)+1,0)))</definedName>
    <definedName name="DateCalc" localSheetId="1">Data!$C$2:INDEX(Data!$C$2:$C$32,DAY(DATE(UkeX!#REF!,MATCH(UkeX!#REF!,Data!$B$2:$B$13,0)+1,0)))</definedName>
    <definedName name="DateCalc">Data!$C$2:INDEX(Data!$C$2:$C$32,DAY(DATE(#REF!,MATCH(#REF!,Data!$B$2:$B$13,0)+1,0)))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4" i="58" l="1"/>
  <c r="F4" i="62"/>
  <c r="F4" i="51"/>
  <c r="D12" i="63" l="1"/>
  <c r="F3" i="51"/>
  <c r="F3" i="43"/>
  <c r="A12" i="63" l="1"/>
  <c r="D10" i="63"/>
  <c r="A10" i="63" l="1"/>
  <c r="E1" i="63" s="1"/>
  <c r="A6" i="63"/>
  <c r="D26" i="62"/>
  <c r="A26" i="62"/>
  <c r="D24" i="62"/>
  <c r="A24" i="62"/>
  <c r="D22" i="62"/>
  <c r="A22" i="62"/>
  <c r="D20" i="62"/>
  <c r="A20" i="62"/>
  <c r="F5" i="63"/>
  <c r="F6" i="63"/>
  <c r="F3" i="63"/>
  <c r="F5" i="62"/>
  <c r="F4" i="63"/>
  <c r="F6" i="62"/>
  <c r="F3" i="62"/>
  <c r="A3" i="63" l="1"/>
  <c r="C3" i="63"/>
  <c r="F7" i="63"/>
  <c r="D18" i="62"/>
  <c r="A18" i="62"/>
  <c r="D16" i="62"/>
  <c r="A16" i="62" l="1"/>
  <c r="A14" i="62"/>
  <c r="D14" i="62"/>
  <c r="D12" i="62"/>
  <c r="D10" i="62" l="1"/>
  <c r="A10" i="62"/>
  <c r="A12" i="62"/>
  <c r="F7" i="62" l="1"/>
  <c r="C3" i="62"/>
  <c r="A6" i="62"/>
  <c r="A70" i="61"/>
  <c r="D70" i="61"/>
  <c r="C6" i="62" l="1"/>
  <c r="C6" i="63"/>
  <c r="E1" i="62"/>
  <c r="A3" i="62"/>
  <c r="D68" i="61" l="1"/>
  <c r="A68" i="61"/>
  <c r="D34" i="61"/>
  <c r="D66" i="61"/>
  <c r="A66" i="61"/>
  <c r="A62" i="61"/>
  <c r="D62" i="61"/>
  <c r="A64" i="61"/>
  <c r="D64" i="61"/>
  <c r="D50" i="61"/>
  <c r="A50" i="61"/>
  <c r="A52" i="61"/>
  <c r="D52" i="61"/>
  <c r="A54" i="61"/>
  <c r="D54" i="61"/>
  <c r="A56" i="61"/>
  <c r="D56" i="61"/>
  <c r="A58" i="61"/>
  <c r="D58" i="61"/>
  <c r="A60" i="61"/>
  <c r="D60" i="61"/>
  <c r="A34" i="61"/>
  <c r="D32" i="61"/>
  <c r="A32" i="61"/>
  <c r="A36" i="61"/>
  <c r="D36" i="61"/>
  <c r="A38" i="61"/>
  <c r="D38" i="61"/>
  <c r="A40" i="61"/>
  <c r="D40" i="61"/>
  <c r="A42" i="61"/>
  <c r="D42" i="61"/>
  <c r="A44" i="61"/>
  <c r="D44" i="61"/>
  <c r="A46" i="61"/>
  <c r="D46" i="61"/>
  <c r="A48" i="61"/>
  <c r="D48" i="61"/>
  <c r="D28" i="61"/>
  <c r="A28" i="61"/>
  <c r="D26" i="61"/>
  <c r="A26" i="61"/>
  <c r="A30" i="61"/>
  <c r="D30" i="61"/>
  <c r="F3" i="61"/>
  <c r="F6" i="61"/>
  <c r="D24" i="61" l="1"/>
  <c r="A24" i="61"/>
  <c r="D22" i="61"/>
  <c r="A22" i="61"/>
  <c r="D20" i="61"/>
  <c r="A20" i="61"/>
  <c r="D18" i="61"/>
  <c r="D16" i="61"/>
  <c r="A18" i="61"/>
  <c r="A16" i="61"/>
  <c r="D14" i="61"/>
  <c r="A14" i="61"/>
  <c r="D12" i="61"/>
  <c r="A12" i="61"/>
  <c r="F4" i="61"/>
  <c r="A10" i="61" l="1"/>
  <c r="C3" i="61" s="1"/>
  <c r="D48" i="60"/>
  <c r="A48" i="60"/>
  <c r="D10" i="61"/>
  <c r="E1" i="61"/>
  <c r="D46" i="60"/>
  <c r="A46" i="60"/>
  <c r="D44" i="60"/>
  <c r="A44" i="60"/>
  <c r="D42" i="60"/>
  <c r="A42" i="60"/>
  <c r="D40" i="60"/>
  <c r="A40" i="60"/>
  <c r="D38" i="60"/>
  <c r="A38" i="60"/>
  <c r="A36" i="60"/>
  <c r="D36" i="60"/>
  <c r="D34" i="60"/>
  <c r="D32" i="60"/>
  <c r="A34" i="60"/>
  <c r="A32" i="60"/>
  <c r="D30" i="60"/>
  <c r="D28" i="60"/>
  <c r="A30" i="60"/>
  <c r="A28" i="60"/>
  <c r="D26" i="60"/>
  <c r="D24" i="60"/>
  <c r="A26" i="60"/>
  <c r="A24" i="60"/>
  <c r="D22" i="60"/>
  <c r="A22" i="60"/>
  <c r="D20" i="60"/>
  <c r="A20" i="60"/>
  <c r="D16" i="60"/>
  <c r="D14" i="60"/>
  <c r="D12" i="60"/>
  <c r="D18" i="60"/>
  <c r="A18" i="60"/>
  <c r="A16" i="60"/>
  <c r="A14" i="60"/>
  <c r="A12" i="60"/>
  <c r="F6" i="60"/>
  <c r="F4" i="60"/>
  <c r="F5" i="61"/>
  <c r="F5" i="60"/>
  <c r="F3" i="60"/>
  <c r="A6" i="61" l="1"/>
  <c r="A3" i="61"/>
  <c r="F7" i="61"/>
  <c r="A10" i="60"/>
  <c r="C3" i="60" s="1"/>
  <c r="D10" i="60"/>
  <c r="E1" i="60"/>
  <c r="D82" i="58"/>
  <c r="A82" i="58"/>
  <c r="D80" i="58"/>
  <c r="A80" i="58"/>
  <c r="A78" i="58"/>
  <c r="D78" i="58"/>
  <c r="A76" i="58"/>
  <c r="A74" i="58"/>
  <c r="D74" i="58"/>
  <c r="D76" i="58"/>
  <c r="A72" i="58"/>
  <c r="D72" i="58"/>
  <c r="A70" i="58"/>
  <c r="A68" i="58"/>
  <c r="D70" i="58"/>
  <c r="D68" i="58"/>
  <c r="D66" i="58"/>
  <c r="F3" i="58"/>
  <c r="F5" i="58"/>
  <c r="F6" i="58"/>
  <c r="A6" i="60" l="1"/>
  <c r="A3" i="60"/>
  <c r="F7" i="60"/>
  <c r="D64" i="58"/>
  <c r="A66" i="58"/>
  <c r="C6" i="60" l="1"/>
  <c r="C6" i="61"/>
  <c r="A64" i="58"/>
  <c r="D62" i="58"/>
  <c r="D60" i="58" l="1"/>
  <c r="A62" i="58"/>
  <c r="A60" i="58"/>
  <c r="D58" i="58"/>
  <c r="A58" i="58"/>
  <c r="D56" i="58"/>
  <c r="A56" i="58"/>
  <c r="D54" i="58"/>
  <c r="A54" i="58"/>
  <c r="D52" i="58"/>
  <c r="A52" i="58"/>
  <c r="D50" i="58"/>
  <c r="A50" i="58"/>
  <c r="D48" i="58" l="1"/>
  <c r="A48" i="58"/>
  <c r="D46" i="58"/>
  <c r="A46" i="58"/>
  <c r="D44" i="58"/>
  <c r="A44" i="58"/>
  <c r="D42" i="58" l="1"/>
  <c r="A42" i="58"/>
  <c r="D40" i="58"/>
  <c r="A40" i="58" l="1"/>
  <c r="D36" i="58"/>
  <c r="D38" i="58"/>
  <c r="A38" i="58"/>
  <c r="D34" i="58" l="1"/>
  <c r="A36" i="58"/>
  <c r="D30" i="58" l="1"/>
  <c r="A34" i="58"/>
  <c r="A32" i="58"/>
  <c r="D32" i="58"/>
  <c r="A30" i="58" l="1"/>
  <c r="A28" i="58" l="1"/>
  <c r="D28" i="58"/>
  <c r="D26" i="58"/>
  <c r="A26" i="58"/>
  <c r="D24" i="58" l="1"/>
  <c r="A24" i="58"/>
  <c r="D22" i="58"/>
  <c r="A22" i="58"/>
  <c r="D20" i="58" l="1"/>
  <c r="A20" i="58" l="1"/>
  <c r="D18" i="58"/>
  <c r="A18" i="58"/>
  <c r="D16" i="58" l="1"/>
  <c r="A16" i="58"/>
  <c r="D14" i="58" l="1"/>
  <c r="A14" i="58"/>
  <c r="A12" i="58" l="1"/>
  <c r="D12" i="58"/>
  <c r="D10" i="58"/>
  <c r="D56" i="57" l="1"/>
  <c r="A56" i="57"/>
  <c r="D54" i="57"/>
  <c r="F3" i="57"/>
  <c r="F4" i="57"/>
  <c r="F5" i="57"/>
  <c r="F6" i="57"/>
  <c r="A54" i="57" l="1"/>
  <c r="D52" i="57"/>
  <c r="A52" i="57" l="1"/>
  <c r="D48" i="57" l="1"/>
  <c r="D50" i="57"/>
  <c r="A50" i="57"/>
  <c r="A48" i="57" l="1"/>
  <c r="D46" i="57" l="1"/>
  <c r="A46" i="57"/>
  <c r="D44" i="57"/>
  <c r="A44" i="57" l="1"/>
  <c r="D42" i="57" l="1"/>
  <c r="A42" i="57"/>
  <c r="D40" i="57"/>
  <c r="A40" i="57"/>
  <c r="D38" i="57"/>
  <c r="A10" i="58"/>
  <c r="E1" i="58" s="1"/>
  <c r="A6" i="58"/>
  <c r="F7" i="58" l="1"/>
  <c r="C3" i="58"/>
  <c r="A3" i="58"/>
  <c r="A38" i="57" l="1"/>
  <c r="D36" i="57"/>
  <c r="A36" i="57" l="1"/>
  <c r="D34" i="57"/>
  <c r="A34" i="57"/>
  <c r="D32" i="57"/>
  <c r="A32" i="57"/>
  <c r="D30" i="57"/>
  <c r="A30" i="57"/>
  <c r="D28" i="57"/>
  <c r="A28" i="57"/>
  <c r="D26" i="57"/>
  <c r="A26" i="57"/>
  <c r="D24" i="57"/>
  <c r="A24" i="57"/>
  <c r="A22" i="57"/>
  <c r="D22" i="57"/>
  <c r="A20" i="57" l="1"/>
  <c r="D20" i="57"/>
  <c r="A18" i="57"/>
  <c r="D18" i="57"/>
  <c r="D16" i="57"/>
  <c r="A16" i="57"/>
  <c r="D14" i="57" l="1"/>
  <c r="A14" i="57"/>
  <c r="D12" i="57"/>
  <c r="D10" i="57"/>
  <c r="A12" i="57"/>
  <c r="F7" i="57" l="1"/>
  <c r="A24" i="56"/>
  <c r="A10" i="57"/>
  <c r="E1" i="57" s="1"/>
  <c r="D24" i="56"/>
  <c r="D22" i="56"/>
  <c r="F3" i="56"/>
  <c r="F6" i="56"/>
  <c r="A6" i="57" l="1"/>
  <c r="C6" i="58" s="1"/>
  <c r="A3" i="57"/>
  <c r="C3" i="57"/>
  <c r="A22" i="56"/>
  <c r="D20" i="56"/>
  <c r="A20" i="56"/>
  <c r="D18" i="56"/>
  <c r="A18" i="56"/>
  <c r="A16" i="56"/>
  <c r="D16" i="56"/>
  <c r="D14" i="56" l="1"/>
  <c r="A14" i="56"/>
  <c r="F4" i="56"/>
  <c r="D12" i="56" l="1"/>
  <c r="D10" i="56"/>
  <c r="A12" i="56"/>
  <c r="F5" i="56"/>
  <c r="D54" i="55" l="1"/>
  <c r="A54" i="55"/>
  <c r="A44" i="55"/>
  <c r="A10" i="56"/>
  <c r="A3" i="56" s="1"/>
  <c r="A6" i="56"/>
  <c r="C6" i="57" s="1"/>
  <c r="F3" i="55"/>
  <c r="F6" i="55"/>
  <c r="F5" i="55"/>
  <c r="F4" i="55"/>
  <c r="C3" i="56" l="1"/>
  <c r="E1" i="56"/>
  <c r="D52" i="55"/>
  <c r="D50" i="55"/>
  <c r="A52" i="55"/>
  <c r="D48" i="55" l="1"/>
  <c r="A50" i="55"/>
  <c r="A48" i="55"/>
  <c r="D46" i="55"/>
  <c r="A46" i="55"/>
  <c r="D44" i="55" l="1"/>
  <c r="D42" i="55" l="1"/>
  <c r="A42" i="55"/>
  <c r="D40" i="55" l="1"/>
  <c r="A40" i="55"/>
  <c r="D38" i="55"/>
  <c r="A38" i="55"/>
  <c r="D36" i="55" l="1"/>
  <c r="A36" i="55"/>
  <c r="D34" i="55"/>
  <c r="A34" i="55"/>
  <c r="D32" i="55"/>
  <c r="D30" i="55"/>
  <c r="A32" i="55"/>
  <c r="A30" i="55"/>
  <c r="D28" i="55"/>
  <c r="A28" i="55"/>
  <c r="D26" i="55"/>
  <c r="D24" i="55" l="1"/>
  <c r="A26" i="55"/>
  <c r="A24" i="55" l="1"/>
  <c r="A22" i="55" l="1"/>
  <c r="D22" i="55"/>
  <c r="D20" i="55"/>
  <c r="A20" i="55"/>
  <c r="D18" i="55"/>
  <c r="A18" i="55"/>
  <c r="D14" i="55"/>
  <c r="D16" i="55"/>
  <c r="A16" i="55"/>
  <c r="A14" i="55"/>
  <c r="D12" i="55" l="1"/>
  <c r="A12" i="55" l="1"/>
  <c r="A10" i="55" l="1"/>
  <c r="C3" i="55" s="1"/>
  <c r="D10" i="55"/>
  <c r="E1" i="55" l="1"/>
  <c r="A6" i="55"/>
  <c r="C6" i="56" s="1"/>
  <c r="A3" i="55"/>
  <c r="D40" i="54"/>
  <c r="A40" i="54"/>
  <c r="F4" i="54"/>
  <c r="F6" i="54"/>
  <c r="F3" i="54"/>
  <c r="F5" i="54"/>
  <c r="D38" i="54" l="1"/>
  <c r="D36" i="54"/>
  <c r="D34" i="54"/>
  <c r="A38" i="54" l="1"/>
  <c r="A36" i="54"/>
  <c r="A34" i="54"/>
  <c r="A32" i="54" l="1"/>
  <c r="D32" i="54"/>
  <c r="D30" i="54" l="1"/>
  <c r="A30" i="54"/>
  <c r="A28" i="54"/>
  <c r="A26" i="54"/>
  <c r="D22" i="54" l="1"/>
  <c r="D28" i="54"/>
  <c r="D26" i="54"/>
  <c r="D24" i="54" l="1"/>
  <c r="A24" i="54"/>
  <c r="A22" i="54"/>
  <c r="D20" i="54" l="1"/>
  <c r="A20" i="54"/>
  <c r="D18" i="54" l="1"/>
  <c r="D16" i="54"/>
  <c r="A18" i="54"/>
  <c r="A16" i="54" l="1"/>
  <c r="D14" i="54" l="1"/>
  <c r="A14" i="54"/>
  <c r="A12" i="54" l="1"/>
  <c r="D12" i="54"/>
  <c r="D10" i="54"/>
  <c r="I36" i="53" l="1"/>
  <c r="A18" i="53" l="1"/>
  <c r="A16" i="53"/>
  <c r="A14" i="53"/>
  <c r="D24" i="53"/>
  <c r="F6" i="53"/>
  <c r="F3" i="53"/>
  <c r="A24" i="53" l="1"/>
  <c r="A22" i="53"/>
  <c r="A20" i="53"/>
  <c r="D22" i="53" l="1"/>
  <c r="D20" i="53"/>
  <c r="D18" i="53"/>
  <c r="A10" i="54" l="1"/>
  <c r="E1" i="54" s="1"/>
  <c r="A6" i="54"/>
  <c r="C6" i="55" s="1"/>
  <c r="C3" i="54"/>
  <c r="A3" i="54" l="1"/>
  <c r="D16" i="53"/>
  <c r="D14" i="53"/>
  <c r="F4" i="53"/>
  <c r="D12" i="53" l="1"/>
  <c r="A12" i="53"/>
  <c r="D10" i="53"/>
  <c r="F5" i="53"/>
  <c r="A40" i="52" l="1"/>
  <c r="D46" i="52"/>
  <c r="A46" i="52"/>
  <c r="D44" i="52"/>
  <c r="A44" i="52"/>
  <c r="F3" i="52"/>
  <c r="F6" i="52"/>
  <c r="F5" i="52"/>
  <c r="F4" i="52"/>
  <c r="D42" i="52" l="1"/>
  <c r="A42" i="52"/>
  <c r="A10" i="53" l="1"/>
  <c r="C3" i="53" s="1"/>
  <c r="A6" i="53"/>
  <c r="C6" i="54" s="1"/>
  <c r="D40" i="52"/>
  <c r="D38" i="52"/>
  <c r="E1" i="53" l="1"/>
  <c r="A3" i="53"/>
  <c r="A38" i="52"/>
  <c r="A36" i="52" l="1"/>
  <c r="D36" i="52"/>
  <c r="D34" i="52" l="1"/>
  <c r="D32" i="52"/>
  <c r="D30" i="52" l="1"/>
  <c r="A30" i="52" l="1"/>
  <c r="A28" i="52" l="1"/>
  <c r="D14" i="52"/>
  <c r="A14" i="52"/>
  <c r="D28" i="52"/>
  <c r="D26" i="52"/>
  <c r="A26" i="52"/>
  <c r="D24" i="52"/>
  <c r="A24" i="52"/>
  <c r="D22" i="52"/>
  <c r="A22" i="52"/>
  <c r="D20" i="52"/>
  <c r="A20" i="52"/>
  <c r="D18" i="52"/>
  <c r="A18" i="52"/>
  <c r="A16" i="52" l="1"/>
  <c r="A12" i="52"/>
  <c r="D16" i="52"/>
  <c r="D12" i="52" l="1"/>
  <c r="D10" i="52" l="1"/>
  <c r="D14" i="51" l="1"/>
  <c r="D26" i="51"/>
  <c r="F6" i="51"/>
  <c r="F5" i="51"/>
  <c r="A10" i="52" l="1"/>
  <c r="C3" i="52" s="1"/>
  <c r="A6" i="52"/>
  <c r="C6" i="53" s="1"/>
  <c r="E1" i="52" l="1"/>
  <c r="A3" i="52"/>
  <c r="A26" i="51"/>
  <c r="D24" i="51" l="1"/>
  <c r="A24" i="51"/>
  <c r="D22" i="51"/>
  <c r="A22" i="51"/>
  <c r="D20" i="51" l="1"/>
  <c r="A20" i="51"/>
  <c r="A18" i="51" l="1"/>
  <c r="D18" i="51"/>
  <c r="D16" i="51" l="1"/>
  <c r="A16" i="51"/>
  <c r="A14" i="51" l="1"/>
  <c r="D12" i="51" l="1"/>
  <c r="A12" i="51" l="1"/>
  <c r="A10" i="51" l="1"/>
  <c r="C3" i="51"/>
  <c r="D10" i="51"/>
  <c r="A6" i="51"/>
  <c r="E1" i="51"/>
  <c r="A3" i="51" l="1"/>
  <c r="D42" i="50"/>
  <c r="A42" i="50"/>
  <c r="F4" i="50"/>
  <c r="F3" i="50"/>
  <c r="F6" i="50"/>
  <c r="F5" i="50"/>
  <c r="D40" i="50" l="1"/>
  <c r="A40" i="50"/>
  <c r="D38" i="50" l="1"/>
  <c r="A38" i="50"/>
  <c r="D36" i="50"/>
  <c r="D34" i="50"/>
  <c r="A36" i="50"/>
  <c r="A34" i="50" l="1"/>
  <c r="D32" i="50"/>
  <c r="A32" i="50"/>
  <c r="D30" i="50"/>
  <c r="A30" i="50"/>
  <c r="D28" i="50"/>
  <c r="D26" i="50"/>
  <c r="A28" i="50" l="1"/>
  <c r="A26" i="50" l="1"/>
  <c r="D24" i="50" l="1"/>
  <c r="A24" i="50"/>
  <c r="D22" i="50" l="1"/>
  <c r="A22" i="50"/>
  <c r="D20" i="50"/>
  <c r="A20" i="50"/>
  <c r="A18" i="50" l="1"/>
  <c r="D18" i="50"/>
  <c r="D16" i="50" l="1"/>
  <c r="D14" i="50"/>
  <c r="D12" i="50"/>
  <c r="A16" i="50"/>
  <c r="A14" i="50"/>
  <c r="A12" i="50"/>
  <c r="A10" i="50"/>
  <c r="D10" i="50" l="1"/>
  <c r="C3" i="50" l="1"/>
  <c r="A6" i="50"/>
  <c r="E1" i="50" l="1"/>
  <c r="A3" i="50"/>
  <c r="A34" i="46"/>
  <c r="A36" i="46"/>
  <c r="D36" i="46"/>
  <c r="F4" i="46"/>
  <c r="F5" i="46"/>
  <c r="F6" i="43"/>
  <c r="F4" i="43"/>
  <c r="F3" i="46"/>
  <c r="F6" i="46"/>
  <c r="F5" i="43"/>
  <c r="A32" i="46" l="1"/>
  <c r="D34" i="46"/>
  <c r="D32" i="46"/>
  <c r="D30" i="46" l="1"/>
  <c r="A30" i="46"/>
  <c r="D28" i="46"/>
  <c r="A28" i="46"/>
  <c r="D26" i="46"/>
  <c r="A26" i="46"/>
  <c r="D24" i="46"/>
  <c r="A24" i="46"/>
  <c r="D22" i="46"/>
  <c r="A22" i="46"/>
  <c r="D20" i="46"/>
  <c r="A20" i="46"/>
  <c r="D18" i="46"/>
  <c r="A18" i="46"/>
  <c r="A16" i="46"/>
  <c r="D16" i="46"/>
  <c r="A14" i="46"/>
  <c r="D14" i="46"/>
  <c r="D12" i="46" l="1"/>
  <c r="A12" i="46"/>
  <c r="D10" i="46"/>
  <c r="A10" i="46"/>
  <c r="C3" i="46" s="1"/>
  <c r="E1" i="46" l="1"/>
  <c r="A6" i="46"/>
  <c r="A3" i="46"/>
  <c r="A40" i="43"/>
  <c r="D40" i="43"/>
  <c r="D38" i="43"/>
  <c r="A38" i="43"/>
  <c r="D36" i="43"/>
  <c r="A36" i="43"/>
  <c r="A34" i="43"/>
  <c r="D34" i="43"/>
  <c r="D10" i="43"/>
  <c r="D12" i="43"/>
  <c r="D14" i="43"/>
  <c r="D16" i="43"/>
  <c r="D18" i="43"/>
  <c r="D20" i="43"/>
  <c r="D22" i="43"/>
  <c r="D24" i="43"/>
  <c r="D26" i="43"/>
  <c r="D28" i="43"/>
  <c r="D30" i="43"/>
  <c r="D32" i="43"/>
  <c r="A32" i="43"/>
  <c r="A30" i="43"/>
  <c r="A28" i="43"/>
  <c r="A26" i="43"/>
  <c r="A24" i="43"/>
  <c r="A22" i="43"/>
  <c r="A20" i="43"/>
  <c r="A18" i="43"/>
  <c r="A16" i="43"/>
  <c r="A14" i="43"/>
  <c r="A10" i="43"/>
  <c r="A3" i="43" s="1"/>
  <c r="C3" i="43" l="1"/>
  <c r="A6" i="43"/>
  <c r="E1" i="43"/>
  <c r="A13" i="40" l="1"/>
  <c r="C3" i="40" s="1"/>
  <c r="A12" i="40"/>
  <c r="A11" i="40"/>
  <c r="A10" i="40"/>
  <c r="A3" i="40"/>
  <c r="E1" i="40"/>
  <c r="D19" i="40"/>
  <c r="D18" i="40"/>
  <c r="D17" i="40"/>
  <c r="D16" i="40"/>
  <c r="D15" i="40"/>
  <c r="D14" i="40"/>
  <c r="D13" i="40"/>
  <c r="D12" i="40"/>
  <c r="D11" i="40"/>
  <c r="D10" i="40"/>
  <c r="A13" i="39"/>
  <c r="C3" i="39" s="1"/>
  <c r="A12" i="39"/>
  <c r="A11" i="39"/>
  <c r="A10" i="39"/>
  <c r="E1" i="39" s="1"/>
  <c r="D19" i="39"/>
  <c r="D18" i="39"/>
  <c r="D17" i="39"/>
  <c r="D16" i="39"/>
  <c r="D15" i="39"/>
  <c r="D14" i="39"/>
  <c r="D13" i="39"/>
  <c r="D12" i="39"/>
  <c r="D11" i="39"/>
  <c r="D10" i="39"/>
  <c r="A3" i="39"/>
  <c r="A12" i="38"/>
  <c r="C3" i="38" s="1"/>
  <c r="A11" i="38"/>
  <c r="A10" i="38"/>
  <c r="A3" i="38"/>
  <c r="D10" i="38"/>
  <c r="D11" i="38"/>
  <c r="D12" i="38"/>
  <c r="D13" i="38"/>
  <c r="D14" i="38"/>
  <c r="D15" i="38"/>
  <c r="D19" i="38"/>
  <c r="D18" i="38"/>
  <c r="D17" i="38"/>
  <c r="D16" i="38"/>
  <c r="E1" i="38"/>
  <c r="D10" i="37"/>
  <c r="A15" i="37"/>
  <c r="C3" i="37" s="1"/>
  <c r="A14" i="37"/>
  <c r="A13" i="37"/>
  <c r="A12" i="37"/>
  <c r="A11" i="37"/>
  <c r="D19" i="37"/>
  <c r="D11" i="37"/>
  <c r="D17" i="37"/>
  <c r="D18" i="37"/>
  <c r="D13" i="37"/>
  <c r="D14" i="37"/>
  <c r="D15" i="37"/>
  <c r="D16" i="37"/>
  <c r="D12" i="37"/>
  <c r="A10" i="37"/>
  <c r="A3" i="37" s="1"/>
  <c r="E1" i="36"/>
  <c r="F4" i="37"/>
  <c r="F6" i="37"/>
  <c r="F3" i="40"/>
  <c r="F6" i="39"/>
  <c r="F6" i="38"/>
  <c r="F5" i="38"/>
  <c r="F3" i="38"/>
  <c r="F4" i="38"/>
  <c r="F3" i="39"/>
  <c r="F5" i="39"/>
  <c r="F5" i="40"/>
  <c r="F4" i="40"/>
  <c r="F5" i="37"/>
  <c r="F3" i="37"/>
  <c r="F4" i="39"/>
  <c r="F6" i="40"/>
  <c r="A6" i="40" l="1"/>
  <c r="A6" i="39"/>
  <c r="A6" i="38"/>
  <c r="A6" i="37"/>
  <c r="E1" i="37"/>
  <c r="D18" i="36" l="1"/>
  <c r="D16" i="36"/>
  <c r="D14" i="36"/>
  <c r="D12" i="36"/>
  <c r="D10" i="36" l="1"/>
  <c r="C3" i="36"/>
  <c r="A3" i="36"/>
  <c r="F6" i="36"/>
  <c r="F3" i="36"/>
  <c r="F5" i="36"/>
  <c r="F4" i="36"/>
  <c r="G4" i="63" l="1"/>
  <c r="G5" i="63"/>
  <c r="G3" i="63"/>
  <c r="G6" i="63"/>
  <c r="G4" i="62"/>
  <c r="G5" i="62"/>
  <c r="G3" i="62"/>
  <c r="G6" i="62"/>
  <c r="G4" i="61"/>
  <c r="G5" i="61"/>
  <c r="G3" i="61"/>
  <c r="G6" i="61"/>
  <c r="G4" i="60"/>
  <c r="G5" i="60"/>
  <c r="G3" i="60"/>
  <c r="G6" i="60"/>
  <c r="G3" i="58"/>
  <c r="G4" i="58"/>
  <c r="G5" i="58"/>
  <c r="G6" i="58"/>
  <c r="G4" i="57"/>
  <c r="G3" i="57"/>
  <c r="G5" i="57"/>
  <c r="G6" i="57"/>
  <c r="G4" i="56"/>
  <c r="G3" i="56"/>
  <c r="G5" i="56"/>
  <c r="G6" i="56"/>
  <c r="G5" i="55"/>
  <c r="G6" i="55"/>
  <c r="G4" i="55"/>
  <c r="G3" i="55"/>
  <c r="G5" i="54"/>
  <c r="G6" i="54"/>
  <c r="G3" i="54"/>
  <c r="G4" i="54"/>
  <c r="G5" i="53"/>
  <c r="G6" i="53"/>
  <c r="G4" i="53"/>
  <c r="G3" i="53"/>
  <c r="G3" i="52"/>
  <c r="G4" i="52"/>
  <c r="G6" i="52"/>
  <c r="G5" i="52"/>
  <c r="G6" i="51"/>
  <c r="G5" i="51"/>
  <c r="G4" i="51"/>
  <c r="G3" i="51"/>
  <c r="G3" i="40"/>
  <c r="G3" i="37"/>
  <c r="G4" i="50"/>
  <c r="G5" i="50"/>
  <c r="G3" i="50"/>
  <c r="G6" i="50"/>
  <c r="G3" i="46"/>
  <c r="G5" i="46"/>
  <c r="G4" i="46"/>
  <c r="G6" i="46"/>
  <c r="G6" i="43"/>
  <c r="G5" i="43"/>
  <c r="G3" i="43"/>
  <c r="G4" i="43"/>
  <c r="G5" i="40"/>
  <c r="G6" i="40"/>
  <c r="G4" i="40"/>
  <c r="G5" i="39"/>
  <c r="G3" i="39"/>
  <c r="G6" i="39"/>
  <c r="G4" i="39"/>
  <c r="G5" i="38"/>
  <c r="G3" i="38"/>
  <c r="G6" i="38"/>
  <c r="G4" i="38"/>
  <c r="G5" i="37"/>
  <c r="G6" i="37"/>
  <c r="G4" i="37"/>
  <c r="A6" i="36"/>
  <c r="G5" i="36"/>
  <c r="G3" i="36"/>
  <c r="C6" i="51" l="1"/>
  <c r="C6" i="52"/>
  <c r="C6" i="46"/>
  <c r="C6" i="50"/>
  <c r="C6" i="43"/>
  <c r="C6" i="36"/>
  <c r="C6" i="40"/>
  <c r="C6" i="39"/>
  <c r="C6" i="38"/>
  <c r="C6" i="37"/>
  <c r="G4" i="36"/>
  <c r="G6"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Anders Rubach Ese</author>
  </authors>
  <commentList>
    <comment ref="C34" authorId="0" shapeId="0" xr:uid="{8C16D8C5-2E58-4E79-A476-A3A1B056C398}">
      <text>
        <r>
          <rPr>
            <b/>
            <sz val="9"/>
            <color indexed="81"/>
            <rFont val="Tahoma"/>
            <family val="2"/>
          </rPr>
          <t>Anders Rubach Ese:</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Anders Rubach Ese</author>
  </authors>
  <commentList>
    <comment ref="C30" authorId="0" shapeId="0" xr:uid="{938EB815-B3BE-4241-ACBC-E73E19B79423}">
      <text>
        <r>
          <rPr>
            <b/>
            <sz val="9"/>
            <color indexed="81"/>
            <rFont val="Tahoma"/>
            <family val="2"/>
          </rPr>
          <t>Anders Rubach Ese:</t>
        </r>
        <r>
          <rPr>
            <sz val="9"/>
            <color indexed="81"/>
            <rFont val="Tahoma"/>
            <family val="2"/>
          </rPr>
          <t xml:space="preserve">
</t>
        </r>
      </text>
    </comment>
    <comment ref="C34" authorId="0" shapeId="0" xr:uid="{1A82CAF0-D817-4A0B-9E61-C3243A1EDCBC}">
      <text>
        <r>
          <rPr>
            <b/>
            <sz val="9"/>
            <color indexed="81"/>
            <rFont val="Tahoma"/>
            <family val="2"/>
          </rPr>
          <t>Anders Rubach Ese:</t>
        </r>
        <r>
          <rPr>
            <sz val="9"/>
            <color indexed="81"/>
            <rFont val="Tahoma"/>
            <family val="2"/>
          </rPr>
          <t xml:space="preserve">
</t>
        </r>
      </text>
    </comment>
  </commentList>
</comments>
</file>

<file path=xl/sharedStrings.xml><?xml version="1.0" encoding="utf-8"?>
<sst xmlns="http://schemas.openxmlformats.org/spreadsheetml/2006/main" count="887" uniqueCount="282">
  <si>
    <t>Timeliste   -   Navn  -   Uke</t>
  </si>
  <si>
    <t>Fra dato</t>
  </si>
  <si>
    <t>Til dato</t>
  </si>
  <si>
    <t>Kategorier</t>
  </si>
  <si>
    <t>Timer denne uken</t>
  </si>
  <si>
    <t>Timer brukt totalt</t>
  </si>
  <si>
    <t>Teori</t>
  </si>
  <si>
    <t>Totalt tid brukt denne 
uken:</t>
  </si>
  <si>
    <t>Totalt antall tid brukt på 
prosjektet:</t>
  </si>
  <si>
    <t>Utvikling</t>
  </si>
  <si>
    <t>Administrativt</t>
  </si>
  <si>
    <t>Logg/Oppgaver</t>
  </si>
  <si>
    <t>Dato</t>
  </si>
  <si>
    <t>Start</t>
  </si>
  <si>
    <t>Stopp</t>
  </si>
  <si>
    <t>Timer</t>
  </si>
  <si>
    <t>Kategori/notat</t>
  </si>
  <si>
    <t>Backlog item#</t>
  </si>
  <si>
    <t>Oppsummering</t>
  </si>
  <si>
    <t>Timeliste  -  Anders Rubach Ese  -  Uke</t>
  </si>
  <si>
    <t>Timeliste Anders Rubach Ese Uke</t>
  </si>
  <si>
    <t>teori:</t>
  </si>
  <si>
    <t>189 - 215 - 238</t>
  </si>
  <si>
    <t>Totalt tid 
brukt denne uken:</t>
  </si>
  <si>
    <t>Totalt antall tid brukt:</t>
  </si>
  <si>
    <t>Utvikling:</t>
  </si>
  <si>
    <t>255 - 230 - 153</t>
  </si>
  <si>
    <t>Administrativt:</t>
  </si>
  <si>
    <t>255 - 87 - 87</t>
  </si>
  <si>
    <r>
      <rPr>
        <b/>
        <sz val="12"/>
        <color theme="1"/>
        <rFont val="Calibri"/>
        <family val="2"/>
        <scheme val="minor"/>
      </rPr>
      <t>Administrativt:</t>
    </r>
    <r>
      <rPr>
        <sz val="12"/>
        <color theme="1"/>
        <rFont val="Calibri"/>
        <family val="2"/>
        <scheme val="minor"/>
      </rPr>
      <t xml:space="preserve"> Scrum-meeting, status, forprosjektet, delegering av oppgaver</t>
    </r>
  </si>
  <si>
    <t>Logg/oppgaver:</t>
  </si>
  <si>
    <r>
      <rPr>
        <b/>
        <sz val="12"/>
        <color theme="1"/>
        <rFont val="Calibri"/>
        <family val="2"/>
        <scheme val="minor"/>
      </rPr>
      <t>Teori:</t>
    </r>
    <r>
      <rPr>
        <sz val="12"/>
        <color theme="1"/>
        <rFont val="Calibri"/>
        <family val="2"/>
        <scheme val="minor"/>
      </rPr>
      <t xml:space="preserve"> Så gjennom database-faget ITE1805 jeg tidligere har hatt</t>
    </r>
  </si>
  <si>
    <t>198 - 224 - 180</t>
  </si>
  <si>
    <r>
      <rPr>
        <b/>
        <sz val="12"/>
        <color theme="1"/>
        <rFont val="Calibri"/>
        <family val="2"/>
        <scheme val="minor"/>
      </rPr>
      <t>Administrativt:</t>
    </r>
    <r>
      <rPr>
        <sz val="12"/>
        <color theme="1"/>
        <rFont val="Calibri"/>
        <family val="2"/>
        <scheme val="minor"/>
      </rPr>
      <t xml:space="preserve"> Scrum-meeting, status</t>
    </r>
  </si>
  <si>
    <r>
      <rPr>
        <b/>
        <sz val="12"/>
        <color theme="1"/>
        <rFont val="Calibri"/>
        <family val="2"/>
        <scheme val="minor"/>
      </rPr>
      <t>Utvikling:</t>
    </r>
    <r>
      <rPr>
        <sz val="12"/>
        <color theme="1"/>
        <rFont val="Calibri"/>
        <family val="2"/>
        <scheme val="minor"/>
      </rPr>
      <t xml:space="preserve"> Jobbet med databasen</t>
    </r>
  </si>
  <si>
    <r>
      <rPr>
        <b/>
        <sz val="12"/>
        <color theme="1"/>
        <rFont val="Calibri"/>
        <family val="2"/>
        <scheme val="minor"/>
      </rPr>
      <t>Utvikling:</t>
    </r>
    <r>
      <rPr>
        <sz val="12"/>
        <color theme="1"/>
        <rFont val="Calibri"/>
        <family val="2"/>
        <scheme val="minor"/>
      </rPr>
      <t xml:space="preserve"> Jobbet videre med databasen og fikset småfeil</t>
    </r>
  </si>
  <si>
    <r>
      <rPr>
        <b/>
        <sz val="12"/>
        <color theme="1"/>
        <rFont val="Calibri"/>
        <family val="2"/>
        <scheme val="minor"/>
      </rPr>
      <t>Administrativt:</t>
    </r>
    <r>
      <rPr>
        <sz val="12"/>
        <color theme="1"/>
        <rFont val="Calibri"/>
        <family val="2"/>
        <scheme val="minor"/>
      </rPr>
      <t xml:space="preserve"> Scrum-meeting, backlog</t>
    </r>
  </si>
  <si>
    <r>
      <rPr>
        <b/>
        <sz val="12"/>
        <color theme="1"/>
        <rFont val="Calibri"/>
        <family val="2"/>
        <scheme val="minor"/>
      </rPr>
      <t>Administrativt:</t>
    </r>
    <r>
      <rPr>
        <sz val="12"/>
        <color theme="1"/>
        <rFont val="Calibri"/>
        <family val="2"/>
        <scheme val="minor"/>
      </rPr>
      <t xml:space="preserve"> Scrum-meeting og product backlog. Vi hadde her planning poker og ble enige om tidsforbruk</t>
    </r>
  </si>
  <si>
    <r>
      <rPr>
        <b/>
        <sz val="12"/>
        <color theme="1"/>
        <rFont val="Calibri"/>
        <family val="2"/>
        <scheme val="minor"/>
      </rPr>
      <t>Administrativt:</t>
    </r>
    <r>
      <rPr>
        <sz val="12"/>
        <color theme="1"/>
        <rFont val="Calibri"/>
        <family val="2"/>
        <scheme val="minor"/>
      </rPr>
      <t xml:space="preserve"> Gikk gjennom forprosjektet og delegerte oppgaver</t>
    </r>
  </si>
  <si>
    <r>
      <rPr>
        <b/>
        <sz val="12"/>
        <color theme="1"/>
        <rFont val="Calibri"/>
        <family val="2"/>
        <scheme val="minor"/>
      </rPr>
      <t>Logg/Oppgaver:</t>
    </r>
    <r>
      <rPr>
        <sz val="12"/>
        <color theme="1"/>
        <rFont val="Calibri"/>
        <family val="2"/>
        <scheme val="minor"/>
      </rPr>
      <t xml:space="preserve"> Jobbet med og utfylte Sprint backlog</t>
    </r>
  </si>
  <si>
    <r>
      <rPr>
        <b/>
        <sz val="12"/>
        <color theme="1"/>
        <rFont val="Calibri"/>
        <family val="2"/>
        <scheme val="minor"/>
      </rPr>
      <t>Logg/Oppgaver:</t>
    </r>
    <r>
      <rPr>
        <sz val="12"/>
        <color theme="1"/>
        <rFont val="Calibri"/>
        <family val="2"/>
        <scheme val="minor"/>
      </rPr>
      <t xml:space="preserve"> Skrev videre og utfylte Sprint backlog</t>
    </r>
  </si>
  <si>
    <r>
      <rPr>
        <b/>
        <sz val="12"/>
        <color theme="1"/>
        <rFont val="Calibri"/>
        <family val="2"/>
        <scheme val="minor"/>
      </rPr>
      <t>Utvikling:</t>
    </r>
    <r>
      <rPr>
        <sz val="12"/>
        <color theme="1"/>
        <rFont val="Calibri"/>
        <family val="2"/>
        <scheme val="minor"/>
      </rPr>
      <t xml:space="preserve"> Endret databasen noe, oppdaterte modellen i forprosjektet for disse endringene</t>
    </r>
  </si>
  <si>
    <r>
      <rPr>
        <b/>
        <sz val="12"/>
        <color theme="1"/>
        <rFont val="Calibri"/>
        <family val="2"/>
        <scheme val="minor"/>
      </rPr>
      <t>Administrativt:</t>
    </r>
    <r>
      <rPr>
        <sz val="12"/>
        <color theme="1"/>
        <rFont val="Calibri"/>
        <family val="2"/>
        <scheme val="minor"/>
      </rPr>
      <t xml:space="preserve"> Møte, gikk gjennom forprosjekt og ferdiggjorde denne</t>
    </r>
  </si>
  <si>
    <r>
      <rPr>
        <b/>
        <sz val="12"/>
        <color theme="1"/>
        <rFont val="Calibri"/>
        <family val="2"/>
        <scheme val="minor"/>
      </rPr>
      <t>Administrativt:</t>
    </r>
    <r>
      <rPr>
        <sz val="12"/>
        <color theme="1"/>
        <rFont val="Calibri"/>
        <family val="2"/>
        <scheme val="minor"/>
      </rPr>
      <t xml:space="preserve"> Fjernet mine tidligere databaser i phpMyAdmin og satte opp nytt passord, dette for å gjøre klart til når vi oppretter databasen på serveren</t>
    </r>
  </si>
  <si>
    <r>
      <rPr>
        <b/>
        <sz val="12"/>
        <color theme="1"/>
        <rFont val="Calibri"/>
        <family val="2"/>
        <scheme val="minor"/>
      </rPr>
      <t>Administrativt:</t>
    </r>
    <r>
      <rPr>
        <sz val="12"/>
        <color theme="1"/>
        <rFont val="Calibri"/>
        <family val="2"/>
        <scheme val="minor"/>
      </rPr>
      <t xml:space="preserve"> Satte opp FileZilla på maskinen og tømte tidligere filer på kark.uit serveren, her for å gjøre klart</t>
    </r>
  </si>
  <si>
    <r>
      <rPr>
        <b/>
        <sz val="12"/>
        <color theme="1"/>
        <rFont val="Calibri"/>
        <family val="2"/>
        <scheme val="minor"/>
      </rPr>
      <t>Logg/Oppgaver:</t>
    </r>
    <r>
      <rPr>
        <sz val="12"/>
        <color theme="1"/>
        <rFont val="Calibri"/>
        <family val="2"/>
        <scheme val="minor"/>
      </rPr>
      <t xml:space="preserve"> Gjorde endringer i timelista slik at den er lik malen i gruppa</t>
    </r>
  </si>
  <si>
    <r>
      <t xml:space="preserve">Mandag: </t>
    </r>
    <r>
      <rPr>
        <sz val="12"/>
        <color theme="1"/>
        <rFont val="Calibri"/>
        <family val="2"/>
        <scheme val="minor"/>
      </rPr>
      <t>Her hadde vi møte hvor vi diskuterte blant annet forprosjektet. Jeg synes vi fikk gjort mye her. Vi ble noe enige om hvem som skulle gjøre hva ut uka og bestemte oss for møte førstkommende onsdag. Vi gikk også litt gjennom det jeg hadde gjort med databasen. Jeg synes vi fikk jobbet effektivt idag og planlagt bra fremover. Databasen ser nå i min mening veldig bra ut.</t>
    </r>
    <r>
      <rPr>
        <b/>
        <sz val="12"/>
        <color theme="1"/>
        <rFont val="Calibri"/>
        <family val="2"/>
        <scheme val="minor"/>
      </rPr>
      <t xml:space="preserve">
Onsdag: </t>
    </r>
    <r>
      <rPr>
        <sz val="12"/>
        <color theme="1"/>
        <rFont val="Calibri"/>
        <family val="2"/>
        <scheme val="minor"/>
      </rPr>
      <t>Vi hadde her møte hvor alle i gruppa gikk sammen og diskuterte hva de hadde gjort. Vi gikk gjennom databasen. Jeg gikk sammen med Joachim hvor vi påførte flere tabeller og gjorde noe endringer i databasen jeg har opprettet. Vi ble enige i mye og fikk i vår mening satt inn alle tabellene som er nødvendige for prosjektet. Gjenstående er altså da å fullføre alle relasjonene mellom tabellene. Vi fikk satt opp de aller fleste relasjonene mellom tabellene. Vi har enda ikke fått normalisert databasen helt, men dette regner vi med å få gjort ferdig om kort tid.</t>
    </r>
    <r>
      <rPr>
        <b/>
        <sz val="12"/>
        <color theme="1"/>
        <rFont val="Calibri"/>
        <family val="2"/>
        <scheme val="minor"/>
      </rPr>
      <t xml:space="preserve">
Torsdag: </t>
    </r>
    <r>
      <rPr>
        <sz val="12"/>
        <color theme="1"/>
        <rFont val="Calibri"/>
        <family val="2"/>
        <scheme val="minor"/>
      </rPr>
      <t>Vi gikk blant annet gjennom product backlog og satte inn det som trengtes. Jeg så gjennom noe tidligere stoff fra faget 'ITE1805-1 19V Databaser og webapplikasjoner 1'. Dette synes jeg var nyttig da det er lenge siden jeg sist jobbet med databasefaget. Jes synes jeg fikk oppfrisket mye stoff som vi tidligere har jobbet med. Dette vil hjelpe bra til for videre i prosjektet. Da i hovedsak med tanke på relasjoner mellom tabellene i databasen ettersom det kan være noe vanskelig å forstå seg på dersom det blir mange tabeller å holde oversikt over.</t>
    </r>
    <r>
      <rPr>
        <b/>
        <sz val="12"/>
        <color theme="1"/>
        <rFont val="Calibri"/>
        <family val="2"/>
        <scheme val="minor"/>
      </rPr>
      <t xml:space="preserve">
Fredag: </t>
    </r>
    <r>
      <rPr>
        <sz val="12"/>
        <color theme="1"/>
        <rFont val="Calibri"/>
        <family val="2"/>
        <scheme val="minor"/>
      </rPr>
      <t>Gruppa hadde planning poker hvor vi bestemte sammen hvor mye tid hvert element skal ta. Jeg mener dette er en veldig bra metode for å anslå tidsforbruk for arbeid. Da på grunn av at alle i gruppa svarer med sin egen mening, slik at sluttsvaret vil være det gjennomsnittlige estimatet. På denne måten kommer en fram til et nøyaktig svar, dette øker sannsynligheten for at vi kommer i mål til estimert tid.</t>
    </r>
    <r>
      <rPr>
        <b/>
        <sz val="12"/>
        <color theme="1"/>
        <rFont val="Calibri"/>
        <family val="2"/>
        <scheme val="minor"/>
      </rPr>
      <t xml:space="preserve">
Lørdag: </t>
    </r>
    <r>
      <rPr>
        <sz val="12"/>
        <color theme="1"/>
        <rFont val="Calibri"/>
        <family val="2"/>
        <scheme val="minor"/>
      </rPr>
      <t>Vi gikk sammen i hele gruppa og leste gjennom og forbedret forprosjektet. Jeg eksporterte darabasen fra MySQL Workbench som et PNG bilde og satt inn i forprosjekt-dokumentet. Forprosjektet fikk vi levert idag. Jeg synes prosjektet ble veldig bra og oversiktelig. Alle i gruppa var enige og fornøyde over det siste utseendet. Jeg har nå satt opp min timeliste etter malen i gruppa, den mener jeg er mye mer oversiktelig enn fra det jeg hadde fra før av. Fikk satt opp filezilla på min maskin og tømt database-tabellene jeg har hatt fra tidligere emner. Etter denne uka har jeg blitt mer forberedt til prosjektet og føler meg klar til å begynne å utvikle dette videre, det ser jeg veldig frem til.</t>
    </r>
  </si>
  <si>
    <t>Teori: Leste om UML-diagram for PHP kode. Kikket på programvare for bruk til dette formålet</t>
  </si>
  <si>
    <t>Utvikling: Startet å lage UML-diagram for innlogging</t>
  </si>
  <si>
    <t>Administrativt: Scrum-meeting, opprettet repository for prosjektet, gikk gjennom hva alle hadde gjort</t>
  </si>
  <si>
    <t>Utvikling: Jobbet med normalisering av tabellen og endret navn på enkelte elementer i noen tabeller</t>
  </si>
  <si>
    <t>Utvikling: Fikset repositoriet for gruppa og ordnet småting slik at det ble riktig</t>
  </si>
  <si>
    <t>Administrativt: Scrum-meeting, diskuterte hva som er gjort</t>
  </si>
  <si>
    <t xml:space="preserve">Utvikling: Satte opp inn twig for bruk i prosjektet	</t>
  </si>
  <si>
    <t>Utvikling: Fortsatte med å legge inn twig for bruk i prosjeket</t>
  </si>
  <si>
    <t>Administrativt: Satte opp system for å lagre hele repositoriet med versjonslogg for sikkerhet. Med dette kan en gå tilbake til eldre versjoner dersom noe skulle skje.</t>
  </si>
  <si>
    <t>Utvikling: Jobbet med login siden. Satta opp lokal server på min egen maskin for å teste nettsiden i egen nettleser på localhost.</t>
  </si>
  <si>
    <t>Teori: Så på tidligere prosjekt angående twig og php</t>
  </si>
  <si>
    <t>Logg/Oppgaver: Gikk gjennom min timeliste for å påse at den opprettholdt den felles malen i gruppa.</t>
  </si>
  <si>
    <t>Teori: Kikket på en god del tidligere forelesninger fra emnet "Databaser og webapplikasjoner 1" som dette prosjektet baserer seg veldig mye på. Og gikk gjennom det prosjektet jeg hadde i dét emnet.</t>
  </si>
  <si>
    <t>Logg/Oppgaver: Gjorde et par endringer i timelista for å justere malen.</t>
  </si>
  <si>
    <t>Teori: Leste om symfony og composer for bruk i backend.</t>
  </si>
  <si>
    <t>Administrativt: Scrum-meeting, gikk gjennom hva som har blitt gjort forrige uke og diskuterte hva vi gjør videre i uka</t>
  </si>
  <si>
    <t>Utvikling: Jobbet med og så over PHP kode</t>
  </si>
  <si>
    <t>Utvikling: Jobbet med å legge til symfony og composer til Phpstorm for bruk i prosjektet</t>
  </si>
  <si>
    <t>Utvikling: Jobbet videre med PHP-kode, opprettet noe spørringer mot databasen for login siden</t>
  </si>
  <si>
    <t>Utvikling: Jobbet med PHP kode</t>
  </si>
  <si>
    <t>Utvikling: Utførte spørringer mot databasen for å teste litt. Satte inn dummy-data i databasen</t>
  </si>
  <si>
    <t>Utvikling: Fikset innlogginga ettersom det var noe feil i PHP koden</t>
  </si>
  <si>
    <t>Administrativt: Scrum-meeting</t>
  </si>
  <si>
    <t>Utvikling: Jobbet med PHP kode, satte inn nye database-spørringer, satte opp nye PHP-klasser, fikset noe småfeil her og der</t>
  </si>
  <si>
    <t>Administrativt: Sprint-review med PO. Gikk gjennom hva vi hadde gjort så langt og hva vi planlegger videre i prosjektet</t>
  </si>
  <si>
    <t>Utvikling: Jobbet videre med PHP-kode</t>
  </si>
  <si>
    <t>Administrativt: Gikk gjennom hva vi skal gjøre til neste sprint</t>
  </si>
  <si>
    <t>Logg/Oppgaver: Planning poker for Sprint 2</t>
  </si>
  <si>
    <t>Logg/Oppgaver: Avhengighetstabell for Sprint 2</t>
  </si>
  <si>
    <t>Logg/Oppgaver: Scrum Retrospective</t>
  </si>
  <si>
    <t>Administrativt: Siste møte i Sprint 1</t>
  </si>
  <si>
    <r>
      <rPr>
        <b/>
        <sz val="12"/>
        <color theme="1"/>
        <rFont val="Calibri"/>
        <family val="2"/>
        <scheme val="minor"/>
      </rPr>
      <t>Administrativt</t>
    </r>
    <r>
      <rPr>
        <sz val="12"/>
        <color theme="1"/>
        <rFont val="Calibri"/>
        <family val="2"/>
        <scheme val="minor"/>
      </rPr>
      <t>: Scrum-meeting</t>
    </r>
  </si>
  <si>
    <t>Utvikling: Jobbet med PHP mot emne-tabellen i databasen vår. Ble noe små optimaliseringer i databasen på slutten for at spørringene skulle fungere bedre.</t>
  </si>
  <si>
    <t>10.2</t>
  </si>
  <si>
    <t xml:space="preserve">Administrativt: Ordnet mappestruktur i fellesmappen på OneDrive </t>
  </si>
  <si>
    <t>Logg/Oppgaver: Fikset det som var feil i Sprint ZERO innleveringen.</t>
  </si>
  <si>
    <t>Utvikling: Jobbet med PHP-kode, da i hovedsak med tanke på Emne-tabellen mot databasen</t>
  </si>
  <si>
    <t>Utvikling: Satte opp noe spørringer for Emnetabellen og dens undertabeller i databasen vår</t>
  </si>
  <si>
    <t>Logg/Oppgaver: Fylte ut timelista og skrev noe oppsummering</t>
  </si>
  <si>
    <t>Logg/Oppgaver: Gjorde ferdig det som manglet i Sprint-zero innleveringen som ikke ble godkjent</t>
  </si>
  <si>
    <t>7.1</t>
  </si>
  <si>
    <t>8.2</t>
  </si>
  <si>
    <r>
      <t>Logg/Oppgaver:</t>
    </r>
    <r>
      <rPr>
        <sz val="12"/>
        <color theme="1"/>
        <rFont val="Calibri"/>
        <family val="2"/>
        <scheme val="minor"/>
      </rPr>
      <t xml:space="preserve"> Gjennomgang og oppdatering av Sprint 2 backlog.</t>
    </r>
  </si>
  <si>
    <r>
      <t xml:space="preserve">Logg/Oppgaver: </t>
    </r>
    <r>
      <rPr>
        <sz val="12"/>
        <color theme="1"/>
        <rFont val="Calibri"/>
        <family val="2"/>
        <scheme val="minor"/>
      </rPr>
      <t>Lage møteinnkalling</t>
    </r>
    <r>
      <rPr>
        <b/>
        <sz val="12"/>
        <color theme="1"/>
        <rFont val="Calibri"/>
        <family val="2"/>
        <scheme val="minor"/>
      </rPr>
      <t xml:space="preserve"> </t>
    </r>
    <r>
      <rPr>
        <sz val="12"/>
        <color theme="1"/>
        <rFont val="Calibri"/>
        <family val="2"/>
        <scheme val="minor"/>
      </rPr>
      <t>i plenum</t>
    </r>
  </si>
  <si>
    <t>Years</t>
  </si>
  <si>
    <t>Months</t>
  </si>
  <si>
    <t>Days</t>
  </si>
  <si>
    <t>Weekend</t>
  </si>
  <si>
    <t>Check Box</t>
  </si>
  <si>
    <t>January</t>
  </si>
  <si>
    <t>No Weekend</t>
  </si>
  <si>
    <t>February</t>
  </si>
  <si>
    <t>Sat &amp; Sun</t>
  </si>
  <si>
    <t>March</t>
  </si>
  <si>
    <t>Sun &amp; Mon</t>
  </si>
  <si>
    <t>April</t>
  </si>
  <si>
    <t>Mon &amp; Tue</t>
  </si>
  <si>
    <t>May</t>
  </si>
  <si>
    <t>Tue &amp; Wed</t>
  </si>
  <si>
    <t>June</t>
  </si>
  <si>
    <t>Wed &amp; Thu</t>
  </si>
  <si>
    <t>July</t>
  </si>
  <si>
    <t>Thu &amp; Fri</t>
  </si>
  <si>
    <t>August</t>
  </si>
  <si>
    <t>Fri &amp; Sat</t>
  </si>
  <si>
    <t>September</t>
  </si>
  <si>
    <t>Mon Only</t>
  </si>
  <si>
    <t>October</t>
  </si>
  <si>
    <t>Tue Only</t>
  </si>
  <si>
    <t>November</t>
  </si>
  <si>
    <t>Wed Only</t>
  </si>
  <si>
    <t>December</t>
  </si>
  <si>
    <t>Thu Only</t>
  </si>
  <si>
    <t>Fri Only</t>
  </si>
  <si>
    <t>Sat Only</t>
  </si>
  <si>
    <t>Sun Only</t>
  </si>
  <si>
    <r>
      <t xml:space="preserve">Logg/Oppgaver: </t>
    </r>
    <r>
      <rPr>
        <sz val="12"/>
        <color theme="1"/>
        <rFont val="Calibri"/>
        <family val="2"/>
        <scheme val="minor"/>
      </rPr>
      <t>Ferdigstilling av fremdriftsplan og sprint backlog 3.</t>
    </r>
  </si>
  <si>
    <r>
      <t>Utvikling:</t>
    </r>
    <r>
      <rPr>
        <sz val="12"/>
        <color theme="1"/>
        <rFont val="Calibri"/>
        <family val="2"/>
        <scheme val="minor"/>
      </rPr>
      <t xml:space="preserve"> Så over koden generelt og rettet opp og ryddet koden. Ser nå bedre og mer ryddig ut</t>
    </r>
  </si>
  <si>
    <r>
      <t>Logg/Oppgaver:</t>
    </r>
    <r>
      <rPr>
        <sz val="12"/>
        <color theme="1"/>
        <rFont val="Calibri"/>
        <family val="2"/>
        <scheme val="minor"/>
      </rPr>
      <t xml:space="preserve"> Ferdigstillte det som skulle leveres inn for denne sprinten.</t>
    </r>
  </si>
  <si>
    <r>
      <rPr>
        <b/>
        <sz val="12"/>
        <color theme="1"/>
        <rFont val="Calibri"/>
        <family val="2"/>
        <scheme val="minor"/>
      </rPr>
      <t>Utvikling</t>
    </r>
    <r>
      <rPr>
        <sz val="12"/>
        <color theme="1"/>
        <rFont val="Calibri"/>
        <family val="2"/>
        <scheme val="minor"/>
      </rPr>
      <t>: Endringer i databasen</t>
    </r>
  </si>
  <si>
    <r>
      <rPr>
        <b/>
        <sz val="12"/>
        <color theme="1"/>
        <rFont val="Calibri"/>
        <family val="2"/>
        <scheme val="minor"/>
      </rPr>
      <t>Utvikling</t>
    </r>
    <r>
      <rPr>
        <sz val="12"/>
        <color theme="1"/>
        <rFont val="Calibri"/>
        <family val="2"/>
        <scheme val="minor"/>
      </rPr>
      <t>: Lagde spørringer for å hente ut alle emner, ogs satte mer kommentarer på variabler.</t>
    </r>
  </si>
  <si>
    <r>
      <rPr>
        <b/>
        <sz val="12"/>
        <color theme="1"/>
        <rFont val="Calibri"/>
        <family val="2"/>
        <scheme val="minor"/>
      </rPr>
      <t>Utvikling</t>
    </r>
    <r>
      <rPr>
        <sz val="12"/>
        <color theme="1"/>
        <rFont val="Calibri"/>
        <family val="2"/>
        <scheme val="minor"/>
      </rPr>
      <t>: Satte opp UML-diagram</t>
    </r>
  </si>
  <si>
    <r>
      <rPr>
        <b/>
        <sz val="12"/>
        <color theme="1"/>
        <rFont val="Calibri"/>
        <family val="2"/>
        <scheme val="minor"/>
      </rPr>
      <t>Utvikling</t>
    </r>
    <r>
      <rPr>
        <sz val="12"/>
        <color theme="1"/>
        <rFont val="Calibri"/>
        <family val="2"/>
        <scheme val="minor"/>
      </rPr>
      <t>: Så over databasen og lastet opp den nye versjonen til får felles OneDrive-mappe</t>
    </r>
  </si>
  <si>
    <r>
      <rPr>
        <b/>
        <sz val="12"/>
        <color theme="1"/>
        <rFont val="Calibri"/>
        <family val="2"/>
        <scheme val="minor"/>
      </rPr>
      <t>Utvikling</t>
    </r>
    <r>
      <rPr>
        <sz val="12"/>
        <color theme="1"/>
        <rFont val="Calibri"/>
        <family val="2"/>
        <scheme val="minor"/>
      </rPr>
      <t>: Jobbet med emner på backend</t>
    </r>
  </si>
  <si>
    <r>
      <rPr>
        <b/>
        <sz val="12"/>
        <color theme="1"/>
        <rFont val="Calibri"/>
        <family val="2"/>
        <scheme val="minor"/>
      </rPr>
      <t>Utvikling</t>
    </r>
    <r>
      <rPr>
        <sz val="12"/>
        <color theme="1"/>
        <rFont val="Calibri"/>
        <family val="2"/>
        <scheme val="minor"/>
      </rPr>
      <t>: Jobbet videre med emner på backend</t>
    </r>
  </si>
  <si>
    <r>
      <rPr>
        <b/>
        <sz val="12"/>
        <color theme="1"/>
        <rFont val="Calibri"/>
        <family val="2"/>
        <scheme val="minor"/>
      </rPr>
      <t>Utvikling</t>
    </r>
    <r>
      <rPr>
        <sz val="12"/>
        <color theme="1"/>
        <rFont val="Calibri"/>
        <family val="2"/>
        <scheme val="minor"/>
      </rPr>
      <t>: Startet med oppretteEmne.php og lagt til funksjon i DatabaseQuery.php</t>
    </r>
  </si>
  <si>
    <r>
      <rPr>
        <b/>
        <sz val="12"/>
        <color theme="1"/>
        <rFont val="Calibri"/>
        <family val="2"/>
        <scheme val="minor"/>
      </rPr>
      <t>Utvikling</t>
    </r>
    <r>
      <rPr>
        <sz val="12"/>
        <color theme="1"/>
        <rFont val="Calibri"/>
        <family val="2"/>
        <scheme val="minor"/>
      </rPr>
      <t>: Fortsatte jobbing med insertEmne funksjon i DatabaseQuery.php klassen</t>
    </r>
  </si>
  <si>
    <r>
      <rPr>
        <b/>
        <sz val="12"/>
        <color theme="1"/>
        <rFont val="Calibri"/>
        <family val="2"/>
        <scheme val="minor"/>
      </rPr>
      <t>Utvikling</t>
    </r>
    <r>
      <rPr>
        <sz val="12"/>
        <color theme="1"/>
        <rFont val="Calibri"/>
        <family val="2"/>
        <scheme val="minor"/>
      </rPr>
      <t>: Fortsatte jobbing med oppretteEmne.php og satte opp kode for å hente ut all nødvendig data fra front-end siden.</t>
    </r>
  </si>
  <si>
    <r>
      <rPr>
        <b/>
        <sz val="12"/>
        <color theme="1"/>
        <rFont val="Calibri"/>
        <family val="2"/>
        <scheme val="minor"/>
      </rPr>
      <t>Utvikling</t>
    </r>
    <r>
      <rPr>
        <sz val="12"/>
        <color theme="1"/>
        <rFont val="Calibri"/>
        <family val="2"/>
        <scheme val="minor"/>
      </rPr>
      <t>: Så på koden til Vegard over nett, fant i plenum er løsning for en error i DatabaseQuery.php</t>
    </r>
  </si>
  <si>
    <r>
      <rPr>
        <b/>
        <sz val="12"/>
        <color theme="1"/>
        <rFont val="Calibri"/>
        <family val="2"/>
        <scheme val="minor"/>
      </rPr>
      <t>Administrativt</t>
    </r>
    <r>
      <rPr>
        <sz val="12"/>
        <color theme="1"/>
        <rFont val="Calibri"/>
        <family val="2"/>
        <scheme val="minor"/>
      </rPr>
      <t>: Sprint-review med PO og lærer</t>
    </r>
  </si>
  <si>
    <r>
      <rPr>
        <b/>
        <sz val="12"/>
        <color theme="1"/>
        <rFont val="Calibri"/>
        <family val="2"/>
        <scheme val="minor"/>
      </rPr>
      <t>Utvikling</t>
    </r>
    <r>
      <rPr>
        <sz val="12"/>
        <color theme="1"/>
        <rFont val="Calibri"/>
        <family val="2"/>
        <scheme val="minor"/>
      </rPr>
      <t>: Gjennomgang og utvikling for innhenting av data fra Feide</t>
    </r>
  </si>
  <si>
    <r>
      <rPr>
        <b/>
        <sz val="12"/>
        <color theme="1"/>
        <rFont val="Calibri"/>
        <family val="2"/>
        <scheme val="minor"/>
      </rPr>
      <t>Utvikling</t>
    </r>
    <r>
      <rPr>
        <sz val="12"/>
        <color theme="1"/>
        <rFont val="Calibri"/>
        <family val="2"/>
        <scheme val="minor"/>
      </rPr>
      <t>: Fikset opp i uthenting av data fra opprettelses-skjemaet</t>
    </r>
  </si>
  <si>
    <r>
      <rPr>
        <b/>
        <sz val="12"/>
        <color theme="1"/>
        <rFont val="Calibri"/>
        <family val="2"/>
        <scheme val="minor"/>
      </rPr>
      <t>Utvikling</t>
    </r>
    <r>
      <rPr>
        <sz val="12"/>
        <color theme="1"/>
        <rFont val="Calibri"/>
        <family val="2"/>
        <scheme val="minor"/>
      </rPr>
      <t>: Jobbet videre med og fikset opprettelse av emne</t>
    </r>
  </si>
  <si>
    <t>14.1</t>
  </si>
  <si>
    <t>Logg/Oppgaver: Oppdaterte min egen timeliste og hentet ut det gjennomsnittlige antallet timer brukt denne uiken ettersom jeg er scrum-master</t>
  </si>
  <si>
    <t>Logg/Oppgaver: Fikset Sprint-2 innleveringen. Dette tok litt tid da han som mottok dette ønsket endring i struktur for innleveringen. Denne er veldig snart ferdig.</t>
  </si>
  <si>
    <t>Logg/Oppgaver: Gjorde ferdig Sprint 2 innleveringen og eksporterte denne til PDF for innlevering</t>
  </si>
  <si>
    <t>13.2</t>
  </si>
  <si>
    <t>Utvikling: Jobbet med søkefunksjon for å kunne søke etter emner</t>
  </si>
  <si>
    <t>19.1</t>
  </si>
  <si>
    <t>Utvikling: Så på hvordan vi kan enkelt lage nye versjoner av emner</t>
  </si>
  <si>
    <t>Logg/Oppgaver: Planning poker for Sprint 4 backlog</t>
  </si>
  <si>
    <t>Logg/Oppgaver: Jobbet med innleveringen i dette faget som skal inn til søndagen.</t>
  </si>
  <si>
    <t>Utvikling: Utviklet nye metoder i PHP og så på nye spørringer. Satte opp og redigerte Twig-template for kopiering av Emne</t>
  </si>
  <si>
    <t>Utvikling: Satte opp noe nye spørringer og koblet opp flere tabeller vi tildigere ikke har brukt mot database-spørrings-klassen i PHP.</t>
  </si>
  <si>
    <t>Logg/Oppgaver: Avhengighetstabel</t>
  </si>
  <si>
    <t>Logg/Oppgaver: Jobbet videre med innleveringen som skal inn til søndag. Skrev ferdig sprint retrospective og satte inn andre relevante data.</t>
  </si>
  <si>
    <t>Logg/Oppgaver: Jobbet videre med og fullførte innleveringen. Oppsummerte antall timer gjennomsnittlig for alle i gruppa denne uken</t>
  </si>
  <si>
    <r>
      <rPr>
        <b/>
        <sz val="12"/>
        <color theme="1"/>
        <rFont val="Calibri"/>
        <family val="2"/>
        <scheme val="minor"/>
      </rPr>
      <t>Administrativt</t>
    </r>
    <r>
      <rPr>
        <sz val="12"/>
        <color theme="1"/>
        <rFont val="Calibri"/>
        <family val="2"/>
        <scheme val="minor"/>
      </rPr>
      <t>: Sprint-Review for Sprint 3</t>
    </r>
  </si>
  <si>
    <t>27.2</t>
  </si>
  <si>
    <r>
      <rPr>
        <b/>
        <sz val="12"/>
        <color theme="1"/>
        <rFont val="Calibri"/>
        <family val="2"/>
        <scheme val="minor"/>
      </rPr>
      <t>Logg/Oppgaver</t>
    </r>
    <r>
      <rPr>
        <sz val="12"/>
        <color theme="1"/>
        <rFont val="Calibri"/>
        <family val="2"/>
        <scheme val="minor"/>
      </rPr>
      <t>: Jobbet med innleveringen til den 31. Mars</t>
    </r>
  </si>
  <si>
    <r>
      <rPr>
        <b/>
        <sz val="12"/>
        <color theme="1"/>
        <rFont val="Calibri"/>
        <family val="2"/>
        <scheme val="minor"/>
      </rPr>
      <t xml:space="preserve">Utvikling: </t>
    </r>
    <r>
      <rPr>
        <sz val="12"/>
        <color theme="1"/>
        <rFont val="Calibri"/>
        <family val="2"/>
        <scheme val="minor"/>
      </rPr>
      <t>Jobbet videre med opprettelse av nytt emne hvor en kan bruke verdier fra eksisterende emne som mal.</t>
    </r>
  </si>
  <si>
    <r>
      <rPr>
        <b/>
        <sz val="12"/>
        <color theme="1"/>
        <rFont val="Calibri"/>
        <family val="2"/>
        <scheme val="minor"/>
      </rPr>
      <t xml:space="preserve">Utvikling: </t>
    </r>
    <r>
      <rPr>
        <sz val="12"/>
        <color theme="1"/>
        <rFont val="Calibri"/>
        <family val="2"/>
        <scheme val="minor"/>
      </rPr>
      <t>Opprettet nye klasser i PHP for eksportering til PDF</t>
    </r>
  </si>
  <si>
    <r>
      <rPr>
        <b/>
        <sz val="12"/>
        <color theme="1"/>
        <rFont val="Calibri"/>
        <family val="2"/>
        <scheme val="minor"/>
      </rPr>
      <t xml:space="preserve">Utvikling: </t>
    </r>
    <r>
      <rPr>
        <sz val="12"/>
        <color theme="1"/>
        <rFont val="Calibri"/>
        <family val="2"/>
        <scheme val="minor"/>
      </rPr>
      <t>Jobbet videre med eksportering av data til PDF format.</t>
    </r>
  </si>
  <si>
    <r>
      <rPr>
        <b/>
        <sz val="12"/>
        <color theme="1"/>
        <rFont val="Calibri"/>
        <family val="2"/>
        <scheme val="minor"/>
      </rPr>
      <t>Utvikling:</t>
    </r>
    <r>
      <rPr>
        <sz val="12"/>
        <color theme="1"/>
        <rFont val="Calibri"/>
        <family val="2"/>
        <scheme val="minor"/>
      </rPr>
      <t xml:space="preserve"> Har nå fått til å hente ut veldig mye data til PDF og fått det til å se bra ut med UiT logo og diverse checkboxer for booleanske verdier</t>
    </r>
  </si>
  <si>
    <r>
      <rPr>
        <b/>
        <sz val="12"/>
        <color theme="1"/>
        <rFont val="Calibri"/>
        <family val="2"/>
        <scheme val="minor"/>
      </rPr>
      <t>Utvikling:</t>
    </r>
    <r>
      <rPr>
        <sz val="12"/>
        <color theme="1"/>
        <rFont val="Calibri"/>
        <family val="2"/>
        <scheme val="minor"/>
      </rPr>
      <t xml:space="preserve"> Jobbet videre med eksportering til PDF</t>
    </r>
  </si>
  <si>
    <r>
      <rPr>
        <b/>
        <sz val="12"/>
        <color theme="1"/>
        <rFont val="Calibri"/>
        <family val="2"/>
        <scheme val="minor"/>
      </rPr>
      <t>Logg/Oppgaver</t>
    </r>
    <r>
      <rPr>
        <sz val="12"/>
        <color theme="1"/>
        <rFont val="Calibri"/>
        <family val="2"/>
        <scheme val="minor"/>
      </rPr>
      <t>: Jobbet med innleveringen til den 31. Mars. Endret utseende og gjorde dokumentet pent. Satte inn nye tabeller og endret farger.</t>
    </r>
  </si>
  <si>
    <r>
      <rPr>
        <b/>
        <sz val="12"/>
        <color theme="1"/>
        <rFont val="Calibri"/>
        <family val="2"/>
        <scheme val="minor"/>
      </rPr>
      <t>Utvikling:</t>
    </r>
    <r>
      <rPr>
        <sz val="12"/>
        <color theme="1"/>
        <rFont val="Calibri"/>
        <family val="2"/>
        <scheme val="minor"/>
      </rPr>
      <t xml:space="preserve"> Møte i forhold i forhold til implementering av Feide i vårt system.</t>
    </r>
  </si>
  <si>
    <t>14.4</t>
  </si>
  <si>
    <r>
      <rPr>
        <b/>
        <sz val="12"/>
        <color theme="1"/>
        <rFont val="Calibri"/>
        <family val="2"/>
        <scheme val="minor"/>
      </rPr>
      <t>Utvikling:</t>
    </r>
    <r>
      <rPr>
        <sz val="12"/>
        <color theme="1"/>
        <rFont val="Calibri"/>
        <family val="2"/>
        <scheme val="minor"/>
      </rPr>
      <t xml:space="preserve"> Jobbet videre med eksportering til PDF. Så og si ferdig med denne aktiviteten nå.</t>
    </r>
  </si>
  <si>
    <r>
      <rPr>
        <b/>
        <sz val="12"/>
        <color theme="1"/>
        <rFont val="Calibri"/>
        <family val="2"/>
        <scheme val="minor"/>
      </rPr>
      <t>Teori</t>
    </r>
    <r>
      <rPr>
        <sz val="12"/>
        <color theme="1"/>
        <rFont val="Calibri"/>
        <family val="2"/>
        <scheme val="minor"/>
      </rPr>
      <t>: Leste om hvordan man eksporterer data i PHP til eksempelvis PDF-fil</t>
    </r>
  </si>
  <si>
    <r>
      <rPr>
        <b/>
        <sz val="12"/>
        <color theme="1"/>
        <rFont val="Calibri"/>
        <family val="2"/>
        <scheme val="minor"/>
      </rPr>
      <t>Utvikling</t>
    </r>
    <r>
      <rPr>
        <sz val="12"/>
        <color theme="1"/>
        <rFont val="Calibri"/>
        <family val="2"/>
        <scheme val="minor"/>
      </rPr>
      <t>: Gjorde ferdig eksportering av emne til PDF. Denne aktiviteten er nå helt ferdig. All funksjonalitet er nå implementert ved hjelp av PHP.</t>
    </r>
  </si>
  <si>
    <r>
      <rPr>
        <b/>
        <sz val="12"/>
        <color theme="1"/>
        <rFont val="Calibri"/>
        <family val="2"/>
        <scheme val="minor"/>
      </rPr>
      <t>Utvikling</t>
    </r>
    <r>
      <rPr>
        <sz val="12"/>
        <color theme="1"/>
        <rFont val="Calibri"/>
        <family val="2"/>
        <scheme val="minor"/>
      </rPr>
      <t>: Så på noe kode sammen med Adrian som han hadde skrevet angående encoding og decoding av objekter i PHP med Json</t>
    </r>
  </si>
  <si>
    <r>
      <rPr>
        <b/>
        <sz val="12"/>
        <color theme="1"/>
        <rFont val="Calibri"/>
        <family val="2"/>
        <scheme val="minor"/>
      </rPr>
      <t>Utvikling</t>
    </r>
    <r>
      <rPr>
        <sz val="12"/>
        <color theme="1"/>
        <rFont val="Calibri"/>
        <family val="2"/>
        <scheme val="minor"/>
      </rPr>
      <t>: Fikset noe feil ved kopiering av eldre emne til nytt emne. Var noe variabler som var satt opp feil i twig og manglet noe kode for innhenting av de nye dataene</t>
    </r>
  </si>
  <si>
    <t>Logg/Oppgaver: Skrev videre på timelista og fylte ut noe i oppsummeringen.</t>
  </si>
  <si>
    <r>
      <rPr>
        <b/>
        <sz val="12"/>
        <color theme="1"/>
        <rFont val="Calibri"/>
        <family val="2"/>
        <scheme val="minor"/>
      </rPr>
      <t>Utvikling</t>
    </r>
    <r>
      <rPr>
        <sz val="12"/>
        <color theme="1"/>
        <rFont val="Calibri"/>
        <family val="2"/>
        <scheme val="minor"/>
      </rPr>
      <t>: Fikset en feil i frontend og backend som gjorde at nettstudent-tilbud og undervisnngssted ikke ble satt inn i databasen</t>
    </r>
  </si>
  <si>
    <r>
      <rPr>
        <b/>
        <sz val="12"/>
        <color theme="1"/>
        <rFont val="Calibri"/>
        <family val="2"/>
        <scheme val="minor"/>
      </rPr>
      <t>Utvikling</t>
    </r>
    <r>
      <rPr>
        <sz val="12"/>
        <color theme="1"/>
        <rFont val="Calibri"/>
        <family val="2"/>
        <scheme val="minor"/>
      </rPr>
      <t>: Implementerte en ny måte å hente ut verdier for checkboxer fra frontend til backend som Vegard hadde skrevet i opprettEmne.php til php-filen for kopiering av arkiverte emner som jeg tidligere hadde skrevet.</t>
    </r>
  </si>
  <si>
    <r>
      <rPr>
        <b/>
        <sz val="12"/>
        <color theme="1"/>
        <rFont val="Calibri"/>
        <family val="2"/>
        <scheme val="minor"/>
      </rPr>
      <t>Logg/Oppgaver</t>
    </r>
    <r>
      <rPr>
        <sz val="12"/>
        <color theme="1"/>
        <rFont val="Calibri"/>
        <family val="2"/>
        <scheme val="minor"/>
      </rPr>
      <t>: Hjalp Adrian med å opprette møte i Teams for sprint-review</t>
    </r>
  </si>
  <si>
    <r>
      <rPr>
        <b/>
        <sz val="12"/>
        <color theme="1"/>
        <rFont val="Calibri"/>
        <family val="2"/>
        <scheme val="minor"/>
      </rPr>
      <t>Logg/Oppgaver</t>
    </r>
    <r>
      <rPr>
        <sz val="12"/>
        <color theme="1"/>
        <rFont val="Calibri"/>
        <family val="2"/>
        <scheme val="minor"/>
      </rPr>
      <t>: Diskuterte med Adrian hvordan jeg skulle gjøre dette</t>
    </r>
  </si>
  <si>
    <r>
      <rPr>
        <b/>
        <sz val="12"/>
        <color theme="1"/>
        <rFont val="Calibri"/>
        <family val="2"/>
        <scheme val="minor"/>
      </rPr>
      <t>Utvikling</t>
    </r>
    <r>
      <rPr>
        <sz val="12"/>
        <color theme="1"/>
        <rFont val="Calibri"/>
        <family val="2"/>
        <scheme val="minor"/>
      </rPr>
      <t>: Startet med aktivitet 20 for oppdeling av et emne.</t>
    </r>
  </si>
  <si>
    <t>20.2</t>
  </si>
  <si>
    <r>
      <rPr>
        <b/>
        <sz val="12"/>
        <color theme="1"/>
        <rFont val="Calibri"/>
        <family val="2"/>
        <scheme val="minor"/>
      </rPr>
      <t>Utvikling</t>
    </r>
    <r>
      <rPr>
        <sz val="12"/>
        <color theme="1"/>
        <rFont val="Calibri"/>
        <family val="2"/>
        <scheme val="minor"/>
      </rPr>
      <t>: Jobbet videre med oppdeling av emne</t>
    </r>
  </si>
  <si>
    <r>
      <rPr>
        <b/>
        <sz val="12"/>
        <color theme="1"/>
        <rFont val="Calibri"/>
        <family val="2"/>
        <scheme val="minor"/>
      </rPr>
      <t>Utvikling</t>
    </r>
    <r>
      <rPr>
        <sz val="12"/>
        <color theme="1"/>
        <rFont val="Calibri"/>
        <family val="2"/>
        <scheme val="minor"/>
      </rPr>
      <t>: Satte inn to nye database-spørringer som Joachim hadde behov for i frontend-siden for kategorisering av emnevisning.</t>
    </r>
  </si>
  <si>
    <r>
      <rPr>
        <b/>
        <sz val="12"/>
        <color theme="1"/>
        <rFont val="Calibri"/>
        <family val="2"/>
        <scheme val="minor"/>
      </rPr>
      <t>Logg/Oppgaver</t>
    </r>
    <r>
      <rPr>
        <sz val="12"/>
        <color theme="1"/>
        <rFont val="Calibri"/>
        <family val="2"/>
        <scheme val="minor"/>
      </rPr>
      <t>: Fullførte Sprint 5 og satte opp planning poker som vi har planlagt å ha i kveld. Gjorde også annet administrativt arbeid.</t>
    </r>
  </si>
  <si>
    <r>
      <rPr>
        <b/>
        <sz val="12"/>
        <color theme="1"/>
        <rFont val="Calibri"/>
        <family val="2"/>
        <scheme val="minor"/>
      </rPr>
      <t>Utvikling</t>
    </r>
    <r>
      <rPr>
        <sz val="12"/>
        <color theme="1"/>
        <rFont val="Calibri"/>
        <family val="2"/>
        <scheme val="minor"/>
      </rPr>
      <t>: Satte inn en ny database-spørring Joachim hadde behov for frontend</t>
    </r>
  </si>
  <si>
    <r>
      <rPr>
        <b/>
        <sz val="12"/>
        <color theme="1"/>
        <rFont val="Calibri"/>
        <family val="2"/>
        <scheme val="minor"/>
      </rPr>
      <t>Logg/Oppgaver</t>
    </r>
    <r>
      <rPr>
        <sz val="12"/>
        <color theme="1"/>
        <rFont val="Calibri"/>
        <family val="2"/>
        <scheme val="minor"/>
      </rPr>
      <t>: Jobbet med innleveringen som skal inn i kveld</t>
    </r>
  </si>
  <si>
    <r>
      <rPr>
        <b/>
        <sz val="12"/>
        <color theme="1"/>
        <rFont val="Calibri"/>
        <family val="2"/>
        <scheme val="minor"/>
      </rPr>
      <t>Logg/Oppgaver</t>
    </r>
    <r>
      <rPr>
        <sz val="12"/>
        <color theme="1"/>
        <rFont val="Calibri"/>
        <family val="2"/>
        <scheme val="minor"/>
      </rPr>
      <t>: Gikk gjennom alle timelistene og påså at de var riktig satt opp</t>
    </r>
  </si>
  <si>
    <r>
      <rPr>
        <b/>
        <sz val="12"/>
        <color theme="1"/>
        <rFont val="Calibri"/>
        <family val="2"/>
        <scheme val="minor"/>
      </rPr>
      <t>Utvikling</t>
    </r>
    <r>
      <rPr>
        <sz val="12"/>
        <color theme="1"/>
        <rFont val="Calibri"/>
        <family val="2"/>
        <scheme val="minor"/>
      </rPr>
      <t>: Så på hvordan en encoder og decored data i PHP ved hjelp av Json og serialisering for objekter. Her hadde Adrian allerede gjort mye og dette var nytt for meg, jeg kikket på det han hadde allerede skrevet i PHP.</t>
    </r>
  </si>
  <si>
    <r>
      <rPr>
        <b/>
        <sz val="12"/>
        <color theme="1"/>
        <rFont val="Calibri"/>
        <family val="2"/>
        <scheme val="minor"/>
      </rPr>
      <t>Utvikling</t>
    </r>
    <r>
      <rPr>
        <sz val="12"/>
        <color theme="1"/>
        <rFont val="Calibri"/>
        <family val="2"/>
        <scheme val="minor"/>
      </rPr>
      <t>: Hjalp Eivind med å debugge det han hadde noe feil i sending av epost</t>
    </r>
  </si>
  <si>
    <r>
      <rPr>
        <b/>
        <sz val="12"/>
        <color theme="1"/>
        <rFont val="Calibri"/>
        <family val="2"/>
        <scheme val="minor"/>
      </rPr>
      <t>Logg/Oppgaver</t>
    </r>
    <r>
      <rPr>
        <sz val="12"/>
        <color theme="1"/>
        <rFont val="Calibri"/>
        <family val="2"/>
        <scheme val="minor"/>
      </rPr>
      <t>: Satte opp prosjektet på kark.uit.no for demonstrasjon til kunden</t>
    </r>
  </si>
  <si>
    <r>
      <t xml:space="preserve">Logg/Oppgaver: </t>
    </r>
    <r>
      <rPr>
        <sz val="12"/>
        <color theme="1"/>
        <rFont val="Calibri"/>
        <family val="2"/>
        <scheme val="minor"/>
      </rPr>
      <t>Jobbet med innleveringen som skal inn i kveld</t>
    </r>
  </si>
  <si>
    <r>
      <rPr>
        <b/>
        <sz val="12"/>
        <color theme="1"/>
        <rFont val="Calibri"/>
        <family val="2"/>
        <scheme val="minor"/>
      </rPr>
      <t>Administrativt</t>
    </r>
    <r>
      <rPr>
        <sz val="12"/>
        <color theme="1"/>
        <rFont val="Calibri"/>
        <family val="2"/>
        <scheme val="minor"/>
      </rPr>
      <t>: Sprint-Review for Sprint 4</t>
    </r>
  </si>
  <si>
    <r>
      <t xml:space="preserve">Logg/Oppgaver: </t>
    </r>
    <r>
      <rPr>
        <sz val="12"/>
        <color theme="1"/>
        <rFont val="Calibri"/>
        <family val="2"/>
        <scheme val="minor"/>
      </rPr>
      <t>Gjorde noe endringer i Sprint Backlog 5 samt andre finjusteringer i diverse Excel-dokumenter</t>
    </r>
  </si>
  <si>
    <r>
      <t xml:space="preserve">Utvikling: </t>
    </r>
    <r>
      <rPr>
        <sz val="12"/>
        <color theme="1"/>
        <rFont val="Calibri"/>
        <family val="2"/>
        <scheme val="minor"/>
      </rPr>
      <t>Gikk gjennom database-spørrings klassen i PHP. Det er en del rot i koden her ettersom alle har satt inn spørrings-funksjoner når de har trengt det. Jeg standardiserer klassen</t>
    </r>
  </si>
  <si>
    <t>30.2</t>
  </si>
  <si>
    <t>30.3</t>
  </si>
  <si>
    <r>
      <t xml:space="preserve">Utvikling: </t>
    </r>
    <r>
      <rPr>
        <sz val="12"/>
        <color theme="1"/>
        <rFont val="Calibri"/>
        <family val="2"/>
        <scheme val="minor"/>
      </rPr>
      <t>Startet med aktiviteten for eksportering av statistikk. Begynte å sette inn relevante spøringer i vår database-klasse.</t>
    </r>
  </si>
  <si>
    <r>
      <t xml:space="preserve">Utvikling: </t>
    </r>
    <r>
      <rPr>
        <sz val="12"/>
        <color theme="1"/>
        <rFont val="Calibri"/>
        <family val="2"/>
        <scheme val="minor"/>
      </rPr>
      <t>Satte inn noe flere relevante spørringer for statistikk. Satte opp et enkelt PHP-script for å teste alle disse nye spørringene</t>
    </r>
    <r>
      <rPr>
        <b/>
        <sz val="12"/>
        <color theme="1"/>
        <rFont val="Calibri"/>
        <family val="2"/>
        <scheme val="minor"/>
      </rPr>
      <t>.</t>
    </r>
  </si>
  <si>
    <r>
      <t xml:space="preserve">Utvikling: </t>
    </r>
    <r>
      <rPr>
        <sz val="12"/>
        <color theme="1"/>
        <rFont val="Calibri"/>
        <family val="2"/>
        <scheme val="minor"/>
      </rPr>
      <t xml:space="preserve">Startet med aktiviteten </t>
    </r>
    <r>
      <rPr>
        <b/>
        <sz val="12"/>
        <color theme="1"/>
        <rFont val="Calibri"/>
        <family val="2"/>
        <scheme val="minor"/>
      </rPr>
      <t>30.2</t>
    </r>
    <r>
      <rPr>
        <sz val="12"/>
        <color theme="1"/>
        <rFont val="Calibri"/>
        <family val="2"/>
        <scheme val="minor"/>
      </rPr>
      <t xml:space="preserve"> for eksportering av dataene fra </t>
    </r>
    <r>
      <rPr>
        <b/>
        <sz val="12"/>
        <color theme="1"/>
        <rFont val="Calibri"/>
        <family val="2"/>
        <scheme val="minor"/>
      </rPr>
      <t>30.3</t>
    </r>
    <r>
      <rPr>
        <sz val="12"/>
        <color theme="1"/>
        <rFont val="Calibri"/>
        <family val="2"/>
        <scheme val="minor"/>
      </rPr>
      <t xml:space="preserve"> til PDF-format.</t>
    </r>
  </si>
  <si>
    <r>
      <t xml:space="preserve">Utvikling: </t>
    </r>
    <r>
      <rPr>
        <sz val="12"/>
        <color theme="1"/>
        <rFont val="Calibri"/>
        <family val="2"/>
        <scheme val="minor"/>
      </rPr>
      <t>Fortsatte med eksporteringen til PDF. Satte opp PDF-scriptet jeg har skrevet i en tidligere aktivitet til å være objektorientert.</t>
    </r>
  </si>
  <si>
    <r>
      <t xml:space="preserve">Logg/Oppgaver: </t>
    </r>
    <r>
      <rPr>
        <sz val="12"/>
        <color theme="1"/>
        <rFont val="Calibri"/>
        <family val="2"/>
        <scheme val="minor"/>
      </rPr>
      <t>Jobbet videre med innleveringen som skal inn i kveld.</t>
    </r>
  </si>
  <si>
    <r>
      <t xml:space="preserve">Utvikling: </t>
    </r>
    <r>
      <rPr>
        <sz val="12"/>
        <color theme="1"/>
        <rFont val="Calibri"/>
        <family val="2"/>
        <scheme val="minor"/>
      </rPr>
      <t>Startet med å implementere kakediagram for utlisting av statistikk for studiested.</t>
    </r>
  </si>
  <si>
    <r>
      <t>Utvikling: J</t>
    </r>
    <r>
      <rPr>
        <sz val="12"/>
        <color theme="1"/>
        <rFont val="Calibri"/>
        <family val="2"/>
        <scheme val="minor"/>
      </rPr>
      <t>obbet videre med kakediagram-generering i PHP</t>
    </r>
  </si>
  <si>
    <r>
      <t xml:space="preserve">Utvikling: </t>
    </r>
    <r>
      <rPr>
        <sz val="12"/>
        <color theme="1"/>
        <rFont val="Calibri"/>
        <family val="2"/>
        <scheme val="minor"/>
      </rPr>
      <t xml:space="preserve">Jobbet videre med aktivitet </t>
    </r>
    <r>
      <rPr>
        <b/>
        <i/>
        <sz val="12"/>
        <color theme="1"/>
        <rFont val="Calibri"/>
        <family val="2"/>
        <scheme val="minor"/>
      </rPr>
      <t>30.3</t>
    </r>
    <r>
      <rPr>
        <i/>
        <sz val="12"/>
        <color theme="1"/>
        <rFont val="Calibri"/>
        <family val="2"/>
        <scheme val="minor"/>
      </rPr>
      <t xml:space="preserve">. </t>
    </r>
    <r>
      <rPr>
        <sz val="12"/>
        <color theme="1"/>
        <rFont val="Calibri"/>
        <family val="2"/>
        <scheme val="minor"/>
      </rPr>
      <t>Er ganske sikker på at jeg har spørringene som trengs nå</t>
    </r>
    <r>
      <rPr>
        <b/>
        <sz val="12"/>
        <color theme="1"/>
        <rFont val="Calibri"/>
        <family val="2"/>
        <scheme val="minor"/>
      </rPr>
      <t>.</t>
    </r>
  </si>
  <si>
    <r>
      <t xml:space="preserve">Utvikling: </t>
    </r>
    <r>
      <rPr>
        <sz val="12"/>
        <color theme="1"/>
        <rFont val="Calibri"/>
        <family val="2"/>
        <scheme val="minor"/>
      </rPr>
      <t>Gjorde ferdig kakediagrammet, var ikke enkelt men fikk det til</t>
    </r>
  </si>
  <si>
    <r>
      <t xml:space="preserve">Logg/Oppgaver: </t>
    </r>
    <r>
      <rPr>
        <sz val="12"/>
        <color theme="1"/>
        <rFont val="Calibri"/>
        <family val="2"/>
        <scheme val="minor"/>
      </rPr>
      <t>Rettet opp i innleveringen vi leverte på søndag. Vi fikk en del anbefalinger fra foreleser vi ønsker å forbedre</t>
    </r>
  </si>
  <si>
    <r>
      <t xml:space="preserve">Logg/Oppgaver: </t>
    </r>
    <r>
      <rPr>
        <sz val="12"/>
        <color theme="1"/>
        <rFont val="Calibri"/>
        <family val="2"/>
        <scheme val="minor"/>
      </rPr>
      <t>Rettet videre opp i det som vi ønsket forbedret for Sprint 4 innleveringen</t>
    </r>
  </si>
  <si>
    <r>
      <t xml:space="preserve">Utvikling: </t>
    </r>
    <r>
      <rPr>
        <sz val="12"/>
        <color theme="1"/>
        <rFont val="Calibri"/>
        <family val="2"/>
        <scheme val="minor"/>
      </rPr>
      <t>Satte inn PHP-funksjon for å sette automatisk hvor tekst skal stå i bredden samt generering av kakediagram.</t>
    </r>
  </si>
  <si>
    <r>
      <t xml:space="preserve">Utvikling: </t>
    </r>
    <r>
      <rPr>
        <sz val="12"/>
        <color theme="1"/>
        <rFont val="Calibri"/>
        <family val="2"/>
        <scheme val="minor"/>
      </rPr>
      <t>Satte opp stolpediagram i PHP</t>
    </r>
  </si>
  <si>
    <r>
      <t xml:space="preserve">Utvikling: </t>
    </r>
    <r>
      <rPr>
        <sz val="12"/>
        <color theme="1"/>
        <rFont val="Calibri"/>
        <family val="2"/>
        <scheme val="minor"/>
      </rPr>
      <t>Jobbet videre med eksporteringen</t>
    </r>
  </si>
  <si>
    <r>
      <t xml:space="preserve">Utvikling: </t>
    </r>
    <r>
      <rPr>
        <sz val="12"/>
        <color theme="1"/>
        <rFont val="Calibri"/>
        <family val="2"/>
        <scheme val="minor"/>
      </rPr>
      <t xml:space="preserve">Satte inn to nye verdier i Emne-tabellen som heter </t>
    </r>
    <r>
      <rPr>
        <b/>
        <sz val="12"/>
        <color theme="1"/>
        <rFont val="Calibri"/>
        <family val="2"/>
        <scheme val="minor"/>
      </rPr>
      <t xml:space="preserve">HitCount </t>
    </r>
    <r>
      <rPr>
        <sz val="12"/>
        <color theme="1"/>
        <rFont val="Calibri"/>
        <family val="2"/>
        <scheme val="minor"/>
      </rPr>
      <t xml:space="preserve">og </t>
    </r>
    <r>
      <rPr>
        <b/>
        <sz val="12"/>
        <color theme="1"/>
        <rFont val="Calibri"/>
        <family val="2"/>
        <scheme val="minor"/>
      </rPr>
      <t>EditCount</t>
    </r>
    <r>
      <rPr>
        <sz val="12"/>
        <color theme="1"/>
        <rFont val="Calibri"/>
        <family val="2"/>
        <scheme val="minor"/>
      </rPr>
      <t xml:space="preserve"> i databasen. Videre har jeg opprettet funksjoner i database-klassen for å hente samt appendere verdiene enkelt. Disse er bekreftet til å funke</t>
    </r>
  </si>
  <si>
    <r>
      <t xml:space="preserve">Utvikling: </t>
    </r>
    <r>
      <rPr>
        <sz val="12"/>
        <color theme="1"/>
        <rFont val="Calibri"/>
        <family val="2"/>
        <scheme val="minor"/>
      </rPr>
      <t>Så på noe kode sammen med Alexander for å liste ut verdier i sanntid frontend for så å hente disse i et array gjennom javascript til PHP-koden i backend</t>
    </r>
  </si>
  <si>
    <r>
      <rPr>
        <b/>
        <sz val="12"/>
        <color theme="1"/>
        <rFont val="Calibri"/>
        <family val="2"/>
        <scheme val="minor"/>
      </rPr>
      <t>Utvilking</t>
    </r>
    <r>
      <rPr>
        <sz val="12"/>
        <color theme="1"/>
        <rFont val="Calibri"/>
        <family val="2"/>
        <scheme val="minor"/>
      </rPr>
      <t>: Opprettet en README.MD for info om prosjektet</t>
    </r>
  </si>
  <si>
    <r>
      <rPr>
        <b/>
        <sz val="12"/>
        <color theme="1"/>
        <rFont val="Calibri"/>
        <family val="2"/>
        <scheme val="minor"/>
      </rPr>
      <t>Utvilking</t>
    </r>
    <r>
      <rPr>
        <sz val="12"/>
        <color theme="1"/>
        <rFont val="Calibri"/>
        <family val="2"/>
        <scheme val="minor"/>
      </rPr>
      <t>: Så videre litt med Alexander for hvordan vi sender et array fra javascript til PHP</t>
    </r>
  </si>
  <si>
    <r>
      <rPr>
        <b/>
        <sz val="12"/>
        <color theme="1"/>
        <rFont val="Calibri"/>
        <family val="2"/>
        <scheme val="minor"/>
      </rPr>
      <t>Utvilking</t>
    </r>
    <r>
      <rPr>
        <sz val="12"/>
        <color theme="1"/>
        <rFont val="Calibri"/>
        <family val="2"/>
        <scheme val="minor"/>
      </rPr>
      <t>: Så gjennom kode med Adrian og satte blant annet inn en ny tabell 'StudieRetning'</t>
    </r>
  </si>
  <si>
    <r>
      <rPr>
        <b/>
        <sz val="12"/>
        <color theme="1"/>
        <rFont val="Calibri"/>
        <family val="2"/>
        <scheme val="minor"/>
      </rPr>
      <t>Utvilking</t>
    </r>
    <r>
      <rPr>
        <sz val="12"/>
        <color theme="1"/>
        <rFont val="Calibri"/>
        <family val="2"/>
        <scheme val="minor"/>
      </rPr>
      <t>: Opprettet nye spørringer og funksjoner til StudieRetning. Testet alle disse</t>
    </r>
  </si>
  <si>
    <r>
      <rPr>
        <b/>
        <sz val="12"/>
        <color theme="1"/>
        <rFont val="Calibri"/>
        <family val="2"/>
        <scheme val="minor"/>
      </rPr>
      <t>Utvilking</t>
    </r>
    <r>
      <rPr>
        <sz val="12"/>
        <color theme="1"/>
        <rFont val="Calibri"/>
        <family val="2"/>
        <scheme val="minor"/>
      </rPr>
      <t>: Skrev videre tester for databaseklassen og ryddet opp</t>
    </r>
  </si>
  <si>
    <r>
      <rPr>
        <b/>
        <sz val="12"/>
        <color theme="1"/>
        <rFont val="Calibri"/>
        <family val="2"/>
        <scheme val="minor"/>
      </rPr>
      <t>Utvilking</t>
    </r>
    <r>
      <rPr>
        <sz val="12"/>
        <color theme="1"/>
        <rFont val="Calibri"/>
        <family val="2"/>
        <scheme val="minor"/>
      </rPr>
      <t>: Ryddet opp i databaseklassen og forkortet svært mye kode med  felles funksjoner</t>
    </r>
  </si>
  <si>
    <t>32.2</t>
  </si>
  <si>
    <r>
      <rPr>
        <b/>
        <sz val="12"/>
        <color theme="1"/>
        <rFont val="Calibri"/>
        <family val="2"/>
        <scheme val="minor"/>
      </rPr>
      <t>Utvilking</t>
    </r>
    <r>
      <rPr>
        <sz val="12"/>
        <color theme="1"/>
        <rFont val="Calibri"/>
        <family val="2"/>
        <scheme val="minor"/>
      </rPr>
      <t>: Satte opp at tabeller tilhørende Emne-tabellen bruker Cascade for sine fremmednøkler. Altså at alle eksterne tabeller slettes dersom et Emne slettes</t>
    </r>
  </si>
  <si>
    <r>
      <rPr>
        <b/>
        <sz val="12"/>
        <color theme="1"/>
        <rFont val="Calibri"/>
        <family val="2"/>
        <scheme val="minor"/>
      </rPr>
      <t>Utvilking</t>
    </r>
    <r>
      <rPr>
        <sz val="12"/>
        <color theme="1"/>
        <rFont val="Calibri"/>
        <family val="2"/>
        <scheme val="minor"/>
      </rPr>
      <t>: Ryddet videre opp i DatabaseQuery-klassen og satte opp alt av funksjoner i et eget test-script i PHP for å teste disse</t>
    </r>
  </si>
  <si>
    <r>
      <rPr>
        <b/>
        <sz val="12"/>
        <color theme="1"/>
        <rFont val="Calibri"/>
        <family val="2"/>
        <scheme val="minor"/>
      </rPr>
      <t xml:space="preserve">Utvikling: </t>
    </r>
    <r>
      <rPr>
        <sz val="12"/>
        <color theme="1"/>
        <rFont val="Calibri"/>
        <family val="2"/>
        <scheme val="minor"/>
      </rPr>
      <t>Satt sammen med Adrian og satt opp en trigger for sletting av undervisningssted</t>
    </r>
  </si>
  <si>
    <r>
      <rPr>
        <b/>
        <sz val="12"/>
        <color theme="1"/>
        <rFont val="Calibri"/>
        <family val="2"/>
        <scheme val="minor"/>
      </rPr>
      <t>Utvilking</t>
    </r>
    <r>
      <rPr>
        <sz val="12"/>
        <color theme="1"/>
        <rFont val="Calibri"/>
        <family val="2"/>
        <scheme val="minor"/>
      </rPr>
      <t>: Ryddet videre opp i DatabaseQuery-klassen og teste alt</t>
    </r>
  </si>
  <si>
    <t>Logg/Oppgaver: Skrev ferdig oppsummeringen og dobbelsjekket at timene var riktig.</t>
  </si>
  <si>
    <r>
      <rPr>
        <b/>
        <sz val="12"/>
        <color theme="1"/>
        <rFont val="Calibri"/>
        <family val="2"/>
        <scheme val="minor"/>
      </rPr>
      <t>Utvilking</t>
    </r>
    <r>
      <rPr>
        <sz val="12"/>
        <color theme="1"/>
        <rFont val="Calibri"/>
        <family val="2"/>
        <scheme val="minor"/>
      </rPr>
      <t xml:space="preserve">: Implementerte støtte for innskernking av søk i </t>
    </r>
    <r>
      <rPr>
        <i/>
        <sz val="12"/>
        <color theme="4" tint="-0.249977111117893"/>
        <rFont val="Calibri"/>
        <family val="2"/>
        <scheme val="minor"/>
      </rPr>
      <t>getAlleEmner(..);</t>
    </r>
    <r>
      <rPr>
        <sz val="12"/>
        <rFont val="Calibri"/>
        <family val="2"/>
        <scheme val="minor"/>
      </rPr>
      <t xml:space="preserve"> Satte opp default-verdi for paremetre slik at en kan spørre spørringen uten parametre for å få alle emner returnert uten innskrenking, eller ønskelige parametere dersom det ønskes.</t>
    </r>
  </si>
  <si>
    <r>
      <rPr>
        <b/>
        <sz val="12"/>
        <color theme="1"/>
        <rFont val="Calibri"/>
        <family val="2"/>
        <scheme val="minor"/>
      </rPr>
      <t>Utvikling:</t>
    </r>
    <r>
      <rPr>
        <sz val="12"/>
        <color theme="1"/>
        <rFont val="Calibri"/>
        <family val="2"/>
        <scheme val="minor"/>
      </rPr>
      <t xml:space="preserve"> Ryddet opp i kode og skrev dokumentasjon</t>
    </r>
  </si>
  <si>
    <r>
      <rPr>
        <b/>
        <sz val="12"/>
        <color theme="1"/>
        <rFont val="Calibri"/>
        <family val="2"/>
        <scheme val="minor"/>
      </rPr>
      <t>Utvikling:</t>
    </r>
    <r>
      <rPr>
        <sz val="12"/>
        <color theme="1"/>
        <rFont val="Calibri"/>
        <family val="2"/>
        <scheme val="minor"/>
      </rPr>
      <t xml:space="preserve"> Rettet opp i enkelte database-spørringer og testet de som ikke fra tidligere var testet</t>
    </r>
  </si>
  <si>
    <t>31.2</t>
  </si>
  <si>
    <t>31.1</t>
  </si>
  <si>
    <r>
      <rPr>
        <b/>
        <sz val="12"/>
        <color theme="1"/>
        <rFont val="Calibri"/>
        <family val="2"/>
        <scheme val="minor"/>
      </rPr>
      <t>Utvikling:</t>
    </r>
    <r>
      <rPr>
        <sz val="12"/>
        <color theme="1"/>
        <rFont val="Calibri"/>
        <family val="2"/>
        <scheme val="minor"/>
      </rPr>
      <t xml:space="preserve"> Diskuterte noe kode med Alexander</t>
    </r>
  </si>
  <si>
    <r>
      <rPr>
        <b/>
        <sz val="12"/>
        <color theme="1"/>
        <rFont val="Calibri"/>
        <family val="2"/>
        <scheme val="minor"/>
      </rPr>
      <t>Utvikling:</t>
    </r>
    <r>
      <rPr>
        <sz val="12"/>
        <color theme="1"/>
        <rFont val="Calibri"/>
        <family val="2"/>
        <scheme val="minor"/>
      </rPr>
      <t xml:space="preserve"> Så på kode sammen med Joachim for kategorisering av emner med tanke på fakulteter</t>
    </r>
  </si>
  <si>
    <r>
      <rPr>
        <b/>
        <sz val="12"/>
        <color theme="1"/>
        <rFont val="Calibri"/>
        <family val="2"/>
        <scheme val="minor"/>
      </rPr>
      <t>Utvikling:</t>
    </r>
    <r>
      <rPr>
        <sz val="12"/>
        <color theme="1"/>
        <rFont val="Calibri"/>
        <family val="2"/>
        <scheme val="minor"/>
      </rPr>
      <t xml:space="preserve"> Implementerte knapp i frontend for å eksportere statistikk til PDF fra admin-siden. Denne støtter også valg av ønsket språk til PDF</t>
    </r>
  </si>
  <si>
    <t>30.1</t>
  </si>
  <si>
    <t>35.1</t>
  </si>
  <si>
    <t>9.3</t>
  </si>
  <si>
    <r>
      <rPr>
        <b/>
        <sz val="12"/>
        <color theme="1"/>
        <rFont val="Calibri"/>
        <family val="2"/>
        <scheme val="minor"/>
      </rPr>
      <t>Utvikling:</t>
    </r>
    <r>
      <rPr>
        <sz val="12"/>
        <color theme="1"/>
        <rFont val="Calibri"/>
        <family val="2"/>
        <scheme val="minor"/>
      </rPr>
      <t xml:space="preserve"> Implementerte støtte for å arkivere et emne</t>
    </r>
  </si>
  <si>
    <r>
      <rPr>
        <b/>
        <sz val="12"/>
        <color theme="1"/>
        <rFont val="Calibri"/>
        <family val="2"/>
        <scheme val="minor"/>
      </rPr>
      <t>Utvikling:</t>
    </r>
    <r>
      <rPr>
        <sz val="12"/>
        <color theme="1"/>
        <rFont val="Calibri"/>
        <family val="2"/>
        <scheme val="minor"/>
      </rPr>
      <t xml:space="preserve"> Forbedret injection for ansvarlige i et emne</t>
    </r>
  </si>
  <si>
    <r>
      <rPr>
        <b/>
        <sz val="12"/>
        <color theme="1"/>
        <rFont val="Calibri"/>
        <family val="2"/>
        <scheme val="minor"/>
      </rPr>
      <t>Utvikling:</t>
    </r>
    <r>
      <rPr>
        <sz val="12"/>
        <color theme="1"/>
        <rFont val="Calibri"/>
        <family val="2"/>
        <scheme val="minor"/>
      </rPr>
      <t xml:space="preserve"> Startet med å opprette brukermanual</t>
    </r>
  </si>
  <si>
    <r>
      <rPr>
        <b/>
        <sz val="12"/>
        <color theme="1"/>
        <rFont val="Calibri"/>
        <family val="2"/>
        <scheme val="minor"/>
      </rPr>
      <t>Utvikling:</t>
    </r>
    <r>
      <rPr>
        <sz val="12"/>
        <color theme="1"/>
        <rFont val="Calibri"/>
        <family val="2"/>
        <scheme val="minor"/>
      </rPr>
      <t xml:space="preserve"> Jobbet videre med brukermanualen</t>
    </r>
  </si>
  <si>
    <r>
      <rPr>
        <b/>
        <sz val="12"/>
        <color theme="1"/>
        <rFont val="Calibri"/>
        <family val="2"/>
        <scheme val="minor"/>
      </rPr>
      <t>Utvikling:</t>
    </r>
    <r>
      <rPr>
        <sz val="12"/>
        <color theme="1"/>
        <rFont val="Calibri"/>
        <family val="2"/>
        <scheme val="minor"/>
      </rPr>
      <t xml:space="preserve"> Så på kode sammen med Joachim for uthenting av data fra en URL til PHP</t>
    </r>
  </si>
  <si>
    <r>
      <rPr>
        <b/>
        <sz val="12"/>
        <color theme="1"/>
        <rFont val="Calibri"/>
        <family val="2"/>
        <scheme val="minor"/>
      </rPr>
      <t>Utvikling:</t>
    </r>
    <r>
      <rPr>
        <sz val="12"/>
        <color theme="1"/>
        <rFont val="Calibri"/>
        <family val="2"/>
        <scheme val="minor"/>
      </rPr>
      <t xml:space="preserve"> Så på kode sammen med Joachim for uthenting av data fra en URL til PHP. Der var en bug i spørrings-klassen som gjorde at vi ikke fikk filtrert utlisting av emner, vi rettet denne feilen kjapt.</t>
    </r>
  </si>
  <si>
    <r>
      <t xml:space="preserve">Logg/Oppgaver: </t>
    </r>
    <r>
      <rPr>
        <sz val="12"/>
        <color theme="1"/>
        <rFont val="Calibri"/>
        <family val="2"/>
        <scheme val="minor"/>
      </rPr>
      <t>Skrev videre i timelisten og fylte ut det som mannglet i oppsummeringen.</t>
    </r>
  </si>
  <si>
    <r>
      <rPr>
        <b/>
        <sz val="12"/>
        <color theme="1"/>
        <rFont val="Calibri"/>
        <family val="2"/>
        <scheme val="minor"/>
      </rPr>
      <t>Utvikling</t>
    </r>
    <r>
      <rPr>
        <sz val="12"/>
        <color theme="1"/>
        <rFont val="Calibri"/>
        <family val="2"/>
        <scheme val="minor"/>
      </rPr>
      <t>: Jobbet videre med brukermanualen, fikk oppdaterte skjermbilder av nettsiden fra frontend-utviklerne</t>
    </r>
  </si>
  <si>
    <r>
      <rPr>
        <b/>
        <sz val="12"/>
        <color theme="1"/>
        <rFont val="Calibri"/>
        <family val="2"/>
        <scheme val="minor"/>
      </rPr>
      <t>Utvikling</t>
    </r>
    <r>
      <rPr>
        <sz val="12"/>
        <color theme="1"/>
        <rFont val="Calibri"/>
        <family val="2"/>
        <scheme val="minor"/>
      </rPr>
      <t>: Satte inn på emnevisnings-siden en sjekk slik at kun den som eier emnet kan gjøre visse endringer</t>
    </r>
  </si>
  <si>
    <r>
      <rPr>
        <b/>
        <sz val="12"/>
        <color theme="1"/>
        <rFont val="Calibri"/>
        <family val="2"/>
        <scheme val="minor"/>
      </rPr>
      <t>Utvikling</t>
    </r>
    <r>
      <rPr>
        <sz val="12"/>
        <color theme="1"/>
        <rFont val="Calibri"/>
        <family val="2"/>
        <scheme val="minor"/>
      </rPr>
      <t>: Gikk gjennom noe kode med Martin i hans branch og merget en del kode inn til vår felles branch</t>
    </r>
  </si>
  <si>
    <r>
      <rPr>
        <b/>
        <sz val="12"/>
        <color theme="1"/>
        <rFont val="Calibri"/>
        <family val="2"/>
        <scheme val="minor"/>
      </rPr>
      <t>Utvikling</t>
    </r>
    <r>
      <rPr>
        <sz val="12"/>
        <color theme="1"/>
        <rFont val="Calibri"/>
        <family val="2"/>
        <scheme val="minor"/>
      </rPr>
      <t>: Startet med å implementere funksjonalitet for glemt passord</t>
    </r>
  </si>
  <si>
    <r>
      <rPr>
        <b/>
        <sz val="12"/>
        <color theme="1"/>
        <rFont val="Calibri"/>
        <family val="2"/>
        <scheme val="minor"/>
      </rPr>
      <t>Utvikling</t>
    </r>
    <r>
      <rPr>
        <sz val="12"/>
        <color theme="1"/>
        <rFont val="Calibri"/>
        <family val="2"/>
        <scheme val="minor"/>
      </rPr>
      <t>: Endret utseendet på epost som blir sendt fra PHP-koden og satte inn dynamisk tekst som kan endres enkelt i funksjonen som alle PHP-filene arver</t>
    </r>
  </si>
  <si>
    <r>
      <rPr>
        <b/>
        <sz val="12"/>
        <color theme="1"/>
        <rFont val="Calibri"/>
        <family val="2"/>
        <scheme val="minor"/>
      </rPr>
      <t>Utvikling</t>
    </r>
    <r>
      <rPr>
        <sz val="12"/>
        <color theme="1"/>
        <rFont val="Calibri"/>
        <family val="2"/>
        <scheme val="minor"/>
      </rPr>
      <t>: Startet med å implementere støtte for den innloggede brukers egne emner i visAlleEmner.php søkefunksjonensiden</t>
    </r>
  </si>
  <si>
    <r>
      <rPr>
        <b/>
        <sz val="12"/>
        <color theme="1"/>
        <rFont val="Calibri"/>
        <family val="2"/>
        <scheme val="minor"/>
      </rPr>
      <t>Utvikling</t>
    </r>
    <r>
      <rPr>
        <sz val="12"/>
        <color theme="1"/>
        <rFont val="Calibri"/>
        <family val="2"/>
        <scheme val="minor"/>
      </rPr>
      <t>: Fortsatte med å implementere støtte for visning av innloggede brukers side og forbedred update-injeksjonen til databasen når bruker ønsker å redigere sin brukerinfo</t>
    </r>
  </si>
  <si>
    <r>
      <rPr>
        <b/>
        <sz val="12"/>
        <color theme="1"/>
        <rFont val="Calibri"/>
        <family val="2"/>
        <scheme val="minor"/>
      </rPr>
      <t>Utvikling</t>
    </r>
    <r>
      <rPr>
        <sz val="12"/>
        <color theme="1"/>
        <rFont val="Calibri"/>
        <family val="2"/>
        <scheme val="minor"/>
      </rPr>
      <t>: Gjorde ferdig epostverifikasjon av bruker og oppdaterte Bruker-tabellen med nødvendige felter for verifikasjon.</t>
    </r>
  </si>
  <si>
    <r>
      <rPr>
        <b/>
        <sz val="12"/>
        <color theme="1"/>
        <rFont val="Calibri"/>
        <family val="2"/>
        <scheme val="minor"/>
      </rPr>
      <t>Logg/Oppgaver:</t>
    </r>
    <r>
      <rPr>
        <sz val="12"/>
        <color theme="1"/>
        <rFont val="Calibri"/>
        <family val="2"/>
        <scheme val="minor"/>
      </rPr>
      <t xml:space="preserve"> Skrev på Sprint-5 innleveringen</t>
    </r>
  </si>
  <si>
    <r>
      <rPr>
        <b/>
        <sz val="12"/>
        <color theme="1"/>
        <rFont val="Calibri"/>
        <family val="2"/>
        <scheme val="minor"/>
      </rPr>
      <t>Utvikling</t>
    </r>
    <r>
      <rPr>
        <sz val="12"/>
        <color theme="1"/>
        <rFont val="Calibri"/>
        <family val="2"/>
        <scheme val="minor"/>
      </rPr>
      <t>: Fikset bug i spørring hvor jeg hadde sjekket om assossierende tabell var NULL og ikke tom..</t>
    </r>
  </si>
  <si>
    <r>
      <rPr>
        <b/>
        <sz val="12"/>
        <color theme="1"/>
        <rFont val="Calibri"/>
        <family val="2"/>
        <scheme val="minor"/>
      </rPr>
      <t>Utvikling</t>
    </r>
    <r>
      <rPr>
        <sz val="12"/>
        <color theme="1"/>
        <rFont val="Calibri"/>
        <family val="2"/>
        <scheme val="minor"/>
      </rPr>
      <t>: Satte inn parametre i URL-headeren for å sette godkjenning på et emne. Opprettet PHP-script som endrer status på et emne ved godkjenning</t>
    </r>
  </si>
  <si>
    <r>
      <rPr>
        <b/>
        <sz val="12"/>
        <color theme="1"/>
        <rFont val="Calibri"/>
        <family val="2"/>
        <scheme val="minor"/>
      </rPr>
      <t>Utvikling</t>
    </r>
    <r>
      <rPr>
        <sz val="12"/>
        <color theme="1"/>
        <rFont val="Calibri"/>
        <family val="2"/>
        <scheme val="minor"/>
      </rPr>
      <t xml:space="preserve">: Fikset bug hvor det ble brukt </t>
    </r>
    <r>
      <rPr>
        <b/>
        <i/>
        <sz val="12"/>
        <color theme="1"/>
        <rFont val="Calibri"/>
        <family val="2"/>
        <scheme val="minor"/>
      </rPr>
      <t>!=</t>
    </r>
    <r>
      <rPr>
        <sz val="12"/>
        <color theme="1"/>
        <rFont val="Calibri"/>
        <family val="2"/>
        <scheme val="minor"/>
      </rPr>
      <t xml:space="preserve"> og ikke </t>
    </r>
    <r>
      <rPr>
        <b/>
        <i/>
        <sz val="12"/>
        <color theme="1"/>
        <rFont val="Calibri"/>
        <family val="2"/>
        <scheme val="minor"/>
      </rPr>
      <t>!==</t>
    </r>
    <r>
      <rPr>
        <sz val="12"/>
        <color theme="1"/>
        <rFont val="Calibri"/>
        <family val="2"/>
        <scheme val="minor"/>
      </rPr>
      <t xml:space="preserve"> ettersom 0!=NULL fill gi false. Ønsket i dette tilfellet å sjekke om variabelen KUN var NULL. Økte sikkerhetern i et script med å sjekke om bruker er eier av emnet</t>
    </r>
  </si>
  <si>
    <r>
      <rPr>
        <b/>
        <sz val="12"/>
        <color theme="1"/>
        <rFont val="Calibri"/>
        <family val="2"/>
        <scheme val="minor"/>
      </rPr>
      <t>Utvikling</t>
    </r>
    <r>
      <rPr>
        <sz val="12"/>
        <color theme="1"/>
        <rFont val="Calibri"/>
        <family val="2"/>
        <scheme val="minor"/>
      </rPr>
      <t>: Flettet sammen noe kode i Git med Alexander og Vegard</t>
    </r>
  </si>
  <si>
    <r>
      <rPr>
        <b/>
        <sz val="12"/>
        <color theme="1"/>
        <rFont val="Calibri"/>
        <family val="2"/>
        <scheme val="minor"/>
      </rPr>
      <t>Utvikling</t>
    </r>
    <r>
      <rPr>
        <sz val="12"/>
        <color theme="1"/>
        <rFont val="Calibri"/>
        <family val="2"/>
        <scheme val="minor"/>
      </rPr>
      <t>: Så på kode sammen med gruppa og forbedret her og der</t>
    </r>
  </si>
  <si>
    <r>
      <rPr>
        <b/>
        <sz val="12"/>
        <color theme="1"/>
        <rFont val="Calibri"/>
        <family val="2"/>
        <scheme val="minor"/>
      </rPr>
      <t>Utvikling</t>
    </r>
    <r>
      <rPr>
        <sz val="12"/>
        <color theme="1"/>
        <rFont val="Calibri"/>
        <family val="2"/>
        <scheme val="minor"/>
      </rPr>
      <t>: Gikk sammen med hele gruppa og flettet sammen kode og diskuterte</t>
    </r>
  </si>
  <si>
    <t>40.1</t>
  </si>
  <si>
    <t>39.3</t>
  </si>
  <si>
    <t>36.2</t>
  </si>
  <si>
    <r>
      <rPr>
        <b/>
        <sz val="12"/>
        <color theme="1"/>
        <rFont val="Calibri"/>
        <family val="2"/>
        <scheme val="minor"/>
      </rPr>
      <t>Utvikling</t>
    </r>
    <r>
      <rPr>
        <sz val="12"/>
        <color theme="1"/>
        <rFont val="Calibri"/>
        <family val="2"/>
        <scheme val="minor"/>
      </rPr>
      <t>: Opprettet script for å generere tilfeldig SHA1 nøkkel med md5 for verifikasjon av brukerkonto. Så på hvordan man redirigerer til et PHP script med parametre i URL-headeren fra lokasjon utenfor domenet</t>
    </r>
  </si>
  <si>
    <t>39.2</t>
  </si>
  <si>
    <r>
      <rPr>
        <b/>
        <sz val="12"/>
        <color theme="1"/>
        <rFont val="Calibri"/>
        <family val="2"/>
        <scheme val="minor"/>
      </rPr>
      <t>Utvikling</t>
    </r>
    <r>
      <rPr>
        <sz val="12"/>
        <color theme="1"/>
        <rFont val="Calibri"/>
        <family val="2"/>
        <scheme val="minor"/>
      </rPr>
      <t>: Opprettet epostklient med Gmail som jeg kan bruke programmatisk i PHP for å automatisk sende eposter med SMTP-protokollen med PHPMailer-biblioteket</t>
    </r>
  </si>
  <si>
    <r>
      <rPr>
        <b/>
        <sz val="12"/>
        <color theme="1"/>
        <rFont val="Calibri"/>
        <family val="2"/>
        <scheme val="minor"/>
      </rPr>
      <t>Utvikling</t>
    </r>
    <r>
      <rPr>
        <sz val="12"/>
        <color theme="1"/>
        <rFont val="Calibri"/>
        <family val="2"/>
        <scheme val="minor"/>
      </rPr>
      <t>: Fortsettet med utvikling av automatisk epostsending i PHP</t>
    </r>
  </si>
  <si>
    <t>36.1</t>
  </si>
  <si>
    <r>
      <rPr>
        <b/>
        <sz val="12"/>
        <color theme="1"/>
        <rFont val="Calibri"/>
        <family val="2"/>
        <scheme val="minor"/>
      </rPr>
      <t>Utvikling</t>
    </r>
    <r>
      <rPr>
        <sz val="12"/>
        <color theme="1"/>
        <rFont val="Calibri"/>
        <family val="2"/>
        <scheme val="minor"/>
      </rPr>
      <t>: Fikset sending av array til backend fra frontend ved hjelp av json-dekoding og assossierende arrays</t>
    </r>
  </si>
  <si>
    <r>
      <rPr>
        <b/>
        <sz val="12"/>
        <color theme="1"/>
        <rFont val="Calibri"/>
        <family val="2"/>
        <scheme val="minor"/>
      </rPr>
      <t>Utvikling</t>
    </r>
    <r>
      <rPr>
        <sz val="12"/>
        <color theme="1"/>
        <rFont val="Calibri"/>
        <family val="2"/>
        <scheme val="minor"/>
      </rPr>
      <t>: Forbedret funksjonen for sending av epost slik at den også tar i mot tekst for knappen og url i knappen, dette er nyttig for eks. verifisering av brukerkonto og hendelser om brukers emne</t>
    </r>
  </si>
  <si>
    <r>
      <rPr>
        <b/>
        <sz val="12"/>
        <color theme="1"/>
        <rFont val="Calibri"/>
        <family val="2"/>
        <scheme val="minor"/>
      </rPr>
      <t>Utvikling</t>
    </r>
    <r>
      <rPr>
        <sz val="12"/>
        <color theme="1"/>
        <rFont val="Calibri"/>
        <family val="2"/>
        <scheme val="minor"/>
      </rPr>
      <t>: Forbedret utseendet til eposten</t>
    </r>
  </si>
  <si>
    <r>
      <rPr>
        <b/>
        <sz val="12"/>
        <color theme="1"/>
        <rFont val="Calibri"/>
        <family val="2"/>
        <scheme val="minor"/>
      </rPr>
      <t>Utvikling</t>
    </r>
    <r>
      <rPr>
        <sz val="12"/>
        <color theme="1"/>
        <rFont val="Calibri"/>
        <family val="2"/>
        <scheme val="minor"/>
      </rPr>
      <t>: Så på noe kode sammen med Eivind og merget til felles branch i Git</t>
    </r>
  </si>
  <si>
    <r>
      <rPr>
        <b/>
        <sz val="12"/>
        <color theme="1"/>
        <rFont val="Calibri"/>
        <family val="2"/>
        <scheme val="minor"/>
      </rPr>
      <t>Utvikling</t>
    </r>
    <r>
      <rPr>
        <sz val="12"/>
        <color theme="1"/>
        <rFont val="Calibri"/>
        <family val="2"/>
        <scheme val="minor"/>
      </rPr>
      <t>: Jobbet videre med verifisering av bruker gjennom epost og forbedret dette</t>
    </r>
  </si>
  <si>
    <r>
      <rPr>
        <b/>
        <sz val="12"/>
        <color theme="1"/>
        <rFont val="Calibri"/>
        <family val="2"/>
        <scheme val="minor"/>
      </rPr>
      <t>Utvikling</t>
    </r>
    <r>
      <rPr>
        <sz val="12"/>
        <color theme="1"/>
        <rFont val="Calibri"/>
        <family val="2"/>
        <scheme val="minor"/>
      </rPr>
      <t>: Testet og videreutviklet funksjonaliteten for tilsending av nytt passord per epost til brukeren. Har ikke testet det å faktisk sende epost, men har gjort det som trengs så trenger bare lime inn</t>
    </r>
  </si>
  <si>
    <r>
      <rPr>
        <b/>
        <sz val="12"/>
        <color theme="1"/>
        <rFont val="Calibri"/>
        <family val="2"/>
        <scheme val="minor"/>
      </rPr>
      <t>Utvikling</t>
    </r>
    <r>
      <rPr>
        <sz val="12"/>
        <color theme="1"/>
        <rFont val="Calibri"/>
        <family val="2"/>
        <scheme val="minor"/>
      </rPr>
      <t>: Implementerte sjekk av brukertype på administrerende side samt videreutviklet epostklienten slik at den kan ta imot flere epostadresser for n-antall raskere prosessering</t>
    </r>
  </si>
  <si>
    <r>
      <rPr>
        <b/>
        <sz val="12"/>
        <color theme="1"/>
        <rFont val="Calibri"/>
        <family val="2"/>
        <scheme val="minor"/>
      </rPr>
      <t>Logg/Oppgaver</t>
    </r>
    <r>
      <rPr>
        <sz val="12"/>
        <color theme="1"/>
        <rFont val="Calibri"/>
        <family val="2"/>
        <scheme val="minor"/>
      </rPr>
      <t>: Jobbet med innleveringen til søndagen</t>
    </r>
  </si>
  <si>
    <r>
      <t xml:space="preserve">Logg/Oppgaver: </t>
    </r>
    <r>
      <rPr>
        <sz val="12"/>
        <color theme="1"/>
        <rFont val="Calibri"/>
        <family val="2"/>
        <scheme val="minor"/>
      </rPr>
      <t>Rettet opp en feil i Sprint-5 innleveringen som nettopp ble levert</t>
    </r>
  </si>
  <si>
    <r>
      <rPr>
        <b/>
        <sz val="12"/>
        <color theme="1"/>
        <rFont val="Calibri"/>
        <family val="2"/>
        <scheme val="minor"/>
      </rPr>
      <t>Administrativt:</t>
    </r>
    <r>
      <rPr>
        <sz val="12"/>
        <color theme="1"/>
        <rFont val="Calibri"/>
        <family val="2"/>
        <scheme val="minor"/>
      </rPr>
      <t xml:space="preserve"> Sprint-Review 5</t>
    </r>
  </si>
  <si>
    <r>
      <t xml:space="preserve">Logg/Oppgaver: </t>
    </r>
    <r>
      <rPr>
        <sz val="12"/>
        <color theme="1"/>
        <rFont val="Calibri"/>
        <family val="2"/>
        <scheme val="minor"/>
      </rPr>
      <t>Diskutering om presentasjoen vi skal ha til neste uke</t>
    </r>
  </si>
  <si>
    <r>
      <t xml:space="preserve">Logg/Oppgaver: </t>
    </r>
    <r>
      <rPr>
        <sz val="12"/>
        <color theme="1"/>
        <rFont val="Calibri"/>
        <family val="2"/>
        <scheme val="minor"/>
      </rPr>
      <t>Ferdigstilling av innleveringen som skal inn i kveld</t>
    </r>
  </si>
  <si>
    <r>
      <rPr>
        <b/>
        <sz val="12"/>
        <color theme="1"/>
        <rFont val="Calibri"/>
        <family val="2"/>
        <scheme val="minor"/>
      </rPr>
      <t>Administrativt:</t>
    </r>
    <r>
      <rPr>
        <sz val="12"/>
        <color theme="1"/>
        <rFont val="Calibri"/>
        <family val="2"/>
        <scheme val="minor"/>
      </rPr>
      <t xml:space="preserve"> Forbederelse presentasjon</t>
    </r>
  </si>
  <si>
    <t>Utvikling: Så over prosjektet og rettet opp feilmeldinger her og der</t>
  </si>
  <si>
    <t>Utvikling: La til favicon til nettstedet og rettet en feilmelding i profilsiden for endring av informasjon. Så over prosjektet</t>
  </si>
  <si>
    <r>
      <t xml:space="preserve">Administrativt: </t>
    </r>
    <r>
      <rPr>
        <sz val="12"/>
        <color theme="1"/>
        <rFont val="Calibri"/>
        <family val="2"/>
        <scheme val="minor"/>
      </rPr>
      <t>Diskusjon mot presentasjonen</t>
    </r>
  </si>
  <si>
    <r>
      <t xml:space="preserve">Administrativt: </t>
    </r>
    <r>
      <rPr>
        <sz val="12"/>
        <color theme="1"/>
        <rFont val="Calibri"/>
        <family val="2"/>
        <scheme val="minor"/>
      </rPr>
      <t>Fortsettet opprettelsen av PowerPoint presentasjon for fremvisningen</t>
    </r>
  </si>
  <si>
    <t>Teori: V4. Prosjektstyring og rapportering del 2</t>
  </si>
  <si>
    <t>Administrativt: Møte</t>
  </si>
  <si>
    <t>Utvikling: Oppsetting av litt database-diagram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</si>
</sst>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hh:mm;@"/>
    <numFmt numFmtId="166" formatCode="[h]:mm"/>
    <numFmt numFmtId="167" formatCode="yyyy\-mm\-dd;@"/>
    <numFmt numFmtId="168" formatCode="[hh]:mm;@"/>
  </numFmts>
  <fonts count="37" x14ac:knownFonts="1">
    <font>
      <sz val="10"/>
      <color theme="1"/>
      <name val="Verdana"/>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i/>
      <sz val="10"/>
      <color theme="1"/>
      <name val="Verdana"/>
      <family val="2"/>
    </font>
    <font>
      <sz val="9"/>
      <color theme="1"/>
      <name val="Verdana"/>
      <family val="2"/>
    </font>
    <font>
      <i/>
      <sz val="9"/>
      <color theme="1"/>
      <name val="Verdana"/>
      <family val="2"/>
    </font>
    <font>
      <b/>
      <sz val="9"/>
      <color theme="8" tint="-0.249977111117893"/>
      <name val="Verdana"/>
      <family val="2"/>
    </font>
    <font>
      <sz val="8"/>
      <color theme="1"/>
      <name val="Verdana"/>
      <family val="2"/>
    </font>
    <font>
      <b/>
      <sz val="10"/>
      <color theme="8" tint="-0.249977111117893"/>
      <name val="Verdana"/>
      <family val="2"/>
    </font>
    <font>
      <u/>
      <sz val="10"/>
      <color theme="10"/>
      <name val="Verdana"/>
      <family val="2"/>
    </font>
    <font>
      <sz val="10"/>
      <color theme="10"/>
      <name val="Verdana"/>
      <family val="2"/>
    </font>
    <font>
      <sz val="11"/>
      <color theme="1"/>
      <name val="Verdana"/>
      <family val="2"/>
    </font>
    <font>
      <sz val="18"/>
      <color theme="1"/>
      <name val="Verdana"/>
      <family val="2"/>
    </font>
    <font>
      <sz val="10"/>
      <color theme="1"/>
      <name val="Verdana"/>
      <family val="2"/>
    </font>
    <font>
      <sz val="20"/>
      <color theme="1"/>
      <name val="Verdana"/>
      <family val="2"/>
    </font>
    <font>
      <b/>
      <sz val="18"/>
      <color theme="1"/>
      <name val="Calibri Light"/>
      <family val="2"/>
      <scheme val="major"/>
    </font>
    <font>
      <sz val="12"/>
      <color theme="1"/>
      <name val="Calibri"/>
      <family val="2"/>
      <scheme val="minor"/>
    </font>
    <font>
      <b/>
      <sz val="12"/>
      <color theme="1"/>
      <name val="Calibri Light"/>
      <family val="2"/>
      <scheme val="major"/>
    </font>
    <font>
      <b/>
      <sz val="12"/>
      <color theme="1"/>
      <name val="Calibri"/>
      <family val="2"/>
      <scheme val="minor"/>
    </font>
    <font>
      <b/>
      <sz val="12"/>
      <color theme="8" tint="-0.249977111117893"/>
      <name val="Calibri"/>
      <family val="2"/>
      <scheme val="minor"/>
    </font>
    <font>
      <b/>
      <sz val="16"/>
      <color theme="1"/>
      <name val="Calibri"/>
      <family val="2"/>
      <scheme val="minor"/>
    </font>
    <font>
      <b/>
      <sz val="18"/>
      <color theme="1"/>
      <name val="Calibri"/>
      <family val="2"/>
      <scheme val="minor"/>
    </font>
    <font>
      <sz val="10"/>
      <color theme="1"/>
      <name val="Calibri"/>
      <family val="2"/>
      <scheme val="minor"/>
    </font>
    <font>
      <sz val="20"/>
      <color theme="1"/>
      <name val="Calibri"/>
      <family val="2"/>
      <scheme val="minor"/>
    </font>
    <font>
      <b/>
      <sz val="12"/>
      <color rgb="FF305496"/>
      <name val="Calibri"/>
      <family val="2"/>
    </font>
    <font>
      <b/>
      <sz val="10"/>
      <color theme="1"/>
      <name val="Verdana"/>
      <family val="2"/>
    </font>
    <font>
      <sz val="9"/>
      <color indexed="81"/>
      <name val="Tahoma"/>
      <family val="2"/>
    </font>
    <font>
      <b/>
      <sz val="9"/>
      <color indexed="81"/>
      <name val="Tahoma"/>
      <family val="2"/>
    </font>
    <font>
      <sz val="12"/>
      <color theme="1"/>
      <name val="Calibri"/>
      <family val="2"/>
      <scheme val="minor"/>
    </font>
    <font>
      <sz val="8"/>
      <name val="Verdana"/>
      <family val="2"/>
    </font>
    <font>
      <sz val="10"/>
      <color theme="0" tint="-0.249977111117893"/>
      <name val="Verdana"/>
      <family val="2"/>
    </font>
    <font>
      <i/>
      <sz val="12"/>
      <color theme="1"/>
      <name val="Calibri"/>
      <family val="2"/>
      <scheme val="minor"/>
    </font>
    <font>
      <b/>
      <i/>
      <sz val="12"/>
      <color theme="1"/>
      <name val="Calibri"/>
      <family val="2"/>
      <scheme val="minor"/>
    </font>
    <font>
      <i/>
      <sz val="12"/>
      <color theme="4" tint="-0.249977111117893"/>
      <name val="Calibri"/>
      <family val="2"/>
      <scheme val="minor"/>
    </font>
    <font>
      <sz val="12"/>
      <name val="Calibri"/>
      <family val="2"/>
      <scheme val="minor"/>
    </font>
  </fonts>
  <fills count="17">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9" tint="0.59999389629810485"/>
        <bgColor indexed="65"/>
      </patternFill>
    </fill>
    <fill>
      <patternFill patternType="solid">
        <fgColor rgb="FFFF5757"/>
        <bgColor indexed="64"/>
      </patternFill>
    </fill>
    <fill>
      <patternFill patternType="solid">
        <fgColor rgb="FFBDD7EE"/>
        <bgColor indexed="64"/>
      </patternFill>
    </fill>
    <fill>
      <patternFill patternType="solid">
        <fgColor rgb="FFFFE699"/>
        <bgColor indexed="64"/>
      </patternFill>
    </fill>
    <fill>
      <patternFill patternType="solid">
        <fgColor rgb="FFC6E0B4"/>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E698"/>
        <bgColor indexed="64"/>
      </patternFill>
    </fill>
    <fill>
      <patternFill patternType="solid">
        <fgColor theme="0" tint="-0.249977111117893"/>
        <bgColor indexed="64"/>
      </patternFill>
    </fill>
  </fills>
  <borders count="2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style="thick">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rgb="FF000000"/>
      </right>
      <top/>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right style="medium">
        <color rgb="FF000000"/>
      </right>
      <top style="medium">
        <color auto="1"/>
      </top>
      <bottom/>
      <diagonal/>
    </border>
    <border>
      <left/>
      <right style="medium">
        <color rgb="FF000000"/>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bottom style="medium">
        <color rgb="FF000000"/>
      </bottom>
      <diagonal/>
    </border>
    <border>
      <left style="medium">
        <color auto="1"/>
      </left>
      <right/>
      <top style="medium">
        <color rgb="FF000000"/>
      </top>
      <bottom/>
      <diagonal/>
    </border>
    <border>
      <left style="medium">
        <color indexed="64"/>
      </left>
      <right style="medium">
        <color indexed="64"/>
      </right>
      <top/>
      <bottom style="medium">
        <color indexed="64"/>
      </bottom>
      <diagonal/>
    </border>
    <border>
      <left style="medium">
        <color auto="1"/>
      </left>
      <right/>
      <top/>
      <bottom style="medium">
        <color rgb="FF000000"/>
      </bottom>
      <diagonal/>
    </border>
    <border>
      <left style="medium">
        <color indexed="64"/>
      </left>
      <right style="medium">
        <color indexed="64"/>
      </right>
      <top/>
      <bottom style="medium">
        <color rgb="FF000000"/>
      </bottom>
      <diagonal/>
    </border>
    <border>
      <left/>
      <right style="medium">
        <color indexed="64"/>
      </right>
      <top/>
      <bottom style="medium">
        <color rgb="FF000000"/>
      </bottom>
      <diagonal/>
    </border>
  </borders>
  <cellStyleXfs count="7">
    <xf numFmtId="0" fontId="0" fillId="0" borderId="0"/>
    <xf numFmtId="0" fontId="11" fillId="0" borderId="0" applyNumberFormat="0" applyFill="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cellStyleXfs>
  <cellXfs count="420">
    <xf numFmtId="0" fontId="0" fillId="0" borderId="0" xfId="0"/>
    <xf numFmtId="0" fontId="0" fillId="0" borderId="0" xfId="0" applyAlignment="1">
      <alignment vertical="center"/>
    </xf>
    <xf numFmtId="0" fontId="0" fillId="0" borderId="1" xfId="0" applyBorder="1"/>
    <xf numFmtId="14" fontId="0" fillId="0" borderId="1" xfId="0" applyNumberFormat="1" applyBorder="1"/>
    <xf numFmtId="0" fontId="5" fillId="2" borderId="1" xfId="0" applyFont="1" applyFill="1" applyBorder="1"/>
    <xf numFmtId="0" fontId="0" fillId="0" borderId="0" xfId="0" applyBorder="1"/>
    <xf numFmtId="0" fontId="12" fillId="3" borderId="0" xfId="1" applyFont="1" applyFill="1" applyBorder="1" applyAlignment="1">
      <alignment horizontal="center" vertical="center"/>
    </xf>
    <xf numFmtId="0" fontId="0" fillId="3" borderId="0" xfId="0" applyFill="1" applyBorder="1"/>
    <xf numFmtId="164" fontId="6" fillId="3" borderId="0" xfId="0" applyNumberFormat="1" applyFont="1" applyFill="1" applyBorder="1" applyAlignment="1">
      <alignment horizontal="center"/>
    </xf>
    <xf numFmtId="0" fontId="9" fillId="3" borderId="0" xfId="0" applyFont="1" applyFill="1" applyBorder="1"/>
    <xf numFmtId="164" fontId="10" fillId="3" borderId="0" xfId="0" applyNumberFormat="1" applyFont="1" applyFill="1" applyBorder="1" applyAlignment="1">
      <alignment horizontal="center"/>
    </xf>
    <xf numFmtId="164" fontId="8" fillId="3" borderId="0" xfId="0" applyNumberFormat="1" applyFont="1" applyFill="1" applyBorder="1" applyAlignment="1">
      <alignment horizontal="center"/>
    </xf>
    <xf numFmtId="20" fontId="6" fillId="0" borderId="0" xfId="0" applyNumberFormat="1" applyFont="1" applyBorder="1" applyAlignment="1">
      <alignment horizontal="center"/>
    </xf>
    <xf numFmtId="0" fontId="0" fillId="3" borderId="0" xfId="0" applyFill="1" applyBorder="1" applyAlignment="1">
      <alignment vertical="center"/>
    </xf>
    <xf numFmtId="0" fontId="7" fillId="0" borderId="0" xfId="0" applyFont="1" applyAlignment="1"/>
    <xf numFmtId="0" fontId="0" fillId="0" borderId="0" xfId="0" applyBorder="1" applyAlignment="1">
      <alignment horizontal="right"/>
    </xf>
    <xf numFmtId="0" fontId="10" fillId="0" borderId="0" xfId="0" applyFont="1" applyBorder="1" applyAlignment="1">
      <alignment horizontal="center"/>
    </xf>
    <xf numFmtId="0" fontId="10" fillId="0" borderId="0" xfId="0" applyFont="1" applyBorder="1" applyAlignment="1">
      <alignment horizontal="right"/>
    </xf>
    <xf numFmtId="165" fontId="8" fillId="0" borderId="0" xfId="0" applyNumberFormat="1" applyFont="1" applyFill="1" applyBorder="1" applyAlignment="1">
      <alignment horizontal="center"/>
    </xf>
    <xf numFmtId="165" fontId="14" fillId="0" borderId="0" xfId="0" applyNumberFormat="1" applyFont="1" applyAlignment="1">
      <alignment vertical="top"/>
    </xf>
    <xf numFmtId="0" fontId="13" fillId="0" borderId="0" xfId="0" applyFont="1" applyAlignment="1">
      <alignment vertical="center"/>
    </xf>
    <xf numFmtId="165" fontId="0" fillId="0" borderId="0" xfId="0" applyNumberFormat="1"/>
    <xf numFmtId="165" fontId="15" fillId="0" borderId="0" xfId="0" applyNumberFormat="1" applyFont="1" applyBorder="1" applyAlignment="1"/>
    <xf numFmtId="0" fontId="15" fillId="0" borderId="0" xfId="0" applyFont="1" applyAlignment="1">
      <alignment vertical="top"/>
    </xf>
    <xf numFmtId="0" fontId="15" fillId="0" borderId="0" xfId="0" applyFont="1" applyAlignment="1">
      <alignment vertical="top" wrapText="1"/>
    </xf>
    <xf numFmtId="0" fontId="15" fillId="0" borderId="0" xfId="0" applyFont="1"/>
    <xf numFmtId="0" fontId="16" fillId="3" borderId="0" xfId="3" applyFont="1" applyFill="1" applyBorder="1" applyAlignment="1">
      <alignment horizontal="centerContinuous" vertical="center"/>
    </xf>
    <xf numFmtId="0" fontId="9" fillId="0" borderId="2" xfId="0" applyFont="1" applyBorder="1"/>
    <xf numFmtId="0" fontId="17" fillId="0" borderId="2" xfId="0" applyFont="1" applyBorder="1" applyAlignment="1"/>
    <xf numFmtId="0" fontId="0" fillId="0" borderId="0" xfId="0" applyBorder="1" applyAlignment="1">
      <alignment vertical="top"/>
    </xf>
    <xf numFmtId="0" fontId="0" fillId="0" borderId="0" xfId="0" applyBorder="1" applyAlignment="1">
      <alignment vertical="top" wrapText="1"/>
    </xf>
    <xf numFmtId="14" fontId="18" fillId="5" borderId="3" xfId="3" applyNumberFormat="1" applyFont="1" applyBorder="1" applyAlignment="1">
      <alignment horizontal="left"/>
    </xf>
    <xf numFmtId="165" fontId="18" fillId="5" borderId="0" xfId="3" applyNumberFormat="1" applyFont="1" applyBorder="1" applyAlignment="1">
      <alignment horizontal="left"/>
    </xf>
    <xf numFmtId="14" fontId="18" fillId="5" borderId="7" xfId="3" applyNumberFormat="1" applyFont="1" applyBorder="1" applyAlignment="1">
      <alignment horizontal="left"/>
    </xf>
    <xf numFmtId="165" fontId="18" fillId="5" borderId="8" xfId="3" applyNumberFormat="1" applyFont="1" applyBorder="1" applyAlignment="1">
      <alignment horizontal="left"/>
    </xf>
    <xf numFmtId="14" fontId="18" fillId="0" borderId="3" xfId="0" applyNumberFormat="1" applyFont="1" applyBorder="1" applyAlignment="1">
      <alignment horizontal="left"/>
    </xf>
    <xf numFmtId="165" fontId="18" fillId="0" borderId="0" xfId="0" applyNumberFormat="1" applyFont="1" applyBorder="1" applyAlignment="1">
      <alignment horizontal="left"/>
    </xf>
    <xf numFmtId="14" fontId="18" fillId="3" borderId="3" xfId="3" applyNumberFormat="1" applyFont="1" applyFill="1" applyBorder="1" applyAlignment="1">
      <alignment horizontal="left"/>
    </xf>
    <xf numFmtId="165" fontId="18" fillId="3" borderId="0" xfId="3" applyNumberFormat="1" applyFont="1" applyFill="1" applyBorder="1" applyAlignment="1">
      <alignment horizontal="left"/>
    </xf>
    <xf numFmtId="14" fontId="18" fillId="0" borderId="10" xfId="0" applyNumberFormat="1" applyFont="1" applyBorder="1" applyAlignment="1">
      <alignment horizontal="left"/>
    </xf>
    <xf numFmtId="20" fontId="18" fillId="0" borderId="2" xfId="0" applyNumberFormat="1" applyFont="1" applyBorder="1" applyAlignment="1">
      <alignment horizontal="left"/>
    </xf>
    <xf numFmtId="0" fontId="21" fillId="0" borderId="0" xfId="0" applyFont="1" applyBorder="1" applyAlignment="1">
      <alignment horizontal="left"/>
    </xf>
    <xf numFmtId="0" fontId="20" fillId="4" borderId="0" xfId="2" applyFont="1" applyAlignment="1">
      <alignment horizontal="center" vertical="top"/>
    </xf>
    <xf numFmtId="0" fontId="20" fillId="7" borderId="0" xfId="5" applyFont="1" applyAlignment="1">
      <alignment horizontal="center" vertical="top"/>
    </xf>
    <xf numFmtId="0" fontId="20" fillId="9" borderId="0" xfId="4" applyFont="1" applyFill="1" applyAlignment="1">
      <alignment horizontal="center" vertical="top"/>
    </xf>
    <xf numFmtId="0" fontId="20" fillId="8" borderId="2" xfId="6" applyFont="1" applyBorder="1" applyAlignment="1">
      <alignment horizontal="center" vertical="center"/>
    </xf>
    <xf numFmtId="165" fontId="20" fillId="0" borderId="0" xfId="0" applyNumberFormat="1" applyFont="1" applyAlignment="1">
      <alignment horizontal="center" vertical="center"/>
    </xf>
    <xf numFmtId="165" fontId="20" fillId="0" borderId="0" xfId="0" applyNumberFormat="1" applyFont="1" applyBorder="1" applyAlignment="1">
      <alignment horizontal="center" vertical="center"/>
    </xf>
    <xf numFmtId="165" fontId="20" fillId="0" borderId="2" xfId="0" applyNumberFormat="1" applyFont="1" applyBorder="1" applyAlignment="1">
      <alignment horizontal="center" vertical="center"/>
    </xf>
    <xf numFmtId="0" fontId="21" fillId="0" borderId="0" xfId="0" applyFont="1" applyAlignment="1">
      <alignment horizontal="left"/>
    </xf>
    <xf numFmtId="165" fontId="22" fillId="0" borderId="2" xfId="0" applyNumberFormat="1" applyFont="1" applyBorder="1" applyAlignment="1">
      <alignment horizontal="left" vertical="top"/>
    </xf>
    <xf numFmtId="165" fontId="23" fillId="0" borderId="2" xfId="0" applyNumberFormat="1" applyFont="1" applyBorder="1" applyAlignment="1">
      <alignment vertical="top"/>
    </xf>
    <xf numFmtId="0" fontId="24" fillId="0" borderId="2" xfId="0" applyFont="1" applyBorder="1" applyAlignment="1">
      <alignment vertical="top" wrapText="1"/>
    </xf>
    <xf numFmtId="14" fontId="20" fillId="0" borderId="2" xfId="0" applyNumberFormat="1" applyFont="1" applyBorder="1" applyAlignment="1">
      <alignment horizontal="left" vertical="top"/>
    </xf>
    <xf numFmtId="0" fontId="21" fillId="0" borderId="0" xfId="0" applyFont="1" applyAlignment="1">
      <alignment horizontal="center"/>
    </xf>
    <xf numFmtId="0" fontId="25" fillId="5" borderId="6" xfId="3" applyFont="1" applyBorder="1" applyAlignment="1">
      <alignment horizontal="left"/>
    </xf>
    <xf numFmtId="0" fontId="25" fillId="5" borderId="6" xfId="3" applyFont="1" applyBorder="1" applyAlignment="1"/>
    <xf numFmtId="0" fontId="25" fillId="5" borderId="6" xfId="3" applyFont="1" applyBorder="1" applyAlignment="1">
      <alignment horizontal="center" vertical="center"/>
    </xf>
    <xf numFmtId="165" fontId="19" fillId="3" borderId="8" xfId="2" applyNumberFormat="1" applyFont="1" applyFill="1" applyBorder="1" applyAlignment="1">
      <alignment horizontal="left" vertical="top"/>
    </xf>
    <xf numFmtId="165" fontId="19" fillId="3" borderId="0" xfId="4" applyNumberFormat="1" applyFont="1" applyFill="1" applyBorder="1" applyAlignment="1">
      <alignment horizontal="left" vertical="top"/>
    </xf>
    <xf numFmtId="165" fontId="19" fillId="3" borderId="0" xfId="2" applyNumberFormat="1" applyFont="1" applyFill="1" applyBorder="1" applyAlignment="1">
      <alignment horizontal="left" vertical="top"/>
    </xf>
    <xf numFmtId="165" fontId="19" fillId="3" borderId="0" xfId="6" applyNumberFormat="1" applyFont="1" applyFill="1" applyBorder="1" applyAlignment="1">
      <alignment horizontal="left" vertical="top"/>
    </xf>
    <xf numFmtId="165" fontId="19" fillId="3" borderId="2" xfId="6" applyNumberFormat="1" applyFont="1" applyFill="1" applyBorder="1" applyAlignment="1">
      <alignment horizontal="left" vertical="top"/>
    </xf>
    <xf numFmtId="14" fontId="4" fillId="5" borderId="3" xfId="3" applyNumberFormat="1" applyBorder="1" applyAlignment="1">
      <alignment horizontal="left"/>
    </xf>
    <xf numFmtId="165" fontId="4" fillId="5" borderId="0" xfId="3" applyNumberFormat="1" applyBorder="1" applyAlignment="1">
      <alignment horizontal="left"/>
    </xf>
    <xf numFmtId="0" fontId="0" fillId="0" borderId="12" xfId="0" applyBorder="1"/>
    <xf numFmtId="0" fontId="0" fillId="0" borderId="13" xfId="0" applyBorder="1"/>
    <xf numFmtId="0" fontId="0" fillId="0" borderId="14" xfId="0" applyBorder="1"/>
    <xf numFmtId="0" fontId="26" fillId="0" borderId="0" xfId="0" applyFont="1"/>
    <xf numFmtId="165" fontId="4" fillId="8" borderId="8" xfId="6" applyNumberFormat="1" applyBorder="1" applyAlignment="1">
      <alignment horizontal="left" vertical="top"/>
    </xf>
    <xf numFmtId="165" fontId="4" fillId="4" borderId="0" xfId="2" applyNumberFormat="1" applyBorder="1" applyAlignment="1">
      <alignment horizontal="left" vertical="top"/>
    </xf>
    <xf numFmtId="165" fontId="4" fillId="8" borderId="0" xfId="6" applyNumberFormat="1" applyBorder="1" applyAlignment="1">
      <alignment horizontal="left" vertical="top"/>
    </xf>
    <xf numFmtId="165" fontId="19" fillId="4" borderId="0" xfId="2" applyNumberFormat="1" applyFont="1" applyBorder="1" applyAlignment="1">
      <alignment horizontal="left" vertical="top"/>
    </xf>
    <xf numFmtId="165" fontId="19" fillId="0" borderId="0" xfId="2" applyNumberFormat="1" applyFont="1" applyFill="1" applyBorder="1" applyAlignment="1">
      <alignment horizontal="left" vertical="top"/>
    </xf>
    <xf numFmtId="165" fontId="19" fillId="0" borderId="0" xfId="6" applyNumberFormat="1" applyFont="1" applyFill="1" applyBorder="1" applyAlignment="1">
      <alignment horizontal="left" vertical="top"/>
    </xf>
    <xf numFmtId="165" fontId="19" fillId="4" borderId="8" xfId="2" applyNumberFormat="1" applyFont="1" applyBorder="1" applyAlignment="1">
      <alignment horizontal="left" vertical="top"/>
    </xf>
    <xf numFmtId="0" fontId="0" fillId="0" borderId="4" xfId="0" applyBorder="1"/>
    <xf numFmtId="165" fontId="19" fillId="9" borderId="0" xfId="2" applyNumberFormat="1" applyFont="1" applyFill="1" applyBorder="1" applyAlignment="1">
      <alignment horizontal="left" vertical="top"/>
    </xf>
    <xf numFmtId="165" fontId="19" fillId="10" borderId="0" xfId="2" applyNumberFormat="1" applyFont="1" applyFill="1" applyBorder="1" applyAlignment="1">
      <alignment horizontal="left" vertical="top"/>
    </xf>
    <xf numFmtId="165" fontId="19" fillId="11" borderId="0" xfId="2" applyNumberFormat="1" applyFont="1" applyFill="1" applyBorder="1" applyAlignment="1">
      <alignment horizontal="left" vertical="top"/>
    </xf>
    <xf numFmtId="0" fontId="0" fillId="0" borderId="7" xfId="0" applyBorder="1"/>
    <xf numFmtId="0" fontId="0" fillId="0" borderId="3" xfId="0" applyBorder="1"/>
    <xf numFmtId="166" fontId="22" fillId="0" borderId="2" xfId="0" applyNumberFormat="1" applyFont="1" applyBorder="1" applyAlignment="1">
      <alignment horizontal="left" vertical="top" wrapText="1"/>
    </xf>
    <xf numFmtId="0" fontId="25" fillId="5" borderId="6" xfId="3" applyFont="1" applyBorder="1"/>
    <xf numFmtId="0" fontId="16" fillId="3" borderId="0" xfId="3" applyFont="1" applyFill="1" applyAlignment="1">
      <alignment horizontal="centerContinuous" vertical="center"/>
    </xf>
    <xf numFmtId="0" fontId="21" fillId="0" borderId="17" xfId="0" applyFont="1" applyBorder="1" applyAlignment="1">
      <alignment horizontal="center"/>
    </xf>
    <xf numFmtId="0" fontId="0" fillId="3" borderId="0" xfId="0" applyFill="1" applyAlignment="1">
      <alignment vertical="center"/>
    </xf>
    <xf numFmtId="0" fontId="12" fillId="3" borderId="0" xfId="1" applyFont="1" applyFill="1" applyAlignment="1">
      <alignment horizontal="center" vertical="center"/>
    </xf>
    <xf numFmtId="0" fontId="20" fillId="4" borderId="18" xfId="2" applyFont="1" applyBorder="1" applyAlignment="1">
      <alignment horizontal="center" vertical="top"/>
    </xf>
    <xf numFmtId="165" fontId="15" fillId="0" borderId="0" xfId="0" applyNumberFormat="1" applyFont="1"/>
    <xf numFmtId="0" fontId="0" fillId="3" borderId="0" xfId="0" applyFill="1"/>
    <xf numFmtId="0" fontId="20" fillId="7" borderId="18" xfId="5" applyFont="1" applyBorder="1" applyAlignment="1">
      <alignment horizontal="center" vertical="top"/>
    </xf>
    <xf numFmtId="0" fontId="20" fillId="8" borderId="19" xfId="6" applyFont="1" applyBorder="1" applyAlignment="1">
      <alignment horizontal="center" vertical="center"/>
    </xf>
    <xf numFmtId="0" fontId="7" fillId="0" borderId="0" xfId="0" applyFont="1"/>
    <xf numFmtId="0" fontId="0" fillId="0" borderId="20" xfId="0" applyBorder="1"/>
    <xf numFmtId="0" fontId="0" fillId="0" borderId="21" xfId="0" applyBorder="1"/>
    <xf numFmtId="164" fontId="6" fillId="3" borderId="0" xfId="0" applyNumberFormat="1" applyFont="1" applyFill="1" applyAlignment="1">
      <alignment horizontal="center"/>
    </xf>
    <xf numFmtId="0" fontId="9" fillId="3" borderId="0" xfId="0" applyFont="1" applyFill="1"/>
    <xf numFmtId="164" fontId="10" fillId="3" borderId="0" xfId="0" applyNumberFormat="1" applyFont="1" applyFill="1" applyAlignment="1">
      <alignment horizontal="center"/>
    </xf>
    <xf numFmtId="164" fontId="8" fillId="3" borderId="0" xfId="0" applyNumberFormat="1" applyFont="1" applyFill="1" applyAlignment="1">
      <alignment horizontal="center"/>
    </xf>
    <xf numFmtId="0" fontId="0" fillId="0" borderId="0" xfId="0" applyAlignment="1">
      <alignment vertical="top"/>
    </xf>
    <xf numFmtId="0" fontId="17" fillId="0" borderId="2" xfId="0" applyFont="1" applyBorder="1"/>
    <xf numFmtId="0" fontId="0" fillId="0" borderId="2" xfId="0" applyBorder="1"/>
    <xf numFmtId="0" fontId="0" fillId="0" borderId="0" xfId="0" applyAlignment="1">
      <alignment horizontal="right"/>
    </xf>
    <xf numFmtId="0" fontId="10" fillId="0" borderId="0" xfId="0" applyFont="1" applyAlignment="1">
      <alignment horizontal="center"/>
    </xf>
    <xf numFmtId="0" fontId="10" fillId="0" borderId="0" xfId="0" applyFont="1" applyAlignment="1">
      <alignment horizontal="right"/>
    </xf>
    <xf numFmtId="165" fontId="8" fillId="0" borderId="0" xfId="0" applyNumberFormat="1" applyFont="1" applyAlignment="1">
      <alignment horizontal="center"/>
    </xf>
    <xf numFmtId="0" fontId="21" fillId="0" borderId="2" xfId="0" applyFont="1" applyBorder="1" applyAlignment="1">
      <alignment horizontal="left"/>
    </xf>
    <xf numFmtId="165" fontId="20" fillId="10" borderId="8" xfId="3" applyNumberFormat="1" applyFont="1" applyFill="1" applyBorder="1" applyAlignment="1">
      <alignment horizontal="left" vertical="top"/>
    </xf>
    <xf numFmtId="165" fontId="20" fillId="10" borderId="8" xfId="2" applyNumberFormat="1" applyFont="1" applyFill="1" applyBorder="1" applyAlignment="1">
      <alignment horizontal="left" vertical="top"/>
    </xf>
    <xf numFmtId="0" fontId="0" fillId="10" borderId="2" xfId="0" applyFill="1" applyBorder="1"/>
    <xf numFmtId="20" fontId="20" fillId="10" borderId="8" xfId="6" applyNumberFormat="1" applyFont="1" applyFill="1" applyBorder="1" applyAlignment="1">
      <alignment horizontal="left" vertical="top"/>
    </xf>
    <xf numFmtId="165" fontId="20" fillId="10" borderId="8" xfId="6" applyNumberFormat="1" applyFont="1" applyFill="1" applyBorder="1" applyAlignment="1">
      <alignment horizontal="left" vertical="top"/>
    </xf>
    <xf numFmtId="0" fontId="20" fillId="10" borderId="0" xfId="6" applyFont="1" applyFill="1"/>
    <xf numFmtId="14" fontId="20" fillId="0" borderId="0" xfId="6" applyNumberFormat="1" applyFont="1" applyFill="1" applyBorder="1" applyAlignment="1">
      <alignment horizontal="left" vertical="top"/>
    </xf>
    <xf numFmtId="0" fontId="20" fillId="0" borderId="0" xfId="6" applyFont="1" applyFill="1" applyBorder="1"/>
    <xf numFmtId="20" fontId="20" fillId="0" borderId="0" xfId="6" applyNumberFormat="1" applyFont="1" applyFill="1" applyBorder="1" applyAlignment="1">
      <alignment horizontal="left" vertical="top"/>
    </xf>
    <xf numFmtId="165" fontId="20" fillId="0" borderId="0" xfId="6" applyNumberFormat="1" applyFont="1" applyFill="1" applyBorder="1" applyAlignment="1">
      <alignment horizontal="left" vertical="top"/>
    </xf>
    <xf numFmtId="0" fontId="0" fillId="0" borderId="8" xfId="0" applyBorder="1"/>
    <xf numFmtId="20" fontId="20" fillId="12" borderId="8" xfId="6" applyNumberFormat="1" applyFont="1" applyFill="1" applyBorder="1" applyAlignment="1">
      <alignment horizontal="left" vertical="top"/>
    </xf>
    <xf numFmtId="165" fontId="20" fillId="12" borderId="8" xfId="6" applyNumberFormat="1" applyFont="1" applyFill="1" applyBorder="1" applyAlignment="1">
      <alignment horizontal="left" vertical="top"/>
    </xf>
    <xf numFmtId="0" fontId="20" fillId="12" borderId="2" xfId="6" applyFont="1" applyFill="1" applyBorder="1"/>
    <xf numFmtId="20" fontId="20" fillId="11" borderId="8" xfId="6" applyNumberFormat="1" applyFont="1" applyFill="1" applyBorder="1" applyAlignment="1">
      <alignment horizontal="left" vertical="top"/>
    </xf>
    <xf numFmtId="165" fontId="20" fillId="11" borderId="8" xfId="6" applyNumberFormat="1" applyFont="1" applyFill="1" applyBorder="1" applyAlignment="1">
      <alignment horizontal="left" vertical="top"/>
    </xf>
    <xf numFmtId="0" fontId="20" fillId="11" borderId="2" xfId="6" applyFont="1" applyFill="1" applyBorder="1"/>
    <xf numFmtId="167" fontId="20" fillId="9" borderId="7" xfId="6" applyNumberFormat="1" applyFont="1" applyFill="1" applyBorder="1" applyAlignment="1">
      <alignment horizontal="left" vertical="top"/>
    </xf>
    <xf numFmtId="167" fontId="4" fillId="9" borderId="10" xfId="6" applyNumberFormat="1" applyFill="1" applyBorder="1"/>
    <xf numFmtId="167" fontId="20" fillId="10" borderId="7" xfId="3" applyNumberFormat="1" applyFont="1" applyFill="1" applyBorder="1" applyAlignment="1">
      <alignment horizontal="left" vertical="top"/>
    </xf>
    <xf numFmtId="167" fontId="0" fillId="10" borderId="10" xfId="0" applyNumberFormat="1" applyFill="1" applyBorder="1"/>
    <xf numFmtId="167" fontId="20" fillId="10" borderId="7" xfId="6" applyNumberFormat="1" applyFont="1" applyFill="1" applyBorder="1" applyAlignment="1">
      <alignment horizontal="left" vertical="top"/>
    </xf>
    <xf numFmtId="167" fontId="20" fillId="10" borderId="3" xfId="6" applyNumberFormat="1" applyFont="1" applyFill="1" applyBorder="1"/>
    <xf numFmtId="167" fontId="20" fillId="9" borderId="10" xfId="6" applyNumberFormat="1" applyFont="1" applyFill="1" applyBorder="1"/>
    <xf numFmtId="167" fontId="20" fillId="12" borderId="7" xfId="6" applyNumberFormat="1" applyFont="1" applyFill="1" applyBorder="1" applyAlignment="1">
      <alignment horizontal="left" vertical="top"/>
    </xf>
    <xf numFmtId="167" fontId="20" fillId="12" borderId="10" xfId="6" applyNumberFormat="1" applyFont="1" applyFill="1" applyBorder="1"/>
    <xf numFmtId="167" fontId="20" fillId="11" borderId="7" xfId="6" applyNumberFormat="1" applyFont="1" applyFill="1" applyBorder="1" applyAlignment="1">
      <alignment horizontal="left" vertical="top"/>
    </xf>
    <xf numFmtId="167" fontId="20" fillId="11" borderId="10" xfId="6" applyNumberFormat="1" applyFont="1" applyFill="1" applyBorder="1"/>
    <xf numFmtId="167" fontId="20" fillId="0" borderId="2" xfId="0" applyNumberFormat="1" applyFont="1" applyBorder="1" applyAlignment="1">
      <alignment horizontal="left" vertical="top"/>
    </xf>
    <xf numFmtId="167" fontId="4" fillId="11" borderId="10" xfId="6" applyNumberFormat="1" applyFill="1" applyBorder="1"/>
    <xf numFmtId="0" fontId="4" fillId="11" borderId="2" xfId="6" applyFill="1" applyBorder="1"/>
    <xf numFmtId="167" fontId="0" fillId="11" borderId="10" xfId="0" applyNumberFormat="1" applyFill="1" applyBorder="1"/>
    <xf numFmtId="0" fontId="0" fillId="11" borderId="2" xfId="0" applyFill="1" applyBorder="1"/>
    <xf numFmtId="0" fontId="27" fillId="0" borderId="20" xfId="0" applyFont="1" applyBorder="1" applyAlignment="1">
      <alignment horizontal="center"/>
    </xf>
    <xf numFmtId="0" fontId="27" fillId="0" borderId="21" xfId="0" applyFont="1" applyBorder="1" applyAlignment="1">
      <alignment horizontal="center"/>
    </xf>
    <xf numFmtId="167" fontId="20" fillId="2" borderId="7" xfId="6" applyNumberFormat="1" applyFont="1" applyFill="1" applyBorder="1" applyAlignment="1">
      <alignment horizontal="left" vertical="top"/>
    </xf>
    <xf numFmtId="165" fontId="20" fillId="2" borderId="8" xfId="6" applyNumberFormat="1" applyFont="1" applyFill="1" applyBorder="1" applyAlignment="1">
      <alignment horizontal="left" vertical="top"/>
    </xf>
    <xf numFmtId="167" fontId="4" fillId="2" borderId="10" xfId="6" applyNumberFormat="1" applyFill="1" applyBorder="1"/>
    <xf numFmtId="0" fontId="4" fillId="2" borderId="2" xfId="6" applyFill="1" applyBorder="1"/>
    <xf numFmtId="167" fontId="20" fillId="11" borderId="7" xfId="3" applyNumberFormat="1" applyFont="1" applyFill="1" applyBorder="1" applyAlignment="1">
      <alignment horizontal="left" vertical="top"/>
    </xf>
    <xf numFmtId="165" fontId="20" fillId="11" borderId="8" xfId="3" applyNumberFormat="1" applyFont="1" applyFill="1" applyBorder="1" applyAlignment="1">
      <alignment horizontal="left" vertical="top"/>
    </xf>
    <xf numFmtId="165" fontId="20" fillId="11" borderId="8" xfId="2" applyNumberFormat="1" applyFont="1" applyFill="1" applyBorder="1" applyAlignment="1">
      <alignment horizontal="left" vertical="top"/>
    </xf>
    <xf numFmtId="167" fontId="20" fillId="0" borderId="0" xfId="6" applyNumberFormat="1" applyFont="1" applyFill="1" applyBorder="1" applyAlignment="1">
      <alignment horizontal="left" vertical="top"/>
    </xf>
    <xf numFmtId="0" fontId="27" fillId="0" borderId="0" xfId="0" applyFont="1" applyBorder="1" applyAlignment="1">
      <alignment horizontal="center"/>
    </xf>
    <xf numFmtId="167" fontId="20" fillId="0" borderId="0" xfId="6" applyNumberFormat="1" applyFont="1" applyFill="1" applyBorder="1"/>
    <xf numFmtId="167" fontId="20" fillId="10" borderId="10" xfId="6" applyNumberFormat="1" applyFont="1" applyFill="1" applyBorder="1"/>
    <xf numFmtId="0" fontId="20" fillId="10" borderId="2" xfId="6" applyFont="1" applyFill="1" applyBorder="1"/>
    <xf numFmtId="167" fontId="20" fillId="11" borderId="3" xfId="6" applyNumberFormat="1" applyFont="1" applyFill="1" applyBorder="1"/>
    <xf numFmtId="0" fontId="20" fillId="11" borderId="0" xfId="6" applyFont="1" applyFill="1"/>
    <xf numFmtId="0" fontId="27" fillId="0" borderId="8" xfId="0" applyFont="1" applyBorder="1" applyAlignment="1">
      <alignment horizontal="center"/>
    </xf>
    <xf numFmtId="0" fontId="0" fillId="0" borderId="3" xfId="0" applyBorder="1" applyAlignment="1">
      <alignment vertical="top"/>
    </xf>
    <xf numFmtId="0" fontId="20" fillId="9" borderId="18" xfId="4" applyFont="1" applyFill="1" applyBorder="1" applyAlignment="1">
      <alignment horizontal="center" vertical="top"/>
    </xf>
    <xf numFmtId="165" fontId="20" fillId="9" borderId="8" xfId="6" applyNumberFormat="1" applyFont="1" applyFill="1" applyBorder="1" applyAlignment="1">
      <alignment horizontal="left" vertical="top"/>
    </xf>
    <xf numFmtId="0" fontId="4" fillId="9" borderId="2" xfId="6" applyFill="1" applyBorder="1"/>
    <xf numFmtId="167" fontId="20" fillId="9" borderId="7" xfId="6" applyNumberFormat="1" applyFont="1" applyFill="1" applyBorder="1" applyAlignment="1">
      <alignment horizontal="left"/>
    </xf>
    <xf numFmtId="165" fontId="20" fillId="9" borderId="8" xfId="6" applyNumberFormat="1" applyFont="1" applyFill="1" applyBorder="1" applyAlignment="1">
      <alignment horizontal="left"/>
    </xf>
    <xf numFmtId="20" fontId="20" fillId="9" borderId="8" xfId="6" applyNumberFormat="1" applyFont="1" applyFill="1" applyBorder="1" applyAlignment="1">
      <alignment horizontal="left" vertical="top"/>
    </xf>
    <xf numFmtId="0" fontId="20" fillId="9" borderId="2" xfId="6" applyFont="1" applyFill="1" applyBorder="1"/>
    <xf numFmtId="0" fontId="21" fillId="0" borderId="22" xfId="0" applyFont="1" applyBorder="1" applyAlignment="1">
      <alignment horizontal="left"/>
    </xf>
    <xf numFmtId="165" fontId="20" fillId="9" borderId="8" xfId="3" applyNumberFormat="1" applyFont="1" applyFill="1" applyBorder="1" applyAlignment="1">
      <alignment horizontal="left" vertical="top"/>
    </xf>
    <xf numFmtId="167" fontId="0" fillId="9" borderId="10" xfId="0" applyNumberFormat="1" applyFill="1" applyBorder="1"/>
    <xf numFmtId="0" fontId="0" fillId="9" borderId="2" xfId="0" applyFill="1" applyBorder="1"/>
    <xf numFmtId="165" fontId="20" fillId="11" borderId="8" xfId="6" applyNumberFormat="1" applyFont="1" applyFill="1" applyBorder="1" applyAlignment="1">
      <alignment horizontal="left"/>
    </xf>
    <xf numFmtId="0" fontId="27" fillId="0" borderId="3" xfId="0" applyFont="1" applyBorder="1" applyAlignment="1">
      <alignment horizontal="center"/>
    </xf>
    <xf numFmtId="0" fontId="0" fillId="0" borderId="23" xfId="0" applyBorder="1"/>
    <xf numFmtId="0" fontId="15" fillId="0" borderId="3" xfId="0" applyFont="1" applyBorder="1"/>
    <xf numFmtId="165" fontId="20" fillId="12" borderId="0" xfId="6" applyNumberFormat="1" applyFont="1" applyFill="1" applyBorder="1" applyAlignment="1">
      <alignment horizontal="left" vertical="top"/>
    </xf>
    <xf numFmtId="165" fontId="20" fillId="12" borderId="2" xfId="6" applyNumberFormat="1" applyFont="1" applyFill="1" applyBorder="1" applyAlignment="1">
      <alignment horizontal="left" vertical="top"/>
    </xf>
    <xf numFmtId="0" fontId="27" fillId="0" borderId="24" xfId="0" applyFont="1" applyBorder="1" applyAlignment="1">
      <alignment horizontal="center"/>
    </xf>
    <xf numFmtId="168" fontId="20" fillId="0" borderId="0" xfId="0" applyNumberFormat="1" applyFont="1" applyAlignment="1">
      <alignment horizontal="center" vertical="center"/>
    </xf>
    <xf numFmtId="168" fontId="20" fillId="0" borderId="2" xfId="0" applyNumberFormat="1" applyFont="1" applyBorder="1" applyAlignment="1">
      <alignment horizontal="center" vertical="center"/>
    </xf>
    <xf numFmtId="20" fontId="0" fillId="0" borderId="3" xfId="0" applyNumberFormat="1" applyBorder="1" applyAlignment="1">
      <alignment vertical="top"/>
    </xf>
    <xf numFmtId="20" fontId="0" fillId="0" borderId="0" xfId="0" applyNumberFormat="1"/>
    <xf numFmtId="165" fontId="20" fillId="9" borderId="2" xfId="6" applyNumberFormat="1" applyFont="1" applyFill="1" applyBorder="1" applyAlignment="1">
      <alignment horizontal="left" vertical="top"/>
    </xf>
    <xf numFmtId="168" fontId="22" fillId="0" borderId="2" xfId="0" applyNumberFormat="1" applyFont="1" applyBorder="1" applyAlignment="1">
      <alignment horizontal="left" vertical="top"/>
    </xf>
    <xf numFmtId="49" fontId="0" fillId="0" borderId="23" xfId="0" applyNumberFormat="1" applyBorder="1"/>
    <xf numFmtId="49" fontId="27" fillId="0" borderId="21" xfId="0" applyNumberFormat="1" applyFont="1" applyBorder="1" applyAlignment="1">
      <alignment horizontal="center"/>
    </xf>
    <xf numFmtId="49" fontId="27" fillId="0" borderId="20" xfId="0" applyNumberFormat="1" applyFont="1" applyBorder="1" applyAlignment="1">
      <alignment horizontal="center"/>
    </xf>
    <xf numFmtId="49" fontId="27" fillId="0" borderId="24" xfId="0" applyNumberFormat="1" applyFont="1" applyBorder="1" applyAlignment="1">
      <alignment horizontal="center"/>
    </xf>
    <xf numFmtId="49" fontId="27" fillId="0" borderId="3" xfId="0" applyNumberFormat="1" applyFont="1" applyBorder="1" applyAlignment="1">
      <alignment horizontal="center"/>
    </xf>
    <xf numFmtId="0" fontId="3" fillId="0" borderId="2" xfId="0" applyFont="1" applyBorder="1" applyAlignment="1">
      <alignment vertical="top"/>
    </xf>
    <xf numFmtId="0" fontId="3" fillId="3" borderId="11" xfId="4" applyFont="1" applyFill="1" applyBorder="1" applyAlignment="1">
      <alignment vertical="top"/>
    </xf>
    <xf numFmtId="0" fontId="3" fillId="3" borderId="11" xfId="2" applyFont="1" applyFill="1" applyBorder="1" applyAlignment="1">
      <alignment vertical="top"/>
    </xf>
    <xf numFmtId="0" fontId="3" fillId="3" borderId="11" xfId="6" applyFont="1" applyFill="1" applyBorder="1" applyAlignment="1">
      <alignment vertical="top"/>
    </xf>
    <xf numFmtId="0" fontId="3" fillId="3" borderId="16" xfId="6" applyFont="1" applyFill="1" applyBorder="1" applyAlignment="1">
      <alignment vertical="top"/>
    </xf>
    <xf numFmtId="0" fontId="3" fillId="0" borderId="7" xfId="0" applyFont="1" applyBorder="1" applyAlignment="1">
      <alignment vertical="top" wrapText="1"/>
    </xf>
    <xf numFmtId="0" fontId="3" fillId="0" borderId="8" xfId="0" applyFont="1" applyBorder="1" applyAlignment="1">
      <alignment vertical="top" wrapText="1"/>
    </xf>
    <xf numFmtId="0" fontId="3" fillId="0" borderId="9" xfId="0" applyFont="1" applyBorder="1" applyAlignment="1">
      <alignment vertical="top" wrapText="1"/>
    </xf>
    <xf numFmtId="0" fontId="3" fillId="0" borderId="3" xfId="0" applyFont="1" applyBorder="1" applyAlignment="1">
      <alignment vertical="top" wrapText="1"/>
    </xf>
    <xf numFmtId="0" fontId="3" fillId="0" borderId="0" xfId="0" applyFont="1" applyBorder="1" applyAlignment="1">
      <alignment vertical="top" wrapText="1"/>
    </xf>
    <xf numFmtId="0" fontId="3" fillId="0" borderId="4" xfId="0" applyFont="1" applyBorder="1" applyAlignment="1">
      <alignment vertical="top" wrapText="1"/>
    </xf>
    <xf numFmtId="0" fontId="3" fillId="0" borderId="10" xfId="0" applyFont="1" applyBorder="1" applyAlignment="1">
      <alignment vertical="top" wrapText="1"/>
    </xf>
    <xf numFmtId="0" fontId="3" fillId="0" borderId="2" xfId="0" applyFont="1" applyBorder="1" applyAlignment="1">
      <alignment vertical="top" wrapText="1"/>
    </xf>
    <xf numFmtId="0" fontId="3" fillId="0" borderId="5" xfId="0" applyFont="1" applyBorder="1" applyAlignment="1">
      <alignment vertical="top" wrapText="1"/>
    </xf>
    <xf numFmtId="167" fontId="3" fillId="0" borderId="2" xfId="0" applyNumberFormat="1" applyFont="1" applyBorder="1" applyAlignment="1">
      <alignment vertical="top"/>
    </xf>
    <xf numFmtId="0" fontId="3" fillId="0" borderId="0" xfId="0" applyFont="1" applyAlignment="1">
      <alignment vertical="top" wrapText="1"/>
    </xf>
    <xf numFmtId="167" fontId="20" fillId="0" borderId="7" xfId="6" applyNumberFormat="1" applyFont="1" applyFill="1" applyBorder="1" applyAlignment="1">
      <alignment horizontal="left" vertical="top"/>
    </xf>
    <xf numFmtId="165" fontId="20" fillId="0" borderId="8" xfId="6" applyNumberFormat="1" applyFont="1" applyFill="1" applyBorder="1" applyAlignment="1">
      <alignment horizontal="left" vertical="top"/>
    </xf>
    <xf numFmtId="20" fontId="20" fillId="0" borderId="8" xfId="6" applyNumberFormat="1" applyFont="1" applyFill="1" applyBorder="1" applyAlignment="1">
      <alignment horizontal="left" vertical="top"/>
    </xf>
    <xf numFmtId="167" fontId="0" fillId="12" borderId="10" xfId="0" applyNumberFormat="1" applyFill="1" applyBorder="1"/>
    <xf numFmtId="0" fontId="0" fillId="12" borderId="2" xfId="0" applyFill="1" applyBorder="1"/>
    <xf numFmtId="49" fontId="27" fillId="0" borderId="0" xfId="0" applyNumberFormat="1" applyFont="1" applyBorder="1" applyAlignment="1">
      <alignment horizontal="center"/>
    </xf>
    <xf numFmtId="167" fontId="20" fillId="11" borderId="3" xfId="6" applyNumberFormat="1" applyFont="1" applyFill="1" applyBorder="1" applyAlignment="1">
      <alignment horizontal="left" vertical="top"/>
    </xf>
    <xf numFmtId="165" fontId="20" fillId="11" borderId="0" xfId="6" applyNumberFormat="1" applyFont="1" applyFill="1" applyBorder="1" applyAlignment="1">
      <alignment horizontal="left"/>
    </xf>
    <xf numFmtId="165" fontId="20" fillId="11" borderId="0" xfId="6" applyNumberFormat="1" applyFont="1" applyFill="1" applyBorder="1" applyAlignment="1">
      <alignment horizontal="left" vertical="top"/>
    </xf>
    <xf numFmtId="167" fontId="4" fillId="11" borderId="25" xfId="6" applyNumberFormat="1" applyFill="1" applyBorder="1"/>
    <xf numFmtId="167" fontId="20" fillId="11" borderId="25" xfId="6" applyNumberFormat="1" applyFont="1" applyFill="1" applyBorder="1" applyAlignment="1">
      <alignment horizontal="left" vertical="top"/>
    </xf>
    <xf numFmtId="165" fontId="20" fillId="11" borderId="22" xfId="6" applyNumberFormat="1" applyFont="1" applyFill="1" applyBorder="1" applyAlignment="1">
      <alignment horizontal="left"/>
    </xf>
    <xf numFmtId="165" fontId="20" fillId="11" borderId="22" xfId="6" applyNumberFormat="1" applyFont="1" applyFill="1" applyBorder="1" applyAlignment="1">
      <alignment horizontal="left" vertical="top"/>
    </xf>
    <xf numFmtId="49" fontId="27" fillId="0" borderId="26" xfId="0" applyNumberFormat="1" applyFont="1" applyBorder="1" applyAlignment="1">
      <alignment horizontal="center"/>
    </xf>
    <xf numFmtId="164" fontId="6" fillId="3" borderId="0" xfId="0" applyNumberFormat="1" applyFont="1" applyFill="1" applyAlignment="1">
      <alignment horizontal="left"/>
    </xf>
    <xf numFmtId="0" fontId="9" fillId="3" borderId="0" xfId="0" applyFont="1" applyFill="1" applyAlignment="1">
      <alignment horizontal="left"/>
    </xf>
    <xf numFmtId="0" fontId="0" fillId="0" borderId="0" xfId="0" applyAlignment="1">
      <alignment horizontal="left" vertical="top"/>
    </xf>
    <xf numFmtId="167" fontId="20" fillId="13" borderId="7" xfId="6" applyNumberFormat="1" applyFont="1" applyFill="1" applyBorder="1" applyAlignment="1">
      <alignment horizontal="left" vertical="top"/>
    </xf>
    <xf numFmtId="20" fontId="20" fillId="13" borderId="8" xfId="6" applyNumberFormat="1" applyFont="1" applyFill="1" applyBorder="1" applyAlignment="1">
      <alignment horizontal="left" vertical="top"/>
    </xf>
    <xf numFmtId="165" fontId="20" fillId="13" borderId="8" xfId="6" applyNumberFormat="1" applyFont="1" applyFill="1" applyBorder="1" applyAlignment="1">
      <alignment horizontal="left" vertical="top"/>
    </xf>
    <xf numFmtId="167" fontId="20" fillId="13" borderId="10" xfId="6" applyNumberFormat="1" applyFont="1" applyFill="1" applyBorder="1"/>
    <xf numFmtId="0" fontId="20" fillId="13" borderId="2" xfId="6" applyFont="1" applyFill="1" applyBorder="1"/>
    <xf numFmtId="167" fontId="20" fillId="11" borderId="3" xfId="6" applyNumberFormat="1" applyFont="1" applyFill="1" applyBorder="1" applyAlignment="1">
      <alignment horizontal="left"/>
    </xf>
    <xf numFmtId="20" fontId="20" fillId="11" borderId="0" xfId="6" applyNumberFormat="1" applyFont="1" applyFill="1" applyBorder="1" applyAlignment="1">
      <alignment horizontal="left"/>
    </xf>
    <xf numFmtId="0" fontId="20" fillId="11" borderId="0" xfId="6" applyFont="1" applyFill="1" applyBorder="1"/>
    <xf numFmtId="167" fontId="20" fillId="9" borderId="25" xfId="6" applyNumberFormat="1" applyFont="1" applyFill="1" applyBorder="1" applyAlignment="1">
      <alignment horizontal="left" vertical="top"/>
    </xf>
    <xf numFmtId="165" fontId="20" fillId="9" borderId="22" xfId="6" applyNumberFormat="1" applyFont="1" applyFill="1" applyBorder="1" applyAlignment="1">
      <alignment horizontal="left"/>
    </xf>
    <xf numFmtId="165" fontId="20" fillId="9" borderId="22" xfId="6" applyNumberFormat="1" applyFont="1" applyFill="1" applyBorder="1" applyAlignment="1">
      <alignment horizontal="left" vertical="top"/>
    </xf>
    <xf numFmtId="167" fontId="20" fillId="9" borderId="3" xfId="6" applyNumberFormat="1" applyFont="1" applyFill="1" applyBorder="1" applyAlignment="1">
      <alignment horizontal="left" vertical="top"/>
    </xf>
    <xf numFmtId="165" fontId="20" fillId="9" borderId="0" xfId="6" applyNumberFormat="1" applyFont="1" applyFill="1" applyBorder="1" applyAlignment="1">
      <alignment horizontal="left"/>
    </xf>
    <xf numFmtId="165" fontId="20" fillId="9" borderId="0" xfId="6" applyNumberFormat="1" applyFont="1" applyFill="1" applyBorder="1" applyAlignment="1">
      <alignment horizontal="left" vertical="top"/>
    </xf>
    <xf numFmtId="167" fontId="4" fillId="9" borderId="25" xfId="6" applyNumberFormat="1" applyFill="1" applyBorder="1"/>
    <xf numFmtId="167" fontId="20" fillId="12" borderId="3" xfId="6" applyNumberFormat="1" applyFont="1" applyFill="1" applyBorder="1"/>
    <xf numFmtId="0" fontId="20" fillId="12" borderId="0" xfId="6" applyFont="1" applyFill="1"/>
    <xf numFmtId="167" fontId="20" fillId="14" borderId="7" xfId="6" applyNumberFormat="1" applyFont="1" applyFill="1" applyBorder="1" applyAlignment="1">
      <alignment horizontal="left" vertical="top"/>
    </xf>
    <xf numFmtId="20" fontId="20" fillId="14" borderId="8" xfId="6" applyNumberFormat="1" applyFont="1" applyFill="1" applyBorder="1" applyAlignment="1">
      <alignment horizontal="left" vertical="top"/>
    </xf>
    <xf numFmtId="165" fontId="20" fillId="14" borderId="8" xfId="6" applyNumberFormat="1" applyFont="1" applyFill="1" applyBorder="1" applyAlignment="1">
      <alignment horizontal="left" vertical="top"/>
    </xf>
    <xf numFmtId="167" fontId="20" fillId="14" borderId="10" xfId="6" applyNumberFormat="1" applyFont="1" applyFill="1" applyBorder="1"/>
    <xf numFmtId="0" fontId="20" fillId="14" borderId="2" xfId="6" applyFont="1" applyFill="1" applyBorder="1"/>
    <xf numFmtId="20" fontId="0" fillId="0" borderId="0" xfId="0" applyNumberFormat="1" applyBorder="1"/>
    <xf numFmtId="165" fontId="20" fillId="12" borderId="8" xfId="6" applyNumberFormat="1" applyFont="1" applyFill="1" applyBorder="1" applyAlignment="1">
      <alignment horizontal="left"/>
    </xf>
    <xf numFmtId="167" fontId="20" fillId="12" borderId="25" xfId="6" applyNumberFormat="1" applyFont="1" applyFill="1" applyBorder="1" applyAlignment="1">
      <alignment horizontal="left" vertical="top"/>
    </xf>
    <xf numFmtId="165" fontId="20" fillId="12" borderId="22" xfId="6" applyNumberFormat="1" applyFont="1" applyFill="1" applyBorder="1" applyAlignment="1">
      <alignment horizontal="left"/>
    </xf>
    <xf numFmtId="165" fontId="20" fillId="12" borderId="22" xfId="6" applyNumberFormat="1" applyFont="1" applyFill="1" applyBorder="1" applyAlignment="1">
      <alignment horizontal="left" vertical="top"/>
    </xf>
    <xf numFmtId="167" fontId="20" fillId="12" borderId="3" xfId="6" applyNumberFormat="1" applyFont="1" applyFill="1" applyBorder="1" applyAlignment="1">
      <alignment horizontal="left" vertical="top"/>
    </xf>
    <xf numFmtId="165" fontId="20" fillId="12" borderId="0" xfId="6" applyNumberFormat="1" applyFont="1" applyFill="1" applyBorder="1" applyAlignment="1">
      <alignment horizontal="left"/>
    </xf>
    <xf numFmtId="167" fontId="4" fillId="12" borderId="25" xfId="6" applyNumberFormat="1" applyFill="1" applyBorder="1"/>
    <xf numFmtId="0" fontId="4" fillId="12" borderId="2" xfId="6" applyFill="1" applyBorder="1"/>
    <xf numFmtId="168" fontId="0" fillId="0" borderId="0" xfId="0" applyNumberFormat="1"/>
    <xf numFmtId="167" fontId="20" fillId="10" borderId="3" xfId="6" applyNumberFormat="1" applyFont="1" applyFill="1" applyBorder="1" applyAlignment="1">
      <alignment horizontal="left" vertical="top"/>
    </xf>
    <xf numFmtId="165" fontId="20" fillId="10" borderId="8" xfId="6" applyNumberFormat="1" applyFont="1" applyFill="1" applyBorder="1" applyAlignment="1">
      <alignment horizontal="left"/>
    </xf>
    <xf numFmtId="167" fontId="4" fillId="10" borderId="10" xfId="6" applyNumberFormat="1" applyFill="1" applyBorder="1"/>
    <xf numFmtId="0" fontId="4" fillId="10" borderId="2" xfId="6" applyFill="1" applyBorder="1"/>
    <xf numFmtId="0" fontId="0" fillId="0" borderId="0" xfId="0" applyFill="1"/>
    <xf numFmtId="0" fontId="0" fillId="14" borderId="2" xfId="0" applyFill="1" applyBorder="1"/>
    <xf numFmtId="0" fontId="0" fillId="14" borderId="0" xfId="0" applyFill="1"/>
    <xf numFmtId="167" fontId="20" fillId="15" borderId="7" xfId="6" applyNumberFormat="1" applyFont="1" applyFill="1" applyBorder="1" applyAlignment="1">
      <alignment horizontal="left" vertical="top"/>
    </xf>
    <xf numFmtId="165" fontId="20" fillId="15" borderId="8" xfId="6" applyNumberFormat="1" applyFont="1" applyFill="1" applyBorder="1" applyAlignment="1">
      <alignment horizontal="left" vertical="top"/>
    </xf>
    <xf numFmtId="167" fontId="4" fillId="15" borderId="10" xfId="6" applyNumberFormat="1" applyFill="1" applyBorder="1"/>
    <xf numFmtId="0" fontId="4" fillId="15" borderId="2" xfId="6" applyFill="1" applyBorder="1"/>
    <xf numFmtId="0" fontId="0" fillId="14" borderId="5" xfId="0" applyFill="1" applyBorder="1"/>
    <xf numFmtId="167" fontId="4" fillId="12" borderId="10" xfId="6" applyNumberFormat="1" applyFill="1" applyBorder="1"/>
    <xf numFmtId="0" fontId="0" fillId="11" borderId="0" xfId="0" applyFill="1"/>
    <xf numFmtId="165" fontId="32" fillId="0" borderId="0" xfId="0" applyNumberFormat="1" applyFont="1" applyAlignment="1">
      <alignment horizontal="center" vertical="center"/>
    </xf>
    <xf numFmtId="164" fontId="6" fillId="0" borderId="0" xfId="0" applyNumberFormat="1" applyFont="1" applyFill="1" applyAlignment="1">
      <alignment horizontal="center"/>
    </xf>
    <xf numFmtId="0" fontId="0" fillId="0" borderId="0" xfId="0" applyFill="1" applyBorder="1"/>
    <xf numFmtId="164" fontId="8" fillId="0" borderId="0" xfId="0" applyNumberFormat="1" applyFont="1" applyFill="1" applyBorder="1" applyAlignment="1">
      <alignment horizontal="center"/>
    </xf>
    <xf numFmtId="168" fontId="32" fillId="0" borderId="0" xfId="0" applyNumberFormat="1" applyFont="1" applyAlignment="1">
      <alignment horizontal="center" vertical="center"/>
    </xf>
    <xf numFmtId="167" fontId="20" fillId="16" borderId="7" xfId="6" applyNumberFormat="1" applyFont="1" applyFill="1" applyBorder="1" applyAlignment="1">
      <alignment horizontal="left" vertical="top"/>
    </xf>
    <xf numFmtId="165" fontId="20" fillId="16" borderId="8" xfId="6" applyNumberFormat="1" applyFont="1" applyFill="1" applyBorder="1" applyAlignment="1">
      <alignment horizontal="left" vertical="top"/>
    </xf>
    <xf numFmtId="20" fontId="20" fillId="16" borderId="8" xfId="6" applyNumberFormat="1" applyFont="1" applyFill="1" applyBorder="1" applyAlignment="1">
      <alignment horizontal="left" vertical="top"/>
    </xf>
    <xf numFmtId="167" fontId="20" fillId="16" borderId="10" xfId="6" applyNumberFormat="1" applyFont="1" applyFill="1" applyBorder="1"/>
    <xf numFmtId="0" fontId="20" fillId="16" borderId="2" xfId="6" applyFont="1" applyFill="1" applyBorder="1"/>
    <xf numFmtId="0" fontId="0" fillId="9" borderId="0" xfId="0" applyFill="1"/>
    <xf numFmtId="20" fontId="0" fillId="0" borderId="0" xfId="0" applyNumberFormat="1" applyFill="1" applyBorder="1"/>
    <xf numFmtId="0" fontId="27" fillId="0" borderId="0" xfId="0" applyFont="1"/>
    <xf numFmtId="0" fontId="4" fillId="16" borderId="2" xfId="6" applyFill="1" applyBorder="1"/>
    <xf numFmtId="167" fontId="4" fillId="16" borderId="10" xfId="6" applyNumberFormat="1" applyFill="1" applyBorder="1"/>
    <xf numFmtId="0" fontId="0" fillId="16" borderId="0" xfId="0" applyFill="1"/>
    <xf numFmtId="165" fontId="20" fillId="16" borderId="8" xfId="6" applyNumberFormat="1" applyFont="1" applyFill="1" applyBorder="1" applyAlignment="1">
      <alignment horizontal="left"/>
    </xf>
    <xf numFmtId="165" fontId="20" fillId="16" borderId="0" xfId="6" applyNumberFormat="1" applyFont="1" applyFill="1" applyBorder="1" applyAlignment="1">
      <alignment horizontal="left"/>
    </xf>
    <xf numFmtId="167" fontId="4" fillId="16" borderId="25" xfId="6" applyNumberFormat="1" applyFill="1" applyBorder="1"/>
    <xf numFmtId="167" fontId="0" fillId="16" borderId="10" xfId="0" applyNumberFormat="1" applyFill="1" applyBorder="1"/>
    <xf numFmtId="0" fontId="0" fillId="16" borderId="2" xfId="0" applyFill="1" applyBorder="1"/>
    <xf numFmtId="0" fontId="1" fillId="3" borderId="15" xfId="2" applyFont="1" applyFill="1" applyBorder="1" applyAlignment="1"/>
    <xf numFmtId="0" fontId="1" fillId="3" borderId="11" xfId="2" applyFont="1" applyFill="1" applyBorder="1" applyAlignment="1"/>
    <xf numFmtId="0" fontId="1" fillId="3" borderId="11" xfId="4" applyFont="1" applyFill="1" applyBorder="1" applyAlignment="1">
      <alignment vertical="top"/>
    </xf>
    <xf numFmtId="0" fontId="12" fillId="3" borderId="0" xfId="1" applyFont="1" applyFill="1" applyBorder="1" applyAlignment="1">
      <alignment horizontal="center" vertical="center" wrapText="1"/>
    </xf>
    <xf numFmtId="0" fontId="3" fillId="0" borderId="7" xfId="0" applyFont="1" applyBorder="1" applyAlignment="1">
      <alignment horizontal="left" vertical="top" wrapText="1"/>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3" xfId="0" applyFont="1" applyBorder="1" applyAlignment="1">
      <alignment horizontal="left" vertical="top" wrapText="1"/>
    </xf>
    <xf numFmtId="0" fontId="3" fillId="0" borderId="0" xfId="0" applyFont="1" applyBorder="1" applyAlignment="1">
      <alignment horizontal="left" vertical="top" wrapText="1"/>
    </xf>
    <xf numFmtId="0" fontId="3" fillId="0" borderId="4" xfId="0" applyFont="1" applyBorder="1" applyAlignment="1">
      <alignment horizontal="left" vertical="top" wrapText="1"/>
    </xf>
    <xf numFmtId="0" fontId="3" fillId="0" borderId="10" xfId="0" applyFont="1" applyBorder="1" applyAlignment="1">
      <alignment horizontal="left" vertical="top" wrapText="1"/>
    </xf>
    <xf numFmtId="0" fontId="3" fillId="0" borderId="2" xfId="0" applyFont="1" applyBorder="1" applyAlignment="1">
      <alignment horizontal="left" vertical="top" wrapText="1"/>
    </xf>
    <xf numFmtId="0" fontId="3" fillId="0" borderId="5" xfId="0" applyFont="1" applyBorder="1" applyAlignment="1">
      <alignment horizontal="left" vertical="top" wrapText="1"/>
    </xf>
    <xf numFmtId="0" fontId="25" fillId="5" borderId="6" xfId="3" applyFont="1" applyBorder="1" applyAlignment="1">
      <alignment horizontal="center"/>
    </xf>
    <xf numFmtId="0" fontId="3" fillId="0" borderId="0" xfId="0" applyFont="1" applyAlignment="1">
      <alignment horizontal="left" vertical="top" wrapText="1"/>
    </xf>
    <xf numFmtId="0" fontId="3" fillId="3" borderId="15" xfId="2" applyFont="1" applyFill="1" applyBorder="1" applyAlignment="1">
      <alignment horizontal="center"/>
    </xf>
    <xf numFmtId="0" fontId="3" fillId="3" borderId="11" xfId="2" applyFont="1" applyFill="1" applyBorder="1" applyAlignment="1">
      <alignment horizontal="center"/>
    </xf>
    <xf numFmtId="0" fontId="3" fillId="3" borderId="11" xfId="4" applyFont="1" applyFill="1" applyBorder="1" applyAlignment="1">
      <alignment horizontal="center" vertical="top"/>
    </xf>
    <xf numFmtId="0" fontId="3" fillId="3" borderId="11" xfId="2" applyFont="1" applyFill="1" applyBorder="1" applyAlignment="1">
      <alignment horizontal="center" vertical="top"/>
    </xf>
    <xf numFmtId="0" fontId="3" fillId="3" borderId="11" xfId="6" applyFont="1" applyFill="1" applyBorder="1" applyAlignment="1">
      <alignment horizontal="center" vertical="top"/>
    </xf>
    <xf numFmtId="0" fontId="3" fillId="3" borderId="16" xfId="6" applyFont="1" applyFill="1" applyBorder="1" applyAlignment="1">
      <alignment horizontal="center" vertical="top"/>
    </xf>
    <xf numFmtId="0" fontId="12" fillId="3" borderId="0" xfId="1" applyFont="1" applyFill="1" applyAlignment="1">
      <alignment horizontal="center" vertical="center" wrapText="1"/>
    </xf>
    <xf numFmtId="0" fontId="20" fillId="0" borderId="7" xfId="0" applyFont="1" applyBorder="1" applyAlignment="1">
      <alignment horizontal="left" vertical="top" wrapText="1"/>
    </xf>
    <xf numFmtId="0" fontId="20" fillId="0" borderId="8" xfId="0" applyFont="1" applyBorder="1" applyAlignment="1">
      <alignment horizontal="left" vertical="top" wrapText="1"/>
    </xf>
    <xf numFmtId="0" fontId="20" fillId="0" borderId="9" xfId="0" applyFont="1" applyBorder="1" applyAlignment="1">
      <alignment horizontal="left" vertical="top" wrapText="1"/>
    </xf>
    <xf numFmtId="0" fontId="20" fillId="0" borderId="3" xfId="0" applyFont="1" applyBorder="1" applyAlignment="1">
      <alignment horizontal="left" vertical="top" wrapText="1"/>
    </xf>
    <xf numFmtId="0" fontId="20" fillId="0" borderId="0" xfId="0" applyFont="1" applyBorder="1" applyAlignment="1">
      <alignment horizontal="left" vertical="top" wrapText="1"/>
    </xf>
    <xf numFmtId="0" fontId="20" fillId="0" borderId="4" xfId="0" applyFont="1" applyBorder="1" applyAlignment="1">
      <alignment horizontal="left" vertical="top" wrapText="1"/>
    </xf>
    <xf numFmtId="0" fontId="20" fillId="0" borderId="10" xfId="0" applyFont="1" applyBorder="1" applyAlignment="1">
      <alignment horizontal="left" vertical="top" wrapText="1"/>
    </xf>
    <xf numFmtId="0" fontId="20" fillId="0" borderId="2" xfId="0" applyFont="1" applyBorder="1" applyAlignment="1">
      <alignment horizontal="left" vertical="top" wrapText="1"/>
    </xf>
    <xf numFmtId="0" fontId="20" fillId="0" borderId="5" xfId="0" applyFont="1" applyBorder="1" applyAlignment="1">
      <alignment horizontal="left" vertical="top" wrapText="1"/>
    </xf>
    <xf numFmtId="0" fontId="18" fillId="9" borderId="8" xfId="4" applyFont="1" applyFill="1" applyBorder="1" applyAlignment="1">
      <alignment horizontal="left" vertical="top" wrapText="1"/>
    </xf>
    <xf numFmtId="0" fontId="18" fillId="9" borderId="9" xfId="4" applyFont="1" applyFill="1" applyBorder="1" applyAlignment="1">
      <alignment horizontal="left" vertical="top" wrapText="1"/>
    </xf>
    <xf numFmtId="0" fontId="18" fillId="9" borderId="2" xfId="4" applyFont="1" applyFill="1" applyBorder="1" applyAlignment="1">
      <alignment horizontal="left" vertical="top" wrapText="1"/>
    </xf>
    <xf numFmtId="0" fontId="18" fillId="9" borderId="5" xfId="4" applyFont="1" applyFill="1" applyBorder="1" applyAlignment="1">
      <alignment horizontal="left" vertical="top" wrapText="1"/>
    </xf>
    <xf numFmtId="0" fontId="18" fillId="10" borderId="8" xfId="4" applyFont="1" applyFill="1" applyBorder="1" applyAlignment="1">
      <alignment horizontal="left" vertical="top" wrapText="1"/>
    </xf>
    <xf numFmtId="0" fontId="18" fillId="10" borderId="9" xfId="4" applyFont="1" applyFill="1" applyBorder="1" applyAlignment="1">
      <alignment horizontal="left" vertical="top" wrapText="1"/>
    </xf>
    <xf numFmtId="0" fontId="18" fillId="10" borderId="2" xfId="4" applyFont="1" applyFill="1" applyBorder="1" applyAlignment="1">
      <alignment horizontal="left" vertical="top" wrapText="1"/>
    </xf>
    <xf numFmtId="0" fontId="18" fillId="10" borderId="5" xfId="4" applyFont="1" applyFill="1" applyBorder="1" applyAlignment="1">
      <alignment horizontal="left" vertical="top" wrapText="1"/>
    </xf>
    <xf numFmtId="0" fontId="18" fillId="11" borderId="8" xfId="6" applyFont="1" applyFill="1" applyBorder="1" applyAlignment="1">
      <alignment horizontal="left" vertical="top" wrapText="1"/>
    </xf>
    <xf numFmtId="0" fontId="18" fillId="11" borderId="9" xfId="6" applyFont="1" applyFill="1" applyBorder="1" applyAlignment="1">
      <alignment horizontal="left" vertical="top" wrapText="1"/>
    </xf>
    <xf numFmtId="0" fontId="18" fillId="11" borderId="2" xfId="6" applyFont="1" applyFill="1" applyBorder="1" applyAlignment="1">
      <alignment horizontal="left" vertical="top" wrapText="1"/>
    </xf>
    <xf numFmtId="0" fontId="18" fillId="11" borderId="5" xfId="6" applyFont="1" applyFill="1" applyBorder="1" applyAlignment="1">
      <alignment horizontal="left" vertical="top" wrapText="1"/>
    </xf>
    <xf numFmtId="0" fontId="18" fillId="10" borderId="0" xfId="6" applyFont="1" applyFill="1" applyBorder="1" applyAlignment="1">
      <alignment horizontal="left" vertical="top" wrapText="1"/>
    </xf>
    <xf numFmtId="0" fontId="18" fillId="10" borderId="4" xfId="6" applyFont="1" applyFill="1" applyBorder="1" applyAlignment="1">
      <alignment horizontal="left" vertical="top" wrapText="1"/>
    </xf>
    <xf numFmtId="0" fontId="18" fillId="12" borderId="8" xfId="4" applyFont="1" applyFill="1" applyBorder="1" applyAlignment="1">
      <alignment horizontal="left" vertical="top" wrapText="1"/>
    </xf>
    <xf numFmtId="0" fontId="18" fillId="12" borderId="9" xfId="4" applyFont="1" applyFill="1" applyBorder="1" applyAlignment="1">
      <alignment horizontal="left" vertical="top" wrapText="1"/>
    </xf>
    <xf numFmtId="0" fontId="18" fillId="12" borderId="2" xfId="4" applyFont="1" applyFill="1" applyBorder="1" applyAlignment="1">
      <alignment horizontal="left" vertical="top" wrapText="1"/>
    </xf>
    <xf numFmtId="0" fontId="18" fillId="12" borderId="5" xfId="4" applyFont="1" applyFill="1" applyBorder="1" applyAlignment="1">
      <alignment horizontal="left" vertical="top" wrapText="1"/>
    </xf>
    <xf numFmtId="0" fontId="18" fillId="0" borderId="8" xfId="4" applyFont="1" applyFill="1" applyBorder="1" applyAlignment="1">
      <alignment horizontal="left" vertical="top" wrapText="1"/>
    </xf>
    <xf numFmtId="0" fontId="18" fillId="0" borderId="0" xfId="4" applyFont="1" applyFill="1" applyBorder="1" applyAlignment="1">
      <alignment horizontal="left" vertical="top" wrapText="1"/>
    </xf>
    <xf numFmtId="0" fontId="18" fillId="2" borderId="0" xfId="6" applyFont="1" applyFill="1" applyBorder="1" applyAlignment="1">
      <alignment horizontal="left" vertical="top" wrapText="1"/>
    </xf>
    <xf numFmtId="0" fontId="18" fillId="2" borderId="4" xfId="6" applyFont="1" applyFill="1" applyBorder="1" applyAlignment="1">
      <alignment horizontal="left" vertical="top" wrapText="1"/>
    </xf>
    <xf numFmtId="0" fontId="27" fillId="0" borderId="21" xfId="0" applyFont="1" applyBorder="1" applyAlignment="1">
      <alignment horizontal="center" vertical="center"/>
    </xf>
    <xf numFmtId="167" fontId="20" fillId="2" borderId="7" xfId="6" applyNumberFormat="1" applyFont="1" applyFill="1" applyBorder="1" applyAlignment="1">
      <alignment horizontal="left" vertical="top"/>
    </xf>
    <xf numFmtId="167" fontId="20" fillId="2" borderId="10" xfId="6" applyNumberFormat="1" applyFont="1" applyFill="1" applyBorder="1" applyAlignment="1">
      <alignment horizontal="left" vertical="top"/>
    </xf>
    <xf numFmtId="0" fontId="18" fillId="12" borderId="0" xfId="6" applyFont="1" applyFill="1" applyBorder="1" applyAlignment="1">
      <alignment horizontal="left" vertical="top" wrapText="1"/>
    </xf>
    <xf numFmtId="0" fontId="18" fillId="10" borderId="8" xfId="6" applyFont="1" applyFill="1" applyBorder="1" applyAlignment="1">
      <alignment horizontal="left" vertical="top" wrapText="1"/>
    </xf>
    <xf numFmtId="0" fontId="18" fillId="10" borderId="2" xfId="6" applyFont="1" applyFill="1" applyBorder="1" applyAlignment="1">
      <alignment horizontal="left" vertical="top" wrapText="1"/>
    </xf>
    <xf numFmtId="0" fontId="18" fillId="12" borderId="8" xfId="6" applyFont="1" applyFill="1" applyBorder="1" applyAlignment="1">
      <alignment horizontal="left" vertical="top" wrapText="1"/>
    </xf>
    <xf numFmtId="0" fontId="18" fillId="12" borderId="9" xfId="6" applyFont="1" applyFill="1" applyBorder="1" applyAlignment="1">
      <alignment horizontal="left" vertical="top" wrapText="1"/>
    </xf>
    <xf numFmtId="0" fontId="18" fillId="12" borderId="2" xfId="6" applyFont="1" applyFill="1" applyBorder="1" applyAlignment="1">
      <alignment horizontal="left" vertical="top" wrapText="1"/>
    </xf>
    <xf numFmtId="0" fontId="18" fillId="12" borderId="5" xfId="6" applyFont="1" applyFill="1" applyBorder="1" applyAlignment="1">
      <alignment horizontal="left" vertical="top" wrapText="1"/>
    </xf>
    <xf numFmtId="0" fontId="4" fillId="9" borderId="8" xfId="5" applyFill="1" applyBorder="1" applyAlignment="1">
      <alignment horizontal="left" vertical="top" wrapText="1"/>
    </xf>
    <xf numFmtId="0" fontId="4" fillId="9" borderId="9" xfId="5" applyFill="1" applyBorder="1" applyAlignment="1">
      <alignment horizontal="left" vertical="top" wrapText="1"/>
    </xf>
    <xf numFmtId="0" fontId="4" fillId="9" borderId="2" xfId="5" applyFill="1" applyBorder="1" applyAlignment="1">
      <alignment horizontal="left" vertical="top" wrapText="1"/>
    </xf>
    <xf numFmtId="0" fontId="4" fillId="9" borderId="5" xfId="5" applyFill="1" applyBorder="1" applyAlignment="1">
      <alignment horizontal="left" vertical="top" wrapText="1"/>
    </xf>
    <xf numFmtId="0" fontId="18" fillId="10" borderId="9" xfId="6" applyFont="1" applyFill="1" applyBorder="1" applyAlignment="1">
      <alignment horizontal="left" vertical="top" wrapText="1"/>
    </xf>
    <xf numFmtId="0" fontId="3" fillId="12" borderId="8" xfId="5" applyFont="1" applyFill="1" applyBorder="1" applyAlignment="1">
      <alignment horizontal="left" vertical="top" wrapText="1"/>
    </xf>
    <xf numFmtId="0" fontId="4" fillId="12" borderId="9" xfId="5" applyFill="1" applyBorder="1" applyAlignment="1">
      <alignment horizontal="left" vertical="top" wrapText="1"/>
    </xf>
    <xf numFmtId="0" fontId="4" fillId="12" borderId="2" xfId="5" applyFill="1" applyBorder="1" applyAlignment="1">
      <alignment horizontal="left" vertical="top" wrapText="1"/>
    </xf>
    <xf numFmtId="0" fontId="4" fillId="12" borderId="5" xfId="5" applyFill="1" applyBorder="1" applyAlignment="1">
      <alignment horizontal="left" vertical="top" wrapText="1"/>
    </xf>
    <xf numFmtId="0" fontId="3" fillId="9" borderId="8" xfId="5" applyFont="1" applyFill="1" applyBorder="1" applyAlignment="1">
      <alignment horizontal="left" vertical="top" wrapText="1"/>
    </xf>
    <xf numFmtId="0" fontId="18" fillId="0" borderId="8" xfId="6" applyFont="1" applyFill="1" applyBorder="1" applyAlignment="1">
      <alignment horizontal="left" vertical="top" wrapText="1"/>
    </xf>
    <xf numFmtId="0" fontId="20" fillId="13" borderId="8" xfId="6" applyFont="1" applyFill="1" applyBorder="1" applyAlignment="1">
      <alignment horizontal="left" vertical="top" wrapText="1"/>
    </xf>
    <xf numFmtId="0" fontId="20" fillId="13" borderId="9" xfId="6" applyFont="1" applyFill="1" applyBorder="1" applyAlignment="1">
      <alignment horizontal="left" vertical="top" wrapText="1"/>
    </xf>
    <xf numFmtId="0" fontId="20" fillId="13" borderId="2" xfId="6" applyFont="1" applyFill="1" applyBorder="1" applyAlignment="1">
      <alignment horizontal="left" vertical="top" wrapText="1"/>
    </xf>
    <xf numFmtId="0" fontId="20" fillId="13" borderId="5" xfId="6" applyFont="1" applyFill="1" applyBorder="1" applyAlignment="1">
      <alignment horizontal="left" vertical="top" wrapText="1"/>
    </xf>
    <xf numFmtId="0" fontId="30" fillId="11" borderId="9" xfId="6" applyFont="1" applyFill="1" applyBorder="1" applyAlignment="1">
      <alignment horizontal="left" vertical="top" wrapText="1"/>
    </xf>
    <xf numFmtId="0" fontId="30" fillId="11" borderId="2" xfId="6" applyFont="1" applyFill="1" applyBorder="1" applyAlignment="1">
      <alignment horizontal="left" vertical="top" wrapText="1"/>
    </xf>
    <xf numFmtId="0" fontId="30" fillId="11" borderId="5" xfId="6" applyFont="1" applyFill="1" applyBorder="1" applyAlignment="1">
      <alignment horizontal="left" vertical="top" wrapText="1"/>
    </xf>
    <xf numFmtId="0" fontId="20" fillId="12" borderId="8" xfId="6" applyFont="1" applyFill="1" applyBorder="1" applyAlignment="1">
      <alignment horizontal="left" vertical="top" wrapText="1"/>
    </xf>
    <xf numFmtId="0" fontId="20" fillId="12" borderId="9" xfId="6" applyFont="1" applyFill="1" applyBorder="1" applyAlignment="1">
      <alignment horizontal="left" vertical="top" wrapText="1"/>
    </xf>
    <xf numFmtId="0" fontId="20" fillId="12" borderId="2" xfId="6" applyFont="1" applyFill="1" applyBorder="1" applyAlignment="1">
      <alignment horizontal="left" vertical="top" wrapText="1"/>
    </xf>
    <xf numFmtId="0" fontId="20" fillId="12" borderId="5" xfId="6" applyFont="1" applyFill="1" applyBorder="1" applyAlignment="1">
      <alignment horizontal="left" vertical="top" wrapText="1"/>
    </xf>
    <xf numFmtId="0" fontId="18" fillId="11" borderId="22" xfId="6" applyFont="1" applyFill="1" applyBorder="1" applyAlignment="1">
      <alignment horizontal="left" vertical="top" wrapText="1"/>
    </xf>
    <xf numFmtId="0" fontId="18" fillId="11" borderId="27" xfId="6" applyFont="1" applyFill="1" applyBorder="1" applyAlignment="1">
      <alignment horizontal="left" vertical="top" wrapText="1"/>
    </xf>
    <xf numFmtId="0" fontId="20" fillId="11" borderId="8" xfId="6" applyFont="1" applyFill="1" applyBorder="1" applyAlignment="1">
      <alignment horizontal="left" vertical="top" wrapText="1"/>
    </xf>
    <xf numFmtId="0" fontId="20" fillId="11" borderId="9" xfId="6" applyFont="1" applyFill="1" applyBorder="1" applyAlignment="1">
      <alignment horizontal="left" vertical="top" wrapText="1"/>
    </xf>
    <xf numFmtId="0" fontId="20" fillId="11" borderId="2" xfId="6" applyFont="1" applyFill="1" applyBorder="1" applyAlignment="1">
      <alignment horizontal="left" vertical="top" wrapText="1"/>
    </xf>
    <xf numFmtId="0" fontId="20" fillId="11" borderId="5" xfId="6" applyFont="1" applyFill="1" applyBorder="1" applyAlignment="1">
      <alignment horizontal="left" vertical="top" wrapText="1"/>
    </xf>
    <xf numFmtId="0" fontId="18" fillId="14" borderId="8" xfId="4" applyFont="1" applyFill="1" applyBorder="1" applyAlignment="1">
      <alignment horizontal="left" vertical="top" wrapText="1"/>
    </xf>
    <xf numFmtId="0" fontId="18" fillId="14" borderId="9" xfId="4" applyFont="1" applyFill="1" applyBorder="1" applyAlignment="1">
      <alignment horizontal="left" vertical="top" wrapText="1"/>
    </xf>
    <xf numFmtId="0" fontId="18" fillId="14" borderId="2" xfId="4" applyFont="1" applyFill="1" applyBorder="1" applyAlignment="1">
      <alignment horizontal="left" vertical="top" wrapText="1"/>
    </xf>
    <xf numFmtId="0" fontId="18" fillId="14" borderId="5" xfId="4" applyFont="1" applyFill="1" applyBorder="1" applyAlignment="1">
      <alignment horizontal="left" vertical="top" wrapText="1"/>
    </xf>
    <xf numFmtId="0" fontId="18" fillId="14" borderId="8" xfId="6" applyFont="1" applyFill="1" applyBorder="1" applyAlignment="1">
      <alignment horizontal="left" vertical="top" wrapText="1"/>
    </xf>
    <xf numFmtId="0" fontId="18" fillId="14" borderId="9" xfId="6" applyFont="1" applyFill="1" applyBorder="1" applyAlignment="1">
      <alignment horizontal="left" vertical="top" wrapText="1"/>
    </xf>
    <xf numFmtId="0" fontId="18" fillId="14" borderId="2" xfId="6" applyFont="1" applyFill="1" applyBorder="1" applyAlignment="1">
      <alignment horizontal="left" vertical="top" wrapText="1"/>
    </xf>
    <xf numFmtId="0" fontId="18" fillId="14" borderId="5" xfId="6" applyFont="1" applyFill="1" applyBorder="1" applyAlignment="1">
      <alignment horizontal="left" vertical="top" wrapText="1"/>
    </xf>
    <xf numFmtId="0" fontId="18" fillId="13" borderId="8" xfId="6" applyFont="1" applyFill="1" applyBorder="1" applyAlignment="1">
      <alignment horizontal="left" vertical="top" wrapText="1"/>
    </xf>
    <xf numFmtId="0" fontId="18" fillId="13" borderId="9" xfId="6" applyFont="1" applyFill="1" applyBorder="1" applyAlignment="1">
      <alignment horizontal="left" vertical="top" wrapText="1"/>
    </xf>
    <xf numFmtId="0" fontId="18" fillId="13" borderId="2" xfId="6" applyFont="1" applyFill="1" applyBorder="1" applyAlignment="1">
      <alignment horizontal="left" vertical="top" wrapText="1"/>
    </xf>
    <xf numFmtId="0" fontId="18" fillId="13" borderId="5" xfId="6" applyFont="1" applyFill="1" applyBorder="1" applyAlignment="1">
      <alignment horizontal="left" vertical="top" wrapText="1"/>
    </xf>
    <xf numFmtId="0" fontId="2" fillId="0" borderId="8" xfId="0" applyFont="1" applyBorder="1" applyAlignment="1">
      <alignment horizontal="left" vertical="top" wrapText="1"/>
    </xf>
    <xf numFmtId="0" fontId="18" fillId="11" borderId="8" xfId="4" applyFont="1" applyFill="1" applyBorder="1" applyAlignment="1">
      <alignment horizontal="left" vertical="top" wrapText="1"/>
    </xf>
    <xf numFmtId="0" fontId="18" fillId="11" borderId="9" xfId="4" applyFont="1" applyFill="1" applyBorder="1" applyAlignment="1">
      <alignment horizontal="left" vertical="top" wrapText="1"/>
    </xf>
    <xf numFmtId="0" fontId="18" fillId="11" borderId="2" xfId="4" applyFont="1" applyFill="1" applyBorder="1" applyAlignment="1">
      <alignment horizontal="left" vertical="top" wrapText="1"/>
    </xf>
    <xf numFmtId="0" fontId="18" fillId="11" borderId="5" xfId="4" applyFont="1" applyFill="1" applyBorder="1" applyAlignment="1">
      <alignment horizontal="left" vertical="top" wrapText="1"/>
    </xf>
    <xf numFmtId="0" fontId="20" fillId="12" borderId="8" xfId="4" applyFont="1" applyFill="1" applyBorder="1" applyAlignment="1">
      <alignment horizontal="left" vertical="top" wrapText="1"/>
    </xf>
    <xf numFmtId="0" fontId="20" fillId="12" borderId="9" xfId="4" applyFont="1" applyFill="1" applyBorder="1" applyAlignment="1">
      <alignment horizontal="left" vertical="top" wrapText="1"/>
    </xf>
    <xf numFmtId="0" fontId="20" fillId="12" borderId="2" xfId="4" applyFont="1" applyFill="1" applyBorder="1" applyAlignment="1">
      <alignment horizontal="left" vertical="top" wrapText="1"/>
    </xf>
    <xf numFmtId="0" fontId="20" fillId="12" borderId="5" xfId="4" applyFont="1" applyFill="1" applyBorder="1" applyAlignment="1">
      <alignment horizontal="left" vertical="top" wrapText="1"/>
    </xf>
    <xf numFmtId="0" fontId="20" fillId="11" borderId="8" xfId="4" applyFont="1" applyFill="1" applyBorder="1" applyAlignment="1">
      <alignment horizontal="left" vertical="top" wrapText="1"/>
    </xf>
    <xf numFmtId="0" fontId="20" fillId="11" borderId="9" xfId="4" applyFont="1" applyFill="1" applyBorder="1" applyAlignment="1">
      <alignment horizontal="left" vertical="top" wrapText="1"/>
    </xf>
    <xf numFmtId="0" fontId="20" fillId="11" borderId="2" xfId="4" applyFont="1" applyFill="1" applyBorder="1" applyAlignment="1">
      <alignment horizontal="left" vertical="top" wrapText="1"/>
    </xf>
    <xf numFmtId="0" fontId="20" fillId="11" borderId="5" xfId="4" applyFont="1" applyFill="1" applyBorder="1" applyAlignment="1">
      <alignment horizontal="left" vertical="top" wrapText="1"/>
    </xf>
    <xf numFmtId="165" fontId="18" fillId="0" borderId="0" xfId="0" applyNumberFormat="1" applyFont="1" applyFill="1" applyBorder="1" applyAlignment="1">
      <alignment horizontal="center" vertical="center" wrapText="1"/>
    </xf>
    <xf numFmtId="0" fontId="18" fillId="0" borderId="0" xfId="0" applyFont="1" applyFill="1" applyBorder="1" applyAlignment="1">
      <alignment horizontal="center" vertical="center" wrapText="1"/>
    </xf>
    <xf numFmtId="49" fontId="18" fillId="0" borderId="0" xfId="0" applyNumberFormat="1" applyFont="1" applyFill="1" applyBorder="1" applyAlignment="1">
      <alignment horizontal="center" vertical="center"/>
    </xf>
    <xf numFmtId="0" fontId="18" fillId="16" borderId="8" xfId="6" applyFont="1" applyFill="1" applyBorder="1" applyAlignment="1">
      <alignment horizontal="left" vertical="top" wrapText="1"/>
    </xf>
    <xf numFmtId="0" fontId="18" fillId="16" borderId="9" xfId="6" applyFont="1" applyFill="1" applyBorder="1" applyAlignment="1">
      <alignment horizontal="left" vertical="top" wrapText="1"/>
    </xf>
    <xf numFmtId="0" fontId="18" fillId="16" borderId="2" xfId="6" applyFont="1" applyFill="1" applyBorder="1" applyAlignment="1">
      <alignment horizontal="left" vertical="top" wrapText="1"/>
    </xf>
    <xf numFmtId="0" fontId="18" fillId="16" borderId="5" xfId="6" applyFont="1" applyFill="1" applyBorder="1" applyAlignment="1">
      <alignment horizontal="left" vertical="top" wrapText="1"/>
    </xf>
    <xf numFmtId="0" fontId="20" fillId="9" borderId="8" xfId="4" applyFont="1" applyFill="1" applyBorder="1" applyAlignment="1">
      <alignment horizontal="left" vertical="top" wrapText="1"/>
    </xf>
    <xf numFmtId="0" fontId="20" fillId="9" borderId="9" xfId="4" applyFont="1" applyFill="1" applyBorder="1" applyAlignment="1">
      <alignment horizontal="left" vertical="top" wrapText="1"/>
    </xf>
    <xf numFmtId="0" fontId="20" fillId="9" borderId="2" xfId="4" applyFont="1" applyFill="1" applyBorder="1" applyAlignment="1">
      <alignment horizontal="left" vertical="top" wrapText="1"/>
    </xf>
    <xf numFmtId="0" fontId="20" fillId="9" borderId="5" xfId="4" applyFont="1" applyFill="1" applyBorder="1" applyAlignment="1">
      <alignment horizontal="left" vertical="top" wrapText="1"/>
    </xf>
    <xf numFmtId="0" fontId="18" fillId="16" borderId="8" xfId="4" applyFont="1" applyFill="1" applyBorder="1" applyAlignment="1">
      <alignment horizontal="left" vertical="top" wrapText="1"/>
    </xf>
    <xf numFmtId="0" fontId="18" fillId="16" borderId="9" xfId="4" applyFont="1" applyFill="1" applyBorder="1" applyAlignment="1">
      <alignment horizontal="left" vertical="top" wrapText="1"/>
    </xf>
    <xf numFmtId="0" fontId="18" fillId="16" borderId="2" xfId="4" applyFont="1" applyFill="1" applyBorder="1" applyAlignment="1">
      <alignment horizontal="left" vertical="top" wrapText="1"/>
    </xf>
    <xf numFmtId="0" fontId="18" fillId="16" borderId="5" xfId="4" applyFont="1" applyFill="1" applyBorder="1" applyAlignment="1">
      <alignment horizontal="left" vertical="top" wrapText="1"/>
    </xf>
    <xf numFmtId="0" fontId="20" fillId="16" borderId="8" xfId="4" applyFont="1" applyFill="1" applyBorder="1" applyAlignment="1">
      <alignment horizontal="left" vertical="top" wrapText="1"/>
    </xf>
  </cellXfs>
  <cellStyles count="7">
    <cellStyle name="20 % – uthevingsfarge 2" xfId="3" builtinId="34"/>
    <cellStyle name="40 % – uthevingsfarge 1" xfId="2" builtinId="31"/>
    <cellStyle name="40 % – uthevingsfarge 3" xfId="4" builtinId="39"/>
    <cellStyle name="40 % – uthevingsfarge 4" xfId="5" builtinId="43"/>
    <cellStyle name="40 % – uthevingsfarge 6" xfId="6" builtinId="51"/>
    <cellStyle name="Hyperkobling" xfId="1" builtinId="8"/>
    <cellStyle name="Normal" xfId="0" builtinId="0"/>
  </cellStyles>
  <dxfs count="942">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s>
  <tableStyles count="0" defaultTableStyle="TableStyleMedium2" defaultPivotStyle="PivotStyleLight16"/>
  <colors>
    <mruColors>
      <color rgb="FFFF5757"/>
      <color rgb="FFFFE699"/>
      <color rgb="FFC6E0B4"/>
      <color rgb="FF000000"/>
      <color rgb="FFFFE698"/>
      <color rgb="FFADADAD"/>
      <color rgb="FFBDD7EE"/>
      <color rgb="FFFFFA99"/>
      <color rgb="FFED7D31"/>
      <color rgb="FFC6575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47625</xdr:colOff>
      <xdr:row>23</xdr:row>
      <xdr:rowOff>28575</xdr:rowOff>
    </xdr:from>
    <xdr:to>
      <xdr:col>4</xdr:col>
      <xdr:colOff>2486025</xdr:colOff>
      <xdr:row>37</xdr:row>
      <xdr:rowOff>133350</xdr:rowOff>
    </xdr:to>
    <xdr:sp macro="" textlink="">
      <xdr:nvSpPr>
        <xdr:cNvPr id="5" name="TekstSylinder 4">
          <a:extLst>
            <a:ext uri="{FF2B5EF4-FFF2-40B4-BE49-F238E27FC236}">
              <a16:creationId xmlns:a16="http://schemas.microsoft.com/office/drawing/2014/main" id="{2D8CAF63-E8A9-4679-BE1C-F05F4DBDFD61}"/>
            </a:ext>
          </a:extLst>
        </xdr:cNvPr>
        <xdr:cNvSpPr txBox="1"/>
      </xdr:nvSpPr>
      <xdr:spPr>
        <a:xfrm>
          <a:off x="47625" y="4762500"/>
          <a:ext cx="6438900" cy="2571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100" b="0" i="0">
              <a:solidFill>
                <a:schemeClr val="dk1"/>
              </a:solidFill>
              <a:effectLst/>
              <a:latin typeface="+mn-lt"/>
              <a:ea typeface="+mn-ea"/>
              <a:cs typeface="+mn-cs"/>
            </a:rPr>
            <a:t>Denne uka har vært bare forelesninger, samt opprettelse av Excel-fila. Vi har enda ikke begynt med prosjektet. Ettersom vi er tidlig i faget har vi ikke hadd utvikling og administrativt arbeid enda. Har enn så lenge bestått hovedsakelig i teori (forelesninger) samt logging i dette Excel dokumentet. Derav noe lite i Excel dokumentet denne uka.</a:t>
          </a:r>
          <a:endParaRPr lang="nb-NO">
            <a:effectLst/>
          </a:endParaRPr>
        </a:p>
        <a:p>
          <a:pPr rtl="0"/>
          <a:r>
            <a:rPr lang="en-US" sz="1100" b="0" i="0">
              <a:solidFill>
                <a:schemeClr val="dk1"/>
              </a:solidFill>
              <a:effectLst/>
              <a:latin typeface="+mn-lt"/>
              <a:ea typeface="+mn-ea"/>
              <a:cs typeface="+mn-cs"/>
            </a:rPr>
            <a:t>Jeg har fått gjort denne loggen svært automatisert slik at det vil bli enklere og mer oversiktlig i fremtiden å loggføre arbeidet mitt. Ser for meg at denne timelisten skal være bra nok, men det får tiden vise videre i faget. For datoene i "Loggføring" har jeg lagt inn en egen dato-formatering for SI-formatet hvor jeg bruker "YYYY-MM-dd ukedag." for god oversikt. Har også lagt inn automatisk oppdatering av "Timer totalt brukt" for når flere uker blir lagt inn (flere ark).</a:t>
          </a:r>
          <a:endParaRPr lang="nb-NO">
            <a:effectLst/>
          </a:endParaRPr>
        </a:p>
        <a:p>
          <a:pPr rtl="0"/>
          <a:r>
            <a:rPr lang="en-US" sz="1100" b="0" i="0">
              <a:solidFill>
                <a:schemeClr val="dk1"/>
              </a:solidFill>
              <a:effectLst/>
              <a:latin typeface="+mn-lt"/>
              <a:ea typeface="+mn-ea"/>
              <a:cs typeface="+mn-cs"/>
            </a:rPr>
            <a:t>Jeg har enn så lenge ikke funnet en metode for å automatisk kalkulere "Timer per type arbeid". Altså at det i cellene D4:D7 automatisk hentes "Antall timer" per type arbeid (farge) for loggføringa.</a:t>
          </a:r>
          <a:endParaRPr lang="nb-NO">
            <a:effectLst/>
          </a:endParaRPr>
        </a:p>
        <a:p>
          <a:pPr rtl="0"/>
          <a:r>
            <a:rPr lang="en-US" sz="1100" b="0" i="0">
              <a:solidFill>
                <a:schemeClr val="dk1"/>
              </a:solidFill>
              <a:effectLst/>
              <a:latin typeface="+mn-lt"/>
              <a:ea typeface="+mn-ea"/>
              <a:cs typeface="+mn-cs"/>
            </a:rPr>
            <a:t>Denne uka loggførte jeg etter siste time på torsdagen, var da litt vanskelig å huske eksakt hva vi hadde hatt. Skal heretter loggføre ting straks det er gjort, dette vil bli enda viktigere når vi senere begynner med prosjektet og mer arbeid. En god lærepenge :)</a:t>
          </a:r>
          <a:endParaRPr lang="nb-NO">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23</xdr:row>
      <xdr:rowOff>19050</xdr:rowOff>
    </xdr:from>
    <xdr:to>
      <xdr:col>4</xdr:col>
      <xdr:colOff>2428875</xdr:colOff>
      <xdr:row>39</xdr:row>
      <xdr:rowOff>133350</xdr:rowOff>
    </xdr:to>
    <xdr:sp macro="" textlink="">
      <xdr:nvSpPr>
        <xdr:cNvPr id="2" name="TekstSylinder 1">
          <a:extLst>
            <a:ext uri="{FF2B5EF4-FFF2-40B4-BE49-F238E27FC236}">
              <a16:creationId xmlns:a16="http://schemas.microsoft.com/office/drawing/2014/main" id="{CE86E9A8-1F8A-461E-8C80-8AE12AF9A1C1}"/>
            </a:ext>
          </a:extLst>
        </xdr:cNvPr>
        <xdr:cNvSpPr txBox="1"/>
      </xdr:nvSpPr>
      <xdr:spPr>
        <a:xfrm>
          <a:off x="38100" y="4752975"/>
          <a:ext cx="6391275" cy="2867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100" b="0" i="0">
              <a:solidFill>
                <a:schemeClr val="dk1"/>
              </a:solidFill>
              <a:effectLst/>
              <a:latin typeface="+mn-lt"/>
              <a:ea typeface="+mn-ea"/>
              <a:cs typeface="+mn-cs"/>
            </a:rPr>
            <a:t>Har nå</a:t>
          </a:r>
          <a:r>
            <a:rPr lang="en-US" sz="1100" b="0" i="0" baseline="0">
              <a:solidFill>
                <a:schemeClr val="dk1"/>
              </a:solidFill>
              <a:effectLst/>
              <a:latin typeface="+mn-lt"/>
              <a:ea typeface="+mn-ea"/>
              <a:cs typeface="+mn-cs"/>
            </a:rPr>
            <a:t> endret strukturen i timelista her hvor oppsummeringa ligger under slik at jeg kan korrekt eksportere denne som PDF :)</a:t>
          </a:r>
          <a:endParaRPr lang="nb-NO">
            <a:effectLst/>
          </a:endParaRPr>
        </a:p>
        <a:p>
          <a:pPr rtl="0"/>
          <a:r>
            <a:rPr lang="en-US" sz="1100" b="0" i="0" baseline="0">
              <a:solidFill>
                <a:schemeClr val="dk1"/>
              </a:solidFill>
              <a:effectLst/>
              <a:latin typeface="+mn-lt"/>
              <a:ea typeface="+mn-ea"/>
              <a:cs typeface="+mn-cs"/>
            </a:rPr>
            <a:t>Denne uka var kun forelesninger hvorav onsdag og torsdag var fjorårets forelesning ettersom læreren var borte. Vi lærte om SCUM, Design Patterns og XP (Extrene Programming)</a:t>
          </a:r>
          <a:endParaRPr lang="nb-NO">
            <a:effectLst/>
          </a:endParaRPr>
        </a:p>
        <a:p>
          <a:endParaRPr lang="nb-N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xdr:colOff>
      <xdr:row>23</xdr:row>
      <xdr:rowOff>19050</xdr:rowOff>
    </xdr:from>
    <xdr:to>
      <xdr:col>4</xdr:col>
      <xdr:colOff>2428875</xdr:colOff>
      <xdr:row>39</xdr:row>
      <xdr:rowOff>133350</xdr:rowOff>
    </xdr:to>
    <xdr:sp macro="" textlink="">
      <xdr:nvSpPr>
        <xdr:cNvPr id="2" name="TekstSylinder 1">
          <a:extLst>
            <a:ext uri="{FF2B5EF4-FFF2-40B4-BE49-F238E27FC236}">
              <a16:creationId xmlns:a16="http://schemas.microsoft.com/office/drawing/2014/main" id="{50C6B008-E41D-4B2F-B73D-3B3ADD60462C}"/>
            </a:ext>
          </a:extLst>
        </xdr:cNvPr>
        <xdr:cNvSpPr txBox="1"/>
      </xdr:nvSpPr>
      <xdr:spPr>
        <a:xfrm>
          <a:off x="38100" y="4752975"/>
          <a:ext cx="6391275" cy="2867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nb-NO" sz="1100">
              <a:solidFill>
                <a:schemeClr val="dk1"/>
              </a:solidFill>
              <a:effectLst/>
              <a:latin typeface="+mn-lt"/>
              <a:ea typeface="+mn-ea"/>
              <a:cs typeface="+mn-cs"/>
            </a:rPr>
            <a:t>Mandag: Vi fikk her presentert prosjektet</a:t>
          </a:r>
          <a:r>
            <a:rPr lang="nb-NO" sz="1100" baseline="0">
              <a:solidFill>
                <a:schemeClr val="dk1"/>
              </a:solidFill>
              <a:effectLst/>
              <a:latin typeface="+mn-lt"/>
              <a:ea typeface="+mn-ea"/>
              <a:cs typeface="+mn-cs"/>
            </a:rPr>
            <a:t> og hva i hovedtrekk det gikk ut på. Jeg fikk vite hvem jeg hadde kommet i gruppe med og hilste på de, vi i gruppa ble enige om å ha første møte klokken 12 førstkommende onsdag.</a:t>
          </a:r>
        </a:p>
        <a:p>
          <a:pPr rtl="0"/>
          <a:endParaRPr lang="nb-NO">
            <a:effectLst/>
          </a:endParaRPr>
        </a:p>
        <a:p>
          <a:pPr rtl="0"/>
          <a:r>
            <a:rPr lang="nb-NO" sz="1100" baseline="0">
              <a:solidFill>
                <a:schemeClr val="dk1"/>
              </a:solidFill>
              <a:effectLst/>
              <a:latin typeface="+mn-lt"/>
              <a:ea typeface="+mn-ea"/>
              <a:cs typeface="+mn-cs"/>
            </a:rPr>
            <a:t>Onsdag: Vi hadde her teori om prosjektstyring og rapportering. Etter forelesningen hadde vi i gruppa felles møte hvor vi opprettet en synkronisert mappe lagret i skyen (Microsoft OneDrive). Her skal vi laste opp timelister og all relevant informasjon vi blir å bruke fremover i prosjektet. På denne måten kan alle i gruppa, uansett type enhet som brukes, få tilgang til alle dokumenter og filer fra hvor som helst. Dette medfører at vi jobber mer effektivt sammen. Vi vil også være bedre sikret mot tap av data da mappa har en felles søppelkurv samt at alle filene ligger synkronisert på alle maskinene til alle i gruppa. Det er jeg som tok ansvaret for å opprette denne mappa og jeg er da "hovedeier" av mappa hvor alle de andre i gruppa har både skrive/lese rettigheter.</a:t>
          </a:r>
        </a:p>
        <a:p>
          <a:pPr rtl="0"/>
          <a:endParaRPr lang="nb-NO">
            <a:effectLst/>
          </a:endParaRPr>
        </a:p>
        <a:p>
          <a:pPr rtl="0"/>
          <a:r>
            <a:rPr lang="nb-NO" sz="1100" baseline="0">
              <a:solidFill>
                <a:schemeClr val="dk1"/>
              </a:solidFill>
              <a:effectLst/>
              <a:latin typeface="+mn-lt"/>
              <a:ea typeface="+mn-ea"/>
              <a:cs typeface="+mn-cs"/>
            </a:rPr>
            <a:t>Torsdag. Her gikk vi gjennom risikoanalyse i prosjekter. Hvordan man tar for seg sannsynlighet for uønskede hendelser i utviklingsforløpet. Det være seg sykdommer, at man ikke rekker tidsfrister og liknende. Sikkerhetskopiering er et av de viktigste aspektene rundt dette. Tap av data under utvikling kan eksempelvis medføre til svært store kostnader og forsinkelse.</a:t>
          </a:r>
          <a:endParaRPr lang="nb-NO">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38100</xdr:colOff>
      <xdr:row>23</xdr:row>
      <xdr:rowOff>19050</xdr:rowOff>
    </xdr:from>
    <xdr:to>
      <xdr:col>4</xdr:col>
      <xdr:colOff>2428875</xdr:colOff>
      <xdr:row>44</xdr:row>
      <xdr:rowOff>133350</xdr:rowOff>
    </xdr:to>
    <xdr:sp macro="" textlink="">
      <xdr:nvSpPr>
        <xdr:cNvPr id="2" name="TekstSylinder 1">
          <a:extLst>
            <a:ext uri="{FF2B5EF4-FFF2-40B4-BE49-F238E27FC236}">
              <a16:creationId xmlns:a16="http://schemas.microsoft.com/office/drawing/2014/main" id="{BD15EAA5-0C31-4691-9C61-7CDAE8151B9D}"/>
            </a:ext>
          </a:extLst>
        </xdr:cNvPr>
        <xdr:cNvSpPr txBox="1"/>
      </xdr:nvSpPr>
      <xdr:spPr>
        <a:xfrm>
          <a:off x="38100" y="4752975"/>
          <a:ext cx="6391275" cy="3676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nb-NO" sz="1100">
              <a:solidFill>
                <a:schemeClr val="dk1"/>
              </a:solidFill>
              <a:effectLst/>
              <a:latin typeface="+mn-lt"/>
              <a:ea typeface="+mn-ea"/>
              <a:cs typeface="+mn-cs"/>
            </a:rPr>
            <a:t>Onsdag: Vi gikk blant</a:t>
          </a:r>
          <a:r>
            <a:rPr lang="nb-NO" sz="1100" baseline="0">
              <a:solidFill>
                <a:schemeClr val="dk1"/>
              </a:solidFill>
              <a:effectLst/>
              <a:latin typeface="+mn-lt"/>
              <a:ea typeface="+mn-ea"/>
              <a:cs typeface="+mn-cs"/>
            </a:rPr>
            <a:t> annet </a:t>
          </a:r>
          <a:r>
            <a:rPr lang="nb-NO" sz="1100">
              <a:solidFill>
                <a:schemeClr val="dk1"/>
              </a:solidFill>
              <a:effectLst/>
              <a:latin typeface="+mn-lt"/>
              <a:ea typeface="+mn-ea"/>
              <a:cs typeface="+mn-cs"/>
            </a:rPr>
            <a:t>gjennom oppgaven</a:t>
          </a:r>
          <a:r>
            <a:rPr lang="nb-NO" sz="1100" baseline="0">
              <a:solidFill>
                <a:schemeClr val="dk1"/>
              </a:solidFill>
              <a:effectLst/>
              <a:latin typeface="+mn-lt"/>
              <a:ea typeface="+mn-ea"/>
              <a:cs typeface="+mn-cs"/>
            </a:rPr>
            <a:t> fra forrige time "V4. Oppgave Prosjektstyring del 1". Hadde møte med gruppa hvor vi gikk gjennom emnebeskvrivelsen til oppgaven. Vi diskuterte her litt om hvordan vi skulle fordele arbeidet i prosjektet. Det å dele det inn i både backend og frontend ble vi alle enige om. Det synes jeg personlig er en god idé. Jeg personlig foretrekker eksempelvis backend, derfor mener jeg dette er smart hvor medlemmene får velge littegran selv. Selvsagt blir alle i gruppa å jobbe over hele spekteret, men litt valgmuligheter er flott :)</a:t>
          </a:r>
        </a:p>
        <a:p>
          <a:pPr rtl="0"/>
          <a:endParaRPr lang="nb-NO" sz="1100" baseline="0">
            <a:solidFill>
              <a:schemeClr val="dk1"/>
            </a:solidFill>
            <a:effectLst/>
            <a:latin typeface="+mn-lt"/>
            <a:ea typeface="+mn-ea"/>
            <a:cs typeface="+mn-cs"/>
          </a:endParaRPr>
        </a:p>
        <a:p>
          <a:pPr rtl="0"/>
          <a:r>
            <a:rPr lang="nb-NO" sz="1100" baseline="0">
              <a:solidFill>
                <a:schemeClr val="dk1"/>
              </a:solidFill>
              <a:effectLst/>
              <a:latin typeface="+mn-lt"/>
              <a:ea typeface="+mn-ea"/>
              <a:cs typeface="+mn-cs"/>
            </a:rPr>
            <a:t>Torsdag: Vi ble her enige om en felles timeliste, denne timelista har jeg endret til nå. Den er noe mer oversiktelig enn den forrige jeg hadde og samtidig mer automatisert med tanke på oppsummering av timer i timelista. Denne timelista bruker Sumcolor() funksjon som summerer opp automatisk mtp. hvilken farge det er. På den forrige måtte jeg gå på hver celle og plusse inn i oppsummeringa.</a:t>
          </a:r>
        </a:p>
        <a:p>
          <a:pPr rtl="0"/>
          <a:endParaRPr lang="nb-NO">
            <a:effectLst/>
          </a:endParaRPr>
        </a:p>
        <a:p>
          <a:pPr rtl="0"/>
          <a:r>
            <a:rPr lang="nb-NO">
              <a:effectLst/>
            </a:rPr>
            <a:t>Jeg begynte på torsdag</a:t>
          </a:r>
          <a:r>
            <a:rPr lang="nb-NO" baseline="0">
              <a:effectLst/>
            </a:rPr>
            <a:t> med utvikling av databasen vi skal bruke. Dette gjorde jeg i MySQL Workbench, samme program som vi brukte i faget "ITE1805-1 19V Databaser og webapplikasjoner 1". Kom ikke så langt i den 45 minuttene, slet med å installere programmet ettersom den nyeste versjonen av MySQL Workbench hadde en bug som gjorde at programmet ikke åpnet seg i Windows 10. Gikk tilbake til forrige versjon og alt gikk fint. Fikk satt opp en god del tabeller og satte meg tanker rundt hvordan jeg så for meg databasen burde se ut. Her kom det jeg hadde lært i faget "</a:t>
          </a:r>
          <a:r>
            <a:rPr lang="nb-NO" sz="1100" baseline="0">
              <a:solidFill>
                <a:schemeClr val="dk1"/>
              </a:solidFill>
              <a:effectLst/>
              <a:latin typeface="+mn-lt"/>
              <a:ea typeface="+mn-ea"/>
              <a:cs typeface="+mn-cs"/>
            </a:rPr>
            <a:t>ITE1805-1 19V Databaser og webapplikasjoner 1" til godt bruk. Jeg har en god del materiale fra det faget jeg kan bruke til å se på.</a:t>
          </a:r>
          <a:endParaRPr lang="nb-NO">
            <a:effectLst/>
          </a:endParaRPr>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0</xdr:col>
      <xdr:colOff>0</xdr:colOff>
      <xdr:row>46</xdr:row>
      <xdr:rowOff>66675</xdr:rowOff>
    </xdr:from>
    <xdr:ext cx="6991349" cy="7732373"/>
    <xdr:sp macro="" textlink="">
      <xdr:nvSpPr>
        <xdr:cNvPr id="2" name="TekstSylinder 1">
          <a:extLst>
            <a:ext uri="{FF2B5EF4-FFF2-40B4-BE49-F238E27FC236}">
              <a16:creationId xmlns:a16="http://schemas.microsoft.com/office/drawing/2014/main" id="{487505BE-7AF0-46FF-BDD2-37252A216F2F}"/>
            </a:ext>
          </a:extLst>
        </xdr:cNvPr>
        <xdr:cNvSpPr txBox="1"/>
      </xdr:nvSpPr>
      <xdr:spPr>
        <a:xfrm>
          <a:off x="0" y="11639550"/>
          <a:ext cx="6991349" cy="77323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b-NO" sz="1400" b="1" i="0">
              <a:solidFill>
                <a:schemeClr val="tx1"/>
              </a:solidFill>
              <a:effectLst/>
              <a:latin typeface="+mn-lt"/>
              <a:ea typeface="+mn-ea"/>
              <a:cs typeface="+mn-cs"/>
            </a:rPr>
            <a:t>Roller:</a:t>
          </a:r>
        </a:p>
        <a:p>
          <a:r>
            <a:rPr lang="nb-NO" sz="1400" b="1" i="0">
              <a:solidFill>
                <a:schemeClr val="tx1"/>
              </a:solidFill>
              <a:effectLst/>
              <a:latin typeface="+mn-lt"/>
              <a:ea typeface="+mn-ea"/>
              <a:cs typeface="+mn-cs"/>
            </a:rPr>
            <a:t>SCRUM-master i Sprint 1</a:t>
          </a:r>
          <a:r>
            <a:rPr lang="nb-NO" sz="1400" b="0" i="0">
              <a:solidFill>
                <a:schemeClr val="tx1"/>
              </a:solidFill>
              <a:effectLst/>
              <a:latin typeface="+mn-lt"/>
              <a:ea typeface="+mn-ea"/>
              <a:cs typeface="+mn-cs"/>
            </a:rPr>
            <a:t>: Alexander Hansen</a:t>
          </a:r>
        </a:p>
        <a:p>
          <a:r>
            <a:rPr lang="nb-NO" sz="1400" b="1" i="0">
              <a:solidFill>
                <a:schemeClr val="tx1"/>
              </a:solidFill>
              <a:effectLst/>
              <a:latin typeface="+mn-lt"/>
              <a:ea typeface="+mn-ea"/>
              <a:cs typeface="+mn-cs"/>
            </a:rPr>
            <a:t>Backend:</a:t>
          </a:r>
          <a:r>
            <a:rPr lang="nb-NO" sz="1400" b="0" i="0">
              <a:solidFill>
                <a:schemeClr val="tx1"/>
              </a:solidFill>
              <a:effectLst/>
              <a:latin typeface="+mn-lt"/>
              <a:ea typeface="+mn-ea"/>
              <a:cs typeface="+mn-cs"/>
            </a:rPr>
            <a:t> Martin Mikalsen, Anders Rubach Ese, Adrian-Alexandru Chirita, Vegard Simonsen </a:t>
          </a:r>
        </a:p>
        <a:p>
          <a:r>
            <a:rPr lang="nb-NO" sz="1400" b="1" i="0">
              <a:solidFill>
                <a:schemeClr val="tx1"/>
              </a:solidFill>
              <a:effectLst/>
              <a:latin typeface="+mn-lt"/>
              <a:ea typeface="+mn-ea"/>
              <a:cs typeface="+mn-cs"/>
            </a:rPr>
            <a:t>Frontend:</a:t>
          </a:r>
          <a:r>
            <a:rPr lang="nb-NO" sz="1400" b="0" i="0">
              <a:solidFill>
                <a:schemeClr val="tx1"/>
              </a:solidFill>
              <a:effectLst/>
              <a:latin typeface="+mn-lt"/>
              <a:ea typeface="+mn-ea"/>
              <a:cs typeface="+mn-cs"/>
            </a:rPr>
            <a:t> Joachim Kristensen, Alexander Hansen, Eivind Blom Eriksen</a:t>
          </a:r>
        </a:p>
        <a:p>
          <a:endParaRPr lang="nb-NO" sz="1200" b="1"/>
        </a:p>
        <a:p>
          <a:r>
            <a:rPr lang="nb-NO" sz="1200" b="1"/>
            <a:t>Mandag</a:t>
          </a:r>
          <a:r>
            <a:rPr lang="nb-NO" sz="1200"/>
            <a:t>: Jeg leste om og prøvde programmet StartUML for opprettelse av UML-diagrammer. Dette programmet funket fint. Jeg var med og satte opp UML-diagram for en god del klasser til PHP. Jeg synes dette gikk bra og jeg lærte en god del nytt om UML-diagrammer for PHP. Vi hadde Scrum-meeting og satte opp git-repository i coderefinery. Vi kan nå jobbe sammen i gruppa og dele kode mye enklere. Dette mener jeg vil være bra og øke effektiviteten. Det vil gjøre det mye raskere å sette opp en ny maskin og jobbe bedre hjemmefra.</a:t>
          </a:r>
        </a:p>
        <a:p>
          <a:endParaRPr lang="nb-NO" sz="1200"/>
        </a:p>
        <a:p>
          <a:r>
            <a:rPr lang="nb-NO" sz="1200" b="1"/>
            <a:t>Onsdag</a:t>
          </a:r>
          <a:r>
            <a:rPr lang="nb-NO" sz="1200"/>
            <a:t>: Jobbet en del med normalisering av databasen vår i MySQL-Workbench. Jeg endret navn i enkelte tabeller her og der for bedre oversikt og for å følge riktig navnetyper. Dette for å gjøre det mer lesbart og korrekt slik det skal være. Fikk ryddet opp litt samtidig for småfeil og/eller ting som fungerer bedre på andre måter. Jeg mener dette gikk fint, databasen skal nå fungere bedre og jeg er fornøyd med resultatet. Jeg regner med at flere endringer mot databasen vil skje etterhvert ettersom vi ser behov for det når prosjektet utvides.</a:t>
          </a:r>
        </a:p>
        <a:p>
          <a:r>
            <a:rPr lang="nb-NO" sz="1200"/>
            <a:t>                                                                                                                                                     </a:t>
          </a:r>
        </a:p>
        <a:p>
          <a:r>
            <a:rPr lang="nb-NO" sz="1200" b="1"/>
            <a:t>Torsdag</a:t>
          </a:r>
          <a:r>
            <a:rPr lang="nb-NO" sz="1200"/>
            <a:t>: Vi hadde scrum-meeting. Jeg synes møtet gikk bra og vi fikk gjort en god del og diskutert hva som skal gjøres fremover, og hva som er gjort. Videre begynte jeg med å sette opp twig i git-repositoriet, dette brukes for å oppretet maler og skille backend-kode fra frontend-kode. Med dette verktøyet får en en mer ryddis struktur på frontend-siden. Dette mener jeg er lurt for å ha bedre oversikt til enhver tid. Jeg satte også opp filezilla med sikkerhetskopiering av git-repositoriet. Altså at hele systemet som ligger på coderefinery-serverne blir backet opp til kark-serveren samt en egen harddisk på min maskin. Dette for å sikre seg mot tap av data, som er noe av det mest tidkrevende en kan oppleve. Jeg mener dette er veldig viktig for ethvert prosjekt som utvikler programvare.  </a:t>
          </a:r>
        </a:p>
        <a:p>
          <a:r>
            <a:rPr lang="nb-NO" sz="1200"/>
            <a:t>Det ble jobbet med login siden en del, noe vi vil fortsette med neste uke. Jeg satte også opp apache2-server med XAMPP for lokal testing på min maskin. Dette gjør det mer effektiv for meg som utvikler å teste koden direkte på maskinen, på denne måten slipper jeg å laste opp koden for å sjekke om det fungerer og jeg kan tilogmed jobbe uten internett. Jeg synes dette er lurt og gjør at vi jobber kjappere.</a:t>
          </a:r>
        </a:p>
        <a:p>
          <a:endParaRPr lang="nb-NO" sz="1200"/>
        </a:p>
        <a:p>
          <a:r>
            <a:rPr lang="nb-NO" sz="1200" b="1"/>
            <a:t>Lørdag</a:t>
          </a:r>
          <a:r>
            <a:rPr lang="nb-NO" sz="1200"/>
            <a:t>: Gikk gjennom min og de andre timelistene i gruppa, dette for å påse at malene opprettholder den felles malen for gruppa. Jeg mener min skal følge malen til gruppa nå. Til sist så jeg over noe tidligere oppgaver og stoff fra emnet "ITE1805 Databaser og webapplikasjoner 1" som dette prosjektet jo baserer seg en del på. Dette tenker jeg kan være lurt når jeg jobber videre med prosjektet.</a:t>
          </a:r>
        </a:p>
        <a:p>
          <a:endParaRPr lang="nb-NO" sz="1200"/>
        </a:p>
        <a:p>
          <a:r>
            <a:rPr lang="nb-NO" sz="1200" b="1"/>
            <a:t>Søndag: </a:t>
          </a:r>
          <a:r>
            <a:rPr lang="nb-NO" sz="1200" b="0"/>
            <a:t>Gjorde et par småendringer i timelista med tanke på farge, marger</a:t>
          </a:r>
          <a:r>
            <a:rPr lang="nb-NO" sz="1200" b="0" baseline="0"/>
            <a:t>, stil, tekststørrelse og gjorde oppsummeringa til en teksktboks etter jeg fikk beskjed fra en på gruppa. Dette var bra slik at jeg fikk gjort den lik malen.</a:t>
          </a:r>
          <a:endParaRPr lang="nb-NO" sz="1200" b="1"/>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46</xdr:row>
      <xdr:rowOff>66675</xdr:rowOff>
    </xdr:from>
    <xdr:ext cx="6991349" cy="9954648"/>
    <xdr:sp macro="" textlink="">
      <xdr:nvSpPr>
        <xdr:cNvPr id="2" name="TekstSylinder 1">
          <a:extLst>
            <a:ext uri="{FF2B5EF4-FFF2-40B4-BE49-F238E27FC236}">
              <a16:creationId xmlns:a16="http://schemas.microsoft.com/office/drawing/2014/main" id="{F1CB345F-21D4-483B-92B6-D4DDBC69E055}"/>
            </a:ext>
          </a:extLst>
        </xdr:cNvPr>
        <xdr:cNvSpPr txBox="1"/>
      </xdr:nvSpPr>
      <xdr:spPr>
        <a:xfrm>
          <a:off x="0" y="10525125"/>
          <a:ext cx="6991349" cy="99546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b-NO" sz="1400" b="1"/>
            <a:t>Roller:</a:t>
          </a:r>
        </a:p>
        <a:p>
          <a:r>
            <a:rPr lang="nb-NO" sz="1400" b="1"/>
            <a:t>SCRUM-master i Sprint 1:</a:t>
          </a:r>
          <a:r>
            <a:rPr lang="nb-NO" sz="1400" b="0"/>
            <a:t> Alexander Hansen</a:t>
          </a:r>
        </a:p>
        <a:p>
          <a:r>
            <a:rPr lang="nb-NO" sz="1400" b="1"/>
            <a:t>Backend: </a:t>
          </a:r>
          <a:r>
            <a:rPr lang="nb-NO" sz="1400" b="0"/>
            <a:t>Martin Mikalsen, Anders Rubach Ese, Adrian-Alexandru Chirita, Vegard Simonsen</a:t>
          </a:r>
        </a:p>
        <a:p>
          <a:r>
            <a:rPr lang="nb-NO" sz="1400" b="1"/>
            <a:t>Frontend: </a:t>
          </a:r>
          <a:r>
            <a:rPr lang="nb-NO" sz="1400" b="0"/>
            <a:t>Joachim Kristensen, Alexander Hansen, Eivind Blom Eriksen</a:t>
          </a:r>
        </a:p>
        <a:p>
          <a:endParaRPr lang="nb-NO" sz="1400" b="1"/>
        </a:p>
        <a:p>
          <a:r>
            <a:rPr lang="nb-NO" sz="1400" b="1"/>
            <a:t>Nye roller:</a:t>
          </a:r>
        </a:p>
        <a:p>
          <a:r>
            <a:rPr lang="nb-NO" sz="1400" b="1"/>
            <a:t>SCRUM-master i Sprint 2: </a:t>
          </a:r>
          <a:r>
            <a:rPr lang="nb-NO" sz="1400" b="0"/>
            <a:t>Eivind Blom Eriksen</a:t>
          </a:r>
        </a:p>
        <a:p>
          <a:endParaRPr lang="nb-NO" sz="1400" b="1"/>
        </a:p>
        <a:p>
          <a:r>
            <a:rPr lang="nb-NO" sz="1400" b="1"/>
            <a:t>Mandag</a:t>
          </a:r>
          <a:r>
            <a:rPr lang="nb-NO" sz="1400"/>
            <a:t>: Jeg startet uken med å gå gjennom noe teori om symfony og composer. Dette er rammeverket vi bruker for å koble sammen frontend og backend. Jeg mener dette gikk fint og jeg fikk lest gjennom mye jeg tidligere har hatt som har gått i glemmeboksen.        Neste hadde vi Scrum-meeting med gruppa og gikk gjennom hva som ble gjort forrige uke og hva vi planlegger videre. Jeg synes møtet gikk veldig bra ettersom vi kjapt og konkret fikk gått gjennom det vi hadde planlagt.</a:t>
          </a:r>
          <a:r>
            <a:rPr lang="nb-NO" sz="1400" baseline="0"/>
            <a:t> </a:t>
          </a:r>
        </a:p>
        <a:p>
          <a:endParaRPr lang="nb-NO" sz="1400" baseline="0"/>
        </a:p>
        <a:p>
          <a:r>
            <a:rPr lang="nb-NO" sz="1400"/>
            <a:t>Videre jobbet jeg med PHP-kode med tanke på innlogginga. Fikk satt opp noe flere klasser og slikt. Jeg satte så opp symfony og composer i Phpstorm gjennom terminalen i Linux. Jeg fikk hjelp fra Martin som hadde gjort dette før meg så det gikk fint. Etter at dette var satt opp fikk jeg videre i PHP med å opprette spørringer mot vår database som er satt opp på kark.uit.no. Dette gikk fint, jeg testet spørringene i SQL først slik at jeg kunne bekrefte at de var korrekte.</a:t>
          </a:r>
        </a:p>
        <a:p>
          <a:endParaRPr lang="nb-NO" sz="1400"/>
        </a:p>
        <a:p>
          <a:r>
            <a:rPr lang="nb-NO" sz="1400" b="1"/>
            <a:t>Tirsdag:</a:t>
          </a:r>
          <a:r>
            <a:rPr lang="nb-NO" sz="1400" b="1" baseline="0"/>
            <a:t> </a:t>
          </a:r>
          <a:r>
            <a:rPr lang="nb-NO" sz="1400" b="0" baseline="0"/>
            <a:t>Jeg jobbet videre med PHP fra dagen før. Jeg opprettet dummy-data i databasen og opprettet flere spørringer mot databasen vår. Dette synes jeg gikk fint. Jeg fikk hentet ut de dataene jeg ønsket i ved hjelp av SQL-spørringer.</a:t>
          </a:r>
          <a:endParaRPr lang="nb-NO" sz="1400" b="0"/>
        </a:p>
        <a:p>
          <a:endParaRPr lang="nb-NO" sz="1400" b="1"/>
        </a:p>
        <a:p>
          <a:r>
            <a:rPr lang="nb-NO" sz="1400" b="1"/>
            <a:t>Onsdag</a:t>
          </a:r>
          <a:r>
            <a:rPr lang="nb-NO" sz="1400"/>
            <a:t>: I dag jobbet jeg mye i PHP, jeg fikset innloggingen slik at denne funket mot databasen på kark.uit.no. Videre satte jeg opp flere spørringer og endret noe småfeil i koden. Jeg brukte også tid med å rydde opp litt i kode og sette opp kommentarer slik at andre enklere kan forstå koden jeg har skrevet.</a:t>
          </a:r>
        </a:p>
        <a:p>
          <a:endParaRPr lang="nb-NO" sz="1400" b="1"/>
        </a:p>
        <a:p>
          <a:r>
            <a:rPr lang="nb-NO" sz="1400" b="1"/>
            <a:t>Torsdag</a:t>
          </a:r>
          <a:r>
            <a:rPr lang="nb-NO" sz="1400"/>
            <a:t>: Vi startet dagen med å ha et såkalt "sprint-review" møte med PO. Vi gikk her gjennom hva vi hadde gjort og hva vi planlegger videre. Jeg tenker møtet gikk fint da vi fikk fortalt hvordan det går i gruppa og vist frem det vi allerede har laget.</a:t>
          </a:r>
        </a:p>
        <a:p>
          <a:endParaRPr lang="nb-NO" sz="1400" b="1"/>
        </a:p>
        <a:p>
          <a:r>
            <a:rPr lang="nb-NO" sz="1400" b="1"/>
            <a:t>Fredag: </a:t>
          </a:r>
          <a:r>
            <a:rPr lang="nb-NO" sz="1400" b="0"/>
            <a:t>Vi hadde her</a:t>
          </a:r>
          <a:r>
            <a:rPr lang="nb-NO" sz="1400" b="0" baseline="0"/>
            <a:t> møte i gruppa hvor vi gikk gjennom hva vi skulle gjøre videre. Vi diskuterte blant annet Feide-systemet og tenkte hvordan databasen vil endre seg straks Feide blir implementert i systemet vårt.</a:t>
          </a:r>
          <a:endParaRPr lang="nb-NO" sz="1400" b="1"/>
        </a:p>
        <a:p>
          <a:endParaRPr lang="nb-NO" sz="1400" b="1"/>
        </a:p>
        <a:p>
          <a:r>
            <a:rPr lang="nb-NO" sz="1400" b="1"/>
            <a:t>Lørdag</a:t>
          </a:r>
          <a:r>
            <a:rPr lang="nb-NO" sz="1400"/>
            <a:t>: Vi gikk gjennom</a:t>
          </a:r>
          <a:r>
            <a:rPr lang="nb-NO" sz="1400" baseline="0"/>
            <a:t> neste sprint og diskuterte prosjektet videre. Jeg synes vi ble enig i mye og fikk bestemt hva som skjer videre i neste uke. Vi kjørte planning poker for neste sprint hvor vi bestemte hvor lang tid vi skal bruke på hvert element. Dette gikk fint og vi fikk satt opp hvor mye tid vi skulle bruke på hvert element videre i neste sprint. Til sist jobbet vi med Sprint retrospectiv sammen og ferdigstilte den. Her hadde vi mye diskusjon men ble enige til slutt.</a:t>
          </a:r>
          <a:endParaRPr lang="nb-NO" sz="1400"/>
        </a:p>
        <a:p>
          <a:endParaRPr lang="nb-NO" sz="1400" b="1"/>
        </a:p>
        <a:p>
          <a:r>
            <a:rPr lang="nb-NO" sz="1400" b="1"/>
            <a:t>Søndag: </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30</xdr:row>
      <xdr:rowOff>70485</xdr:rowOff>
    </xdr:from>
    <xdr:ext cx="6991349" cy="10173811"/>
    <xdr:sp macro="" textlink="">
      <xdr:nvSpPr>
        <xdr:cNvPr id="2" name="TekstSylinder 1">
          <a:extLst>
            <a:ext uri="{FF2B5EF4-FFF2-40B4-BE49-F238E27FC236}">
              <a16:creationId xmlns:a16="http://schemas.microsoft.com/office/drawing/2014/main" id="{236FF864-F109-4D83-BBCA-845F69E454D7}"/>
            </a:ext>
          </a:extLst>
        </xdr:cNvPr>
        <xdr:cNvSpPr txBox="1"/>
      </xdr:nvSpPr>
      <xdr:spPr>
        <a:xfrm>
          <a:off x="0" y="10174605"/>
          <a:ext cx="6991349" cy="101738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b-NO" sz="1400" b="1"/>
            <a:t>Roller:</a:t>
          </a:r>
        </a:p>
        <a:p>
          <a:r>
            <a:rPr lang="nb-NO" sz="1400" b="1"/>
            <a:t>SCRUM-master i Sprint 2: </a:t>
          </a:r>
          <a:r>
            <a:rPr lang="nb-NO" sz="1400" b="0"/>
            <a:t>Eivind Blom Eriksen</a:t>
          </a:r>
        </a:p>
        <a:p>
          <a:r>
            <a:rPr lang="nb-NO" sz="1400" b="1"/>
            <a:t>Backend</a:t>
          </a:r>
          <a:r>
            <a:rPr lang="nb-NO" sz="1400" b="0"/>
            <a:t>: Martin Mikalsen, Anders Rubach Ese, Adrian-Alexandru Chirita, Vegard Simonsen</a:t>
          </a:r>
        </a:p>
        <a:p>
          <a:r>
            <a:rPr lang="nb-NO" sz="1400" b="1"/>
            <a:t>Frontend</a:t>
          </a:r>
          <a:r>
            <a:rPr lang="nb-NO" sz="1400" b="0"/>
            <a:t>: Joachim Kristensen, Alexander Hansen, Eivind Blom Eriksen</a:t>
          </a:r>
        </a:p>
        <a:p>
          <a:endParaRPr lang="nb-NO" sz="1400" b="0"/>
        </a:p>
        <a:p>
          <a:endParaRPr lang="nb-NO" sz="1400" b="1"/>
        </a:p>
        <a:p>
          <a:r>
            <a:rPr lang="nb-NO" sz="1400" b="1"/>
            <a:t>Mandag</a:t>
          </a:r>
          <a:r>
            <a:rPr lang="nb-NO" sz="1400"/>
            <a:t>: Vi</a:t>
          </a:r>
          <a:r>
            <a:rPr lang="nb-NO" sz="1400" baseline="0"/>
            <a:t> gikk på møtet gjennom hva som er gjort så langt. Vi diskuterte innloggings-siden og delegerte oppgaver innad i gruppen. Feide-systemet ble diskutert og vi snakket om hvordan vi kan implementere dette.</a:t>
          </a:r>
          <a:endParaRPr lang="nb-NO" sz="1400"/>
        </a:p>
        <a:p>
          <a:endParaRPr lang="nb-NO" sz="1400"/>
        </a:p>
        <a:p>
          <a:r>
            <a:rPr lang="nb-NO" sz="1400" b="1"/>
            <a:t>Tirsdag:</a:t>
          </a:r>
          <a:r>
            <a:rPr lang="nb-NO" sz="1400" b="1" baseline="0"/>
            <a:t> </a:t>
          </a:r>
          <a:r>
            <a:rPr lang="nb-NO" sz="1400" b="0" baseline="0"/>
            <a:t>Ble ikke noe jobbing med prosjektet idag, måtte sette fokus på et en stor innlevering i "programmering for mobil" faget</a:t>
          </a:r>
          <a:endParaRPr lang="nb-NO" sz="1400" b="1" baseline="0"/>
        </a:p>
        <a:p>
          <a:endParaRPr lang="nb-NO" sz="1400" b="1"/>
        </a:p>
        <a:p>
          <a:r>
            <a:rPr lang="nb-NO" sz="1400" b="1"/>
            <a:t>Onsdag</a:t>
          </a:r>
          <a:r>
            <a:rPr lang="nb-NO" sz="1400"/>
            <a:t>: Scrum-meeting, vi gikk gjennom hva vi gjorde etter møtet på mandag. Alle fortalte hva de tenker å gjøre videre til uka og vi viste fram hva de har gjort på storskjermen. Alle i gruppa kommenterte de andres arbeid. Dette synes jeg gikk fint og møtet gikk stort sett bra. Videre gikk vi</a:t>
          </a:r>
          <a:r>
            <a:rPr lang="nb-NO" sz="1400" baseline="0"/>
            <a:t> sammen i gruppa og ordnet strukturen i vår felles OneDrive mappe. Den er nå mer ryddig og oversiktelig enn tidligere. Duplikater og filer vi ikke trenger er slettet. Jeg synes mappen nå er enklere å forholde seg til, noe som vil spare oss tid videre i prosjektet.</a:t>
          </a:r>
        </a:p>
        <a:p>
          <a:endParaRPr lang="nb-NO" sz="1400" baseline="0"/>
        </a:p>
        <a:p>
          <a:r>
            <a:rPr lang="nb-NO" sz="1400" baseline="0"/>
            <a:t>Vi fikk idag melding om ikke godkjent Sprint ZERO innlevering. Jeg, Martin og Adrian brukte derfor en god del tid på kvelden for å rette opp i dette og fikse det som var galt. Jeg synes vi jobbet effektivt og fikk gjort mye på kort tid.</a:t>
          </a:r>
          <a:endParaRPr lang="nb-NO" sz="1400"/>
        </a:p>
        <a:p>
          <a:endParaRPr lang="nb-NO" sz="1400" b="1"/>
        </a:p>
        <a:p>
          <a:r>
            <a:rPr lang="nb-NO" sz="1400" b="1"/>
            <a:t>Torsdag</a:t>
          </a:r>
          <a:r>
            <a:rPr lang="nb-NO" sz="1400"/>
            <a:t>:</a:t>
          </a:r>
          <a:r>
            <a:rPr lang="nb-NO" sz="1400" baseline="0"/>
            <a:t> Satte inn kode fra master-branchen til backend-branchen for denne sprinten. Jeg satte opp noe flere spørringer mot databasen og opprettet</a:t>
          </a:r>
          <a:endParaRPr lang="nb-NO" sz="1400"/>
        </a:p>
        <a:p>
          <a:endParaRPr lang="nb-NO" sz="1400" b="1"/>
        </a:p>
        <a:p>
          <a:r>
            <a:rPr lang="nb-NO" sz="1400" b="1"/>
            <a:t>Fredag: </a:t>
          </a:r>
          <a:r>
            <a:rPr lang="nb-NO" sz="1400" b="0" baseline="0"/>
            <a:t>I dag satte jeg inn et par nye spørringer, fikset også noe feil på tidligere spørringer. Testet spørringer som var satt inn men ikke testet før, da grunnet at det tidligere ikke var data i databasen for å teste dette. Jeg synes arbeidet gikk fint og fikk gjort en god del. Uthenting av emne-data fra databasen er nå så og si ferdig, spørringene jeg har satt opp skal funke. Blir muligens noe mer jobb for optimalisering, ser at enkelte tabeller muligens kunne vært satt opp på en annen måte. Dette er noe vi i backend så for oss, endring i databasen kan vi gjøre direkte i PhpMyAdmin-siden veldig fort uten å ta ned databasen.</a:t>
          </a:r>
          <a:endParaRPr lang="nb-NO" sz="1400" b="1"/>
        </a:p>
        <a:p>
          <a:endParaRPr lang="nb-NO" sz="1400" b="1"/>
        </a:p>
        <a:p>
          <a:r>
            <a:rPr lang="nb-NO" sz="1400" b="1"/>
            <a:t>Søndag: </a:t>
          </a:r>
          <a:r>
            <a:rPr lang="nb-NO" sz="1400" b="0"/>
            <a:t>Fylte</a:t>
          </a:r>
          <a:r>
            <a:rPr lang="nb-NO" sz="1400" b="0" baseline="0"/>
            <a:t> ut timelisten og skrev oppsummering. Denne uka har jeg ikke fått gjort så veldig mye, dette grunnet en større innlevering i Programmering for mobil faget. Regner med det vil ta setg opp mer neste uke da jeg får mer tid til dette prosjektet. Jeg synes ellers denne uka har gått fint. Har fått gjort en god del i databasen og har jobbet effektivt.</a:t>
          </a:r>
          <a:br>
            <a:rPr lang="nb-NO" sz="1400" b="0" baseline="0"/>
          </a:br>
          <a:br>
            <a:rPr lang="nb-NO" sz="1400" b="0" baseline="0"/>
          </a:br>
          <a:r>
            <a:rPr lang="nb-NO" sz="1400" b="0" baseline="0"/>
            <a:t>Vi hadde scrum-meeting klokken 12:00, jeg ble noe forsinket grunnet at bussen til Narvik gikk sent. På møtet diskuterte vi hva som var gjort og vi jobbet videre med Sprint-zero innleveringen som måtte innleveres på nytt. Dette synes jeg gikk fint. Jeg hadde nesten gjort ferdig det som måtte gjøres for Sprint-zero innleveringen på onsdagen, så det gjensto ikke så veldig mye å gjøre. Jeg møtte opp senere og vi fikk gjort ferdig innleveringen som måtte innleveres på nytt, Sprint zero. Jeg synes dette gikk fint og vi fikk jobbet effektivt.</a:t>
          </a:r>
          <a:endParaRPr lang="nb-NO" sz="1400" b="1"/>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0</xdr:col>
      <xdr:colOff>0</xdr:colOff>
      <xdr:row>48</xdr:row>
      <xdr:rowOff>41910</xdr:rowOff>
    </xdr:from>
    <xdr:ext cx="6991349" cy="10392973"/>
    <xdr:sp macro="" textlink="">
      <xdr:nvSpPr>
        <xdr:cNvPr id="3" name="TekstSylinder 1">
          <a:extLst>
            <a:ext uri="{FF2B5EF4-FFF2-40B4-BE49-F238E27FC236}">
              <a16:creationId xmlns:a16="http://schemas.microsoft.com/office/drawing/2014/main" id="{5F283A91-31A4-4486-910E-D79838E9CC7B}"/>
            </a:ext>
          </a:extLst>
        </xdr:cNvPr>
        <xdr:cNvSpPr txBox="1"/>
      </xdr:nvSpPr>
      <xdr:spPr>
        <a:xfrm>
          <a:off x="0" y="11062335"/>
          <a:ext cx="6991349" cy="103929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b-NO" sz="1400" b="1"/>
            <a:t>Nye roller:</a:t>
          </a:r>
        </a:p>
        <a:p>
          <a:r>
            <a:rPr lang="nb-NO" sz="1400" b="1"/>
            <a:t>SCRUM-master for neste sprint (sprint 3): </a:t>
          </a:r>
          <a:r>
            <a:rPr lang="nb-NO" sz="1400" b="0"/>
            <a:t>Anders</a:t>
          </a:r>
          <a:r>
            <a:rPr lang="nb-NO" sz="1400" b="0" baseline="0"/>
            <a:t> Rubach Ese</a:t>
          </a:r>
        </a:p>
        <a:p>
          <a:endParaRPr lang="nb-NO" sz="1400" b="1"/>
        </a:p>
        <a:p>
          <a:pPr marL="0" marR="0" lvl="0" indent="0" defTabSz="914400" eaLnBrk="1" fontAlgn="auto" latinLnBrk="0" hangingPunct="1">
            <a:lnSpc>
              <a:spcPct val="100000"/>
            </a:lnSpc>
            <a:spcBef>
              <a:spcPts val="0"/>
            </a:spcBef>
            <a:spcAft>
              <a:spcPts val="0"/>
            </a:spcAft>
            <a:buClrTx/>
            <a:buSzTx/>
            <a:buFontTx/>
            <a:buNone/>
            <a:tabLst/>
            <a:defRPr/>
          </a:pPr>
          <a:r>
            <a:rPr lang="nb-NO" sz="1400" b="1">
              <a:solidFill>
                <a:schemeClr val="tx1"/>
              </a:solidFill>
              <a:effectLst/>
              <a:latin typeface="+mn-lt"/>
              <a:ea typeface="+mn-ea"/>
              <a:cs typeface="+mn-cs"/>
            </a:rPr>
            <a:t>Roller:</a:t>
          </a:r>
          <a:endParaRPr lang="nb-NO" sz="1800" b="1"/>
        </a:p>
        <a:p>
          <a:r>
            <a:rPr lang="nb-NO" sz="1400" b="1"/>
            <a:t>SCRUM-master i Sprint 2: </a:t>
          </a:r>
          <a:r>
            <a:rPr lang="nb-NO" sz="1400" b="0"/>
            <a:t>Eivind Blom Eriksen</a:t>
          </a:r>
        </a:p>
        <a:p>
          <a:r>
            <a:rPr lang="nb-NO" sz="1400" b="1"/>
            <a:t>Backend</a:t>
          </a:r>
          <a:r>
            <a:rPr lang="nb-NO" sz="1400" b="0"/>
            <a:t>: Martin Mikalsen, Anders Rubach Ese, Adrian-Alexandru Chirita, Vegard Simonsen</a:t>
          </a:r>
        </a:p>
        <a:p>
          <a:r>
            <a:rPr lang="nb-NO" sz="1400" b="1"/>
            <a:t>Frontend</a:t>
          </a:r>
          <a:r>
            <a:rPr lang="nb-NO" sz="1400" b="0"/>
            <a:t>: Joachim Kristensen, Alexander Hansen, Eivind Blom Eriksen</a:t>
          </a:r>
        </a:p>
        <a:p>
          <a:endParaRPr lang="nb-NO" sz="1400" b="1"/>
        </a:p>
        <a:p>
          <a:r>
            <a:rPr lang="nb-NO" sz="1400" b="1"/>
            <a:t>Mandag</a:t>
          </a:r>
          <a:r>
            <a:rPr lang="nb-NO" sz="1400"/>
            <a:t>: Vi hadde Scrum-meeting hvor vi fortalte hva vi hadde gjort og hvort langt vi hadde kommet. Det ble gjort noe endringer i databasen hvor jeg fra forrige uke så noe steder vi kunne optimalisere den. Dette resulterte i at vi slettet tabellene for Nivå og UndervisninStermin. Vi satte også inn AnsvarligFakultet i Emne for videre bruk.</a:t>
          </a:r>
        </a:p>
        <a:p>
          <a:endParaRPr lang="nb-NO" sz="1400"/>
        </a:p>
        <a:p>
          <a:r>
            <a:rPr lang="nb-NO" sz="1400" b="1"/>
            <a:t>Tirsdag:</a:t>
          </a:r>
          <a:r>
            <a:rPr lang="nb-NO" sz="1400" b="1" baseline="0"/>
            <a:t> </a:t>
          </a:r>
          <a:r>
            <a:rPr lang="nb-NO" sz="1400" b="0" baseline="0"/>
            <a:t>Lastet opp den nye versjonen av databasen og dets diagram til vår felles OneDrive-mappe. Gikk over koden i PHP og sjekket at endringene jeg og Martin gjorde igår, mandag, var korrekte. Jobbet videre med uthenting av data for Emne. Det ble litt ekstra tid da vi slet med noe av spørringene. Men til slutt gikk det fint. Jeg og Martin jobbet effektiv og fikk gjort mye.</a:t>
          </a:r>
        </a:p>
        <a:p>
          <a:r>
            <a:rPr lang="nb-NO" sz="1400" b="0" baseline="0"/>
            <a:t>Deretter startet jeg og Martin med backend for oppretting av emner som skal sende data til databasen. </a:t>
          </a:r>
        </a:p>
        <a:p>
          <a:endParaRPr lang="nb-NO" sz="1400" b="1"/>
        </a:p>
        <a:p>
          <a:r>
            <a:rPr lang="nb-NO" sz="1400" b="1"/>
            <a:t>Onsdag</a:t>
          </a:r>
          <a:r>
            <a:rPr lang="nb-NO" sz="1400"/>
            <a:t>: Vi startet medsScrum-meeting. Møtet ble noe forsinket ettersom vi så på bacheloroppgave for 3. års studentene. I møtet gikk alle gruppemedlemene gjennom hva de hadde gjort siden forrige møte. Videre diskuterte vi hva vi skal gjøre ut uka.</a:t>
          </a:r>
        </a:p>
        <a:p>
          <a:r>
            <a:rPr lang="nb-NO" sz="1400"/>
            <a:t>Videre</a:t>
          </a:r>
          <a:r>
            <a:rPr lang="nb-NO" sz="1400" baseline="0"/>
            <a:t> </a:t>
          </a:r>
          <a:r>
            <a:rPr lang="nb-NO" sz="1400"/>
            <a:t>jobbet vi videre med insertEmne funksjonen inne i databaseQuery.php klassen, denne ble ganske stor (100+ linjer) siden den skal sende all informasjon itl databsen når vi oppretter emner, men det gikk forsåvidt greit å lage. Så begynte vi mering med front-end for oppretting av emner, og så litt på hva de hadde i forhold til hva som lagres i databasen, gjorde et par endringer der. </a:t>
          </a:r>
        </a:p>
        <a:p>
          <a:endParaRPr lang="nb-NO" sz="1400" b="1"/>
        </a:p>
        <a:p>
          <a:r>
            <a:rPr lang="nb-NO" sz="1400" b="1"/>
            <a:t>Fredag: </a:t>
          </a:r>
          <a:r>
            <a:rPr lang="nb-NO" sz="1400" b="0"/>
            <a:t>Vi</a:t>
          </a:r>
          <a:r>
            <a:rPr lang="nb-NO" sz="1400" b="0" baseline="0"/>
            <a:t> hadde scrum-meeting over nett ettersom skolen stengte ned grunnet corona-viruset. Videre fortsatte vi jobbing med oppretteEmne.php og satte opp kode for å hente ut all nødvendig data fra front-end siden som Alexander har opprettet.</a:t>
          </a:r>
        </a:p>
        <a:p>
          <a:endParaRPr lang="nb-NO" sz="1400" b="1"/>
        </a:p>
        <a:p>
          <a:r>
            <a:rPr lang="nb-NO" sz="1400" b="1"/>
            <a:t>Søndag: </a:t>
          </a:r>
          <a:r>
            <a:rPr lang="nb-NO" sz="1400" b="0"/>
            <a:t>Her hadde vi scrum-meeting og diskuterte</a:t>
          </a:r>
          <a:r>
            <a:rPr lang="nb-NO" sz="1400" b="0" baseline="0"/>
            <a:t> hva vi hadde gjort. Etter dette fortalte Vegard om en feilmelding han fikk når han skulle hente ut et emne, han delte så sin skjerm i Discord og vi gikk alle sammen og diskuterte hva som kunne være feil. På denne måten fikk vi kjapt kommet fram til at det var en liten skrivefeil i databaseQuery.php. Jeg synes dette gikk bedre enn forventet og det kommer til å funke bra videre nå som skolen er nedstengt grunnet Corona-viruset.</a:t>
          </a:r>
          <a:br>
            <a:rPr lang="nb-NO" sz="1400" b="0" baseline="0"/>
          </a:br>
          <a:br>
            <a:rPr lang="nb-NO" sz="1400" b="0" baseline="0"/>
          </a:br>
          <a:r>
            <a:rPr lang="nb-NO" sz="1400" b="0" baseline="0"/>
            <a:t>Videre ble vi enige om å ha scrum-master i 2 uker fremover, i motsetning til å ha en til hver sprint. På denne måten får alle medlemmene i gruppa mulighet til å ha denne rollen. Jeg vil med andre ord være scrum-master frem til søndag uke 13.</a:t>
          </a:r>
        </a:p>
        <a:p>
          <a:br>
            <a:rPr lang="nb-NO" sz="1400" b="0" baseline="0"/>
          </a:br>
          <a:r>
            <a:rPr lang="nb-NO" sz="1400" b="0" baseline="0"/>
            <a:t>Videre jobbet vi med å ferdigstille det som skulle leveres inn for slutten av denne sprinten. Dette gikk fint og jeg synes vi har jobbet effektivt og fått gjort mye nå på søndagen.</a:t>
          </a:r>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0</xdr:col>
      <xdr:colOff>0</xdr:colOff>
      <xdr:row>28</xdr:row>
      <xdr:rowOff>34290</xdr:rowOff>
    </xdr:from>
    <xdr:ext cx="6991349" cy="7935249"/>
    <xdr:sp macro="" textlink="">
      <xdr:nvSpPr>
        <xdr:cNvPr id="2" name="TekstSylinder 1">
          <a:extLst>
            <a:ext uri="{FF2B5EF4-FFF2-40B4-BE49-F238E27FC236}">
              <a16:creationId xmlns:a16="http://schemas.microsoft.com/office/drawing/2014/main" id="{BB4B4F25-C75C-4784-89E0-D388CAF99C04}"/>
            </a:ext>
          </a:extLst>
        </xdr:cNvPr>
        <xdr:cNvSpPr txBox="1"/>
      </xdr:nvSpPr>
      <xdr:spPr>
        <a:xfrm>
          <a:off x="0" y="6177915"/>
          <a:ext cx="6991349" cy="7935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b-NO" sz="1400" b="1"/>
            <a:t>Gjennomsnittlig</a:t>
          </a:r>
          <a:r>
            <a:rPr lang="nb-NO" sz="1400" b="1" baseline="0"/>
            <a:t> arbeidstimer i prosjektet denne uken: </a:t>
          </a:r>
          <a:r>
            <a:rPr lang="nb-NO" sz="1400" b="0" baseline="0"/>
            <a:t>10:02</a:t>
          </a:r>
          <a:endParaRPr lang="nb-NO" sz="1400" b="1"/>
        </a:p>
        <a:p>
          <a:endParaRPr lang="nb-NO" sz="1400" b="1"/>
        </a:p>
        <a:p>
          <a:r>
            <a:rPr lang="nb-NO" sz="1400" b="1"/>
            <a:t>Roller:</a:t>
          </a:r>
        </a:p>
        <a:p>
          <a:r>
            <a:rPr lang="nb-NO" sz="1400" b="1"/>
            <a:t>SCRUM-master i Sprint 3 (fram til uke 13): </a:t>
          </a:r>
          <a:r>
            <a:rPr lang="nb-NO" sz="1400" b="0"/>
            <a:t>Anders Rubach Ese</a:t>
          </a:r>
        </a:p>
        <a:p>
          <a:r>
            <a:rPr lang="nb-NO" sz="1400" b="1"/>
            <a:t>Backend</a:t>
          </a:r>
          <a:r>
            <a:rPr lang="nb-NO" sz="1400" b="0"/>
            <a:t>: Martin Mikalsen, Anders Rubach Ese, Adrian-Alexandru Chirita, Vegard Simonsen</a:t>
          </a:r>
        </a:p>
        <a:p>
          <a:r>
            <a:rPr lang="nb-NO" sz="1400" b="1"/>
            <a:t>Frontend</a:t>
          </a:r>
          <a:r>
            <a:rPr lang="nb-NO" sz="1400" b="0"/>
            <a:t>: Joachim Kristensen, Alexander Hansen, Eivind Blom Eriksen</a:t>
          </a:r>
        </a:p>
        <a:p>
          <a:endParaRPr lang="nb-NO" sz="1400" b="1"/>
        </a:p>
        <a:p>
          <a:r>
            <a:rPr lang="nb-NO" sz="1400" b="1"/>
            <a:t>Mandag</a:t>
          </a:r>
          <a:r>
            <a:rPr lang="nb-NO" sz="1400"/>
            <a:t>: </a:t>
          </a:r>
        </a:p>
        <a:p>
          <a:r>
            <a:rPr lang="nb-NO" sz="1400"/>
            <a:t>På mandag hadde</a:t>
          </a:r>
          <a:r>
            <a:rPr lang="nb-NO" sz="1400" baseline="0"/>
            <a:t> vi sprint-review med PO'er og læreren. Dette gikk fint og vi fikk fortalt hva vi hadde gjort og vist frem nettsiden vår både frontend og backend. Det vi kunne gjort bedre var å forberedt oss bedre med tanke på hvem som skal vise hva. </a:t>
          </a:r>
          <a:endParaRPr lang="nb-NO" sz="1400"/>
        </a:p>
        <a:p>
          <a:endParaRPr lang="nb-NO" sz="1400" b="1"/>
        </a:p>
        <a:p>
          <a:r>
            <a:rPr lang="nb-NO" sz="1400" b="1"/>
            <a:t>Onsdag</a:t>
          </a:r>
          <a:r>
            <a:rPr lang="nb-NO" sz="1400"/>
            <a:t>: </a:t>
          </a:r>
        </a:p>
        <a:p>
          <a:r>
            <a:rPr lang="nb-NO" sz="1400"/>
            <a:t>Her hadde vi</a:t>
          </a:r>
          <a:r>
            <a:rPr lang="nb-NO" sz="1400" baseline="0"/>
            <a:t> scrum-meeting klokken 11:45. Ettersom jeg er scrum-master for denne sprinten ledet jeg møtet. Jeg synes det gikk fint og det var en god erfaring. Møtet ble litt utsatt ettersom det passet bedre for de andre, planen var å ha møtet klokken 11:00. Alt i alt synes jeg møtet gikk som fint. Vi ble enige om at det ikke vil bli særlig mye jobb i dette faget for samtlige fram til helgen grunnet innleveringer og prøver i andre fag.</a:t>
          </a:r>
          <a:endParaRPr lang="nb-NO" sz="1400"/>
        </a:p>
        <a:p>
          <a:pPr marL="0" marR="0" lvl="0" indent="0" defTabSz="914400" eaLnBrk="1" fontAlgn="auto" latinLnBrk="0" hangingPunct="1">
            <a:lnSpc>
              <a:spcPct val="100000"/>
            </a:lnSpc>
            <a:spcBef>
              <a:spcPts val="0"/>
            </a:spcBef>
            <a:spcAft>
              <a:spcPts val="0"/>
            </a:spcAft>
            <a:buClrTx/>
            <a:buSzTx/>
            <a:buFontTx/>
            <a:buNone/>
            <a:tabLst/>
            <a:defRPr/>
          </a:pPr>
          <a:endParaRPr lang="nb-NO" sz="1100" b="1">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nb-NO" sz="1400" b="1">
              <a:solidFill>
                <a:schemeClr val="tx1"/>
              </a:solidFill>
              <a:effectLst/>
              <a:latin typeface="+mn-lt"/>
              <a:ea typeface="+mn-ea"/>
              <a:cs typeface="+mn-cs"/>
            </a:rPr>
            <a:t>Lørdag:</a:t>
          </a:r>
        </a:p>
        <a:p>
          <a:pPr marL="0" marR="0" lvl="0" indent="0" defTabSz="914400" eaLnBrk="1" fontAlgn="auto" latinLnBrk="0" hangingPunct="1">
            <a:lnSpc>
              <a:spcPct val="100000"/>
            </a:lnSpc>
            <a:spcBef>
              <a:spcPts val="0"/>
            </a:spcBef>
            <a:spcAft>
              <a:spcPts val="0"/>
            </a:spcAft>
            <a:buClrTx/>
            <a:buSzTx/>
            <a:buFontTx/>
            <a:buNone/>
            <a:tabLst/>
            <a:defRPr/>
          </a:pPr>
          <a:r>
            <a:rPr lang="nb-NO" sz="1400" b="0">
              <a:solidFill>
                <a:schemeClr val="tx1"/>
              </a:solidFill>
              <a:effectLst/>
              <a:latin typeface="+mn-lt"/>
              <a:ea typeface="+mn-ea"/>
              <a:cs typeface="+mn-cs"/>
            </a:rPr>
            <a:t>Scrum-meeting,</a:t>
          </a:r>
          <a:r>
            <a:rPr lang="nb-NO" sz="1400" b="0" baseline="0">
              <a:solidFill>
                <a:schemeClr val="tx1"/>
              </a:solidFill>
              <a:effectLst/>
              <a:latin typeface="+mn-lt"/>
              <a:ea typeface="+mn-ea"/>
              <a:cs typeface="+mn-cs"/>
            </a:rPr>
            <a:t> vi diskuterte hva vi hadde gjort og hva vi tenker å gjøre videre. Hittil i uka er det gjort lite/ingen arbeid. Dette er mye grunnet at de i gruppa, inkludert meg selv, har måttet prioritere andre fag og innleveringer. Vi regner med å jobbe videre om kort tid.</a:t>
          </a:r>
        </a:p>
        <a:p>
          <a:pPr marL="0" marR="0" lvl="0" indent="0" defTabSz="914400" eaLnBrk="1" fontAlgn="auto" latinLnBrk="0" hangingPunct="1">
            <a:lnSpc>
              <a:spcPct val="100000"/>
            </a:lnSpc>
            <a:spcBef>
              <a:spcPts val="0"/>
            </a:spcBef>
            <a:spcAft>
              <a:spcPts val="0"/>
            </a:spcAft>
            <a:buClrTx/>
            <a:buSzTx/>
            <a:buFontTx/>
            <a:buNone/>
            <a:tabLst/>
            <a:defRPr/>
          </a:pPr>
          <a:r>
            <a:rPr lang="nb-NO" sz="1400" b="0" baseline="0">
              <a:solidFill>
                <a:schemeClr val="tx1"/>
              </a:solidFill>
              <a:effectLst/>
              <a:latin typeface="+mn-lt"/>
              <a:ea typeface="+mn-ea"/>
              <a:cs typeface="+mn-cs"/>
            </a:rPr>
            <a:t>Vi gikk i plenum gjennom opprettelse av Feide og begynte med å sette opp Feide-API'et med redirigering til vår URL på kark.uit.no</a:t>
          </a:r>
          <a:endParaRPr lang="nb-NO" sz="1400" b="1"/>
        </a:p>
        <a:p>
          <a:endParaRPr lang="nb-NO" sz="1400" b="1"/>
        </a:p>
        <a:p>
          <a:r>
            <a:rPr lang="nb-NO" sz="1400" b="1"/>
            <a:t>Søndag: </a:t>
          </a:r>
        </a:p>
        <a:p>
          <a:r>
            <a:rPr lang="nb-NO" sz="1400" b="0"/>
            <a:t>Her</a:t>
          </a:r>
          <a:r>
            <a:rPr lang="nb-NO" sz="1400" b="0" baseline="0"/>
            <a:t> jobbet vi videre med opprettelse av emnet da. Vi ble nesten ferdig og regner med at det er veldig lite igjen nå. Vi har fått opprettet emne med de aller aller fleste undertabellene til Emne-tabellen. Der var noe små feil her og der som tok en del tid å finne og rette opp. Jeg føler vi har lært veldig mye om og skaffet erfaring om feilsøking i kode.</a:t>
          </a:r>
          <a:br>
            <a:rPr lang="nb-NO" sz="1400" b="0" baseline="0"/>
          </a:br>
          <a:br>
            <a:rPr lang="nb-NO" sz="1400" b="0" baseline="0"/>
          </a:br>
          <a:r>
            <a:rPr lang="nb-NO" sz="1400" b="0" baseline="0"/>
            <a:t>Som sagt tidligere regnet vi i gruppa med at det ville bli lite jobbing denne uka fram mot helga. Dette var som sagt grunnet at vi måtte prioritere andre fag og innleveringer. Ellers synes jeg jobbingen denne helgen har gått fint. Dette er første gang jeg er scrum-master og jeg synes møtene har gått bra. Dette er en god erfaring tenker jeg.</a:t>
          </a:r>
          <a:endParaRPr lang="nb-NO" sz="1400" b="0"/>
        </a:p>
      </xdr:txBody>
    </xdr:sp>
    <xdr:clientData/>
  </xdr:oneCellAnchor>
</xdr:wsDr>
</file>

<file path=xl/drawings/drawing10.xml><?xml version="1.0" encoding="utf-8"?>
<xdr:wsDr xmlns:xdr="http://schemas.openxmlformats.org/drawingml/2006/spreadsheetDrawing" xmlns:a="http://schemas.openxmlformats.org/drawingml/2006/main">
  <xdr:oneCellAnchor>
    <xdr:from>
      <xdr:col>0</xdr:col>
      <xdr:colOff>0</xdr:colOff>
      <xdr:row>42</xdr:row>
      <xdr:rowOff>34290</xdr:rowOff>
    </xdr:from>
    <xdr:ext cx="6991349" cy="11324190"/>
    <xdr:sp macro="" textlink="">
      <xdr:nvSpPr>
        <xdr:cNvPr id="2" name="TekstSylinder 1">
          <a:extLst>
            <a:ext uri="{FF2B5EF4-FFF2-40B4-BE49-F238E27FC236}">
              <a16:creationId xmlns:a16="http://schemas.microsoft.com/office/drawing/2014/main" id="{FF157B7F-376E-40BD-AC28-065289376199}"/>
            </a:ext>
          </a:extLst>
        </xdr:cNvPr>
        <xdr:cNvSpPr txBox="1"/>
      </xdr:nvSpPr>
      <xdr:spPr>
        <a:xfrm>
          <a:off x="0" y="10735908"/>
          <a:ext cx="6991349" cy="11324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nb-NO" sz="1400" b="1">
              <a:solidFill>
                <a:schemeClr val="tx1"/>
              </a:solidFill>
              <a:effectLst/>
              <a:latin typeface="+mn-lt"/>
              <a:ea typeface="+mn-ea"/>
              <a:cs typeface="+mn-cs"/>
            </a:rPr>
            <a:t>Gjennomsnittlig</a:t>
          </a:r>
          <a:r>
            <a:rPr lang="nb-NO" sz="1400" b="1" baseline="0">
              <a:solidFill>
                <a:schemeClr val="tx1"/>
              </a:solidFill>
              <a:effectLst/>
              <a:latin typeface="+mn-lt"/>
              <a:ea typeface="+mn-ea"/>
              <a:cs typeface="+mn-cs"/>
            </a:rPr>
            <a:t> arbeidstimer i prosjektet denne uken: </a:t>
          </a:r>
          <a:r>
            <a:rPr lang="nb-NO" sz="1400" b="0" baseline="0">
              <a:solidFill>
                <a:schemeClr val="tx1"/>
              </a:solidFill>
              <a:effectLst/>
              <a:latin typeface="+mn-lt"/>
              <a:ea typeface="+mn-ea"/>
              <a:cs typeface="+mn-cs"/>
            </a:rPr>
            <a:t>11:11</a:t>
          </a:r>
          <a:endParaRPr lang="nb-NO" sz="1800" b="0"/>
        </a:p>
        <a:p>
          <a:endParaRPr lang="nb-NO" sz="1400" b="1"/>
        </a:p>
        <a:p>
          <a:r>
            <a:rPr lang="nb-NO" sz="1400" b="1"/>
            <a:t>Roller:</a:t>
          </a:r>
        </a:p>
        <a:p>
          <a:r>
            <a:rPr lang="nb-NO" sz="1400" b="1"/>
            <a:t>SCRUM-master for</a:t>
          </a:r>
          <a:r>
            <a:rPr lang="nb-NO" sz="1400" b="1" baseline="0"/>
            <a:t> neste sprint (</a:t>
          </a:r>
          <a:r>
            <a:rPr lang="nb-NO" sz="1400" b="1"/>
            <a:t>Sprint 4): </a:t>
          </a:r>
          <a:r>
            <a:rPr lang="nb-NO" sz="1400" b="0"/>
            <a:t>Martin Mikalsen</a:t>
          </a:r>
        </a:p>
        <a:p>
          <a:endParaRPr lang="nb-NO" sz="1400" b="0"/>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SCRUM-master for denne sprint (Sprint 3): </a:t>
          </a:r>
          <a:r>
            <a:rPr kumimoji="0" lang="nb-NO" sz="1400" b="0" i="0" u="none" strike="noStrike" kern="0" cap="none" spc="0" normalizeH="0" baseline="0" noProof="0">
              <a:ln>
                <a:noFill/>
              </a:ln>
              <a:solidFill>
                <a:prstClr val="black"/>
              </a:solidFill>
              <a:effectLst/>
              <a:uLnTx/>
              <a:uFillTx/>
              <a:latin typeface="+mn-lt"/>
              <a:ea typeface="+mn-ea"/>
              <a:cs typeface="+mn-cs"/>
            </a:rPr>
            <a:t>Anders Rubach Ese</a:t>
          </a:r>
          <a:endParaRPr lang="nb-NO" sz="1400" b="0"/>
        </a:p>
        <a:p>
          <a:r>
            <a:rPr lang="nb-NO" sz="1400" b="1"/>
            <a:t>Backend</a:t>
          </a:r>
          <a:r>
            <a:rPr lang="nb-NO" sz="1400" b="0"/>
            <a:t>: Martin Mikalsen, Anders Rubach Ese, Adrian-Alexandru Chirita, Vegard Simonsen</a:t>
          </a:r>
        </a:p>
        <a:p>
          <a:r>
            <a:rPr lang="nb-NO" sz="1400" b="1"/>
            <a:t>Frontend</a:t>
          </a:r>
          <a:r>
            <a:rPr lang="nb-NO" sz="1400" b="0"/>
            <a:t>: Joachim Kristensen, Alexander Hansen, Eivind Blom Eriksen</a:t>
          </a:r>
        </a:p>
        <a:p>
          <a:endParaRPr lang="nb-NO" sz="1400" b="1"/>
        </a:p>
        <a:p>
          <a:r>
            <a:rPr lang="nb-NO" sz="1400" b="1"/>
            <a:t>Mandag</a:t>
          </a:r>
          <a:r>
            <a:rPr lang="nb-NO" sz="1400"/>
            <a:t>: </a:t>
          </a:r>
        </a:p>
        <a:p>
          <a:r>
            <a:rPr lang="nb-NO" sz="1400"/>
            <a:t>Her ledet jeg møtet og det synes jeg gikk fint. Som vanlig fortalte vi hva</a:t>
          </a:r>
          <a:r>
            <a:rPr lang="nb-NO" sz="1400" baseline="0"/>
            <a:t> vi hadde gjort og hva vi tenker å gjøre videre. Vi diskuterte det at vi henger litt etter og det at Sprint 2 innleveringen hadde noe mangler da den ikke ble godkjent. </a:t>
          </a:r>
          <a:br>
            <a:rPr lang="nb-NO" sz="1400" baseline="0"/>
          </a:br>
          <a:endParaRPr lang="nb-NO" sz="1400" baseline="0"/>
        </a:p>
        <a:p>
          <a:r>
            <a:rPr lang="nb-NO" sz="1400" baseline="0"/>
            <a:t>Videre satte jeg igang med å ordne opp i manglene for Sprint 2 innleveringen, denne skal nå være ferdig. Jeg satte blandt annet opp innholdsfortegnelse og slikt. Videre vil vi nok komme til å bruke denne som mal.</a:t>
          </a:r>
          <a:endParaRPr lang="nb-NO" sz="1400" b="1" baseline="0"/>
        </a:p>
        <a:p>
          <a:endParaRPr lang="nb-NO" sz="1400" b="1"/>
        </a:p>
        <a:p>
          <a:r>
            <a:rPr lang="nb-NO" sz="1400" b="1"/>
            <a:t>Onsdag</a:t>
          </a:r>
          <a:r>
            <a:rPr lang="nb-NO" sz="1400"/>
            <a:t>: </a:t>
          </a:r>
        </a:p>
        <a:p>
          <a:r>
            <a:rPr lang="nb-NO" sz="1400"/>
            <a:t>Her startet vi dagen med scrum-meeting. Jeg,</a:t>
          </a:r>
          <a:r>
            <a:rPr lang="nb-NO" sz="1400" baseline="0"/>
            <a:t> Adrian og Eivind møtte opp til møtet. Resten i gruppa møtta ikke opp. Vi snakket om at Sprint 2 innleveringen vi leverte inn pånytt nå ble godkjent. Videre diskuterte vi hva vi tenker å gjøre resten av uken og hva vi har fått gjort denne uka. Vi ble enige om at vi ligger noe etter ifølge planen, dette er på bakgrunn av at vi har hatt andre innleveringer vi har måttet prioritere.</a:t>
          </a:r>
          <a:endParaRPr lang="nb-NO" sz="1400" b="1"/>
        </a:p>
        <a:p>
          <a:endParaRPr lang="nb-NO" sz="1400" b="1"/>
        </a:p>
        <a:p>
          <a:r>
            <a:rPr lang="nb-NO" sz="1400" b="1"/>
            <a:t>Fredag: </a:t>
          </a:r>
        </a:p>
        <a:p>
          <a:r>
            <a:rPr lang="nb-NO" sz="1400" b="0"/>
            <a:t>Her</a:t>
          </a:r>
          <a:r>
            <a:rPr lang="nb-NO" sz="1400" b="0" baseline="0"/>
            <a:t> hadde vi scrum-meeting og gikk gjennom hva vi måtte innlevere til søndagen. Vi diskuterte litt hvordan vi kunne gjøre denne innleveringen bedre med tanke på tilbakemeldingen vi vikk fra forrige innlevering for Sprint 2.</a:t>
          </a:r>
          <a:endParaRPr lang="nb-NO" sz="1400" b="0"/>
        </a:p>
        <a:p>
          <a:pPr marL="0" marR="0" lvl="0" indent="0" defTabSz="914400" eaLnBrk="1" fontAlgn="auto" latinLnBrk="0" hangingPunct="1">
            <a:lnSpc>
              <a:spcPct val="100000"/>
            </a:lnSpc>
            <a:spcBef>
              <a:spcPts val="0"/>
            </a:spcBef>
            <a:spcAft>
              <a:spcPts val="0"/>
            </a:spcAft>
            <a:buClrTx/>
            <a:buSzTx/>
            <a:buFontTx/>
            <a:buNone/>
            <a:tabLst/>
            <a:defRPr/>
          </a:pPr>
          <a:endParaRPr lang="nb-NO" sz="1100" b="1">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nb-NO" sz="1400" b="1">
              <a:solidFill>
                <a:schemeClr val="tx1"/>
              </a:solidFill>
              <a:effectLst/>
              <a:latin typeface="+mn-lt"/>
              <a:ea typeface="+mn-ea"/>
              <a:cs typeface="+mn-cs"/>
            </a:rPr>
            <a:t>Lørdag:</a:t>
          </a:r>
        </a:p>
        <a:p>
          <a:pPr marL="0" marR="0" lvl="0" indent="0" defTabSz="914400" eaLnBrk="1" fontAlgn="auto" latinLnBrk="0" hangingPunct="1">
            <a:lnSpc>
              <a:spcPct val="100000"/>
            </a:lnSpc>
            <a:spcBef>
              <a:spcPts val="0"/>
            </a:spcBef>
            <a:spcAft>
              <a:spcPts val="0"/>
            </a:spcAft>
            <a:buClrTx/>
            <a:buSzTx/>
            <a:buFontTx/>
            <a:buNone/>
            <a:tabLst/>
            <a:defRPr/>
          </a:pPr>
          <a:r>
            <a:rPr lang="nb-NO" sz="1400" b="0">
              <a:solidFill>
                <a:schemeClr val="tx1"/>
              </a:solidFill>
              <a:effectLst/>
              <a:latin typeface="+mn-lt"/>
              <a:ea typeface="+mn-ea"/>
              <a:cs typeface="+mn-cs"/>
            </a:rPr>
            <a:t>Jobbet</a:t>
          </a:r>
          <a:r>
            <a:rPr lang="nb-NO" sz="1400" b="0" baseline="0">
              <a:solidFill>
                <a:schemeClr val="tx1"/>
              </a:solidFill>
              <a:effectLst/>
              <a:latin typeface="+mn-lt"/>
              <a:ea typeface="+mn-ea"/>
              <a:cs typeface="+mn-cs"/>
            </a:rPr>
            <a:t> videre med aktivitet 19.1 for kopiering av emne og opprettet ny kode her og noe spørringer som var relevant til dette mot databasen.</a:t>
          </a:r>
          <a:endParaRPr lang="nb-NO" sz="1400" b="0">
            <a:solidFill>
              <a:schemeClr val="tx1"/>
            </a:solidFill>
            <a:effectLst/>
            <a:latin typeface="+mn-lt"/>
            <a:ea typeface="+mn-ea"/>
            <a:cs typeface="+mn-cs"/>
          </a:endParaRPr>
        </a:p>
        <a:p>
          <a:endParaRPr lang="nb-NO" sz="1400" b="1"/>
        </a:p>
        <a:p>
          <a:r>
            <a:rPr lang="nb-NO" sz="1400" b="1"/>
            <a:t>Søndag: </a:t>
          </a:r>
        </a:p>
        <a:p>
          <a:r>
            <a:rPr lang="nb-NO" sz="1400" b="0"/>
            <a:t>Her</a:t>
          </a:r>
          <a:r>
            <a:rPr lang="nb-NO" sz="1400" b="0" baseline="0"/>
            <a:t> jobbet jeg videre med kopiering av emne og arbeidet også med innleveringen som skulle inn til søndagen. Jeg skrev Sprint-Retrospective og satte inn ny data som vi trengte til innleveringen.</a:t>
          </a:r>
        </a:p>
        <a:p>
          <a:endParaRPr lang="nb-NO" sz="1400" b="0" baseline="0"/>
        </a:p>
        <a:p>
          <a:r>
            <a:rPr lang="nb-NO" sz="1400" b="0" baseline="0"/>
            <a:t>Denen uka startet jeg sent med jobbingen grunnet at jeg måtte gjøre ferdig en innlevering i "Programmering for mobil, Android" som var veldig tidkrevende å fulløre. Neste uke har jeg ikke en innlevering i noe anne fag såvidt jeg vet, jeg skal prøve å få startet å jobbe tidligere nå som Sprint 4 starter neste uke.</a:t>
          </a:r>
        </a:p>
        <a:p>
          <a:br>
            <a:rPr lang="nb-NO" sz="1400" b="0" baseline="0"/>
          </a:br>
          <a:r>
            <a:rPr lang="nb-NO" sz="1400" b="0" baseline="0"/>
            <a:t>Videre oppsummerte jeg antallet timer for alle i gruppa.</a:t>
          </a:r>
        </a:p>
        <a:p>
          <a:endParaRPr lang="nb-NO" sz="1400" b="0" baseline="0"/>
        </a:p>
        <a:p>
          <a:pPr fontAlgn="base"/>
          <a:r>
            <a:rPr lang="nb-NO" sz="1400" b="1" baseline="0"/>
            <a:t>Individuell oppgave</a:t>
          </a:r>
          <a:r>
            <a:rPr lang="nb-NO" sz="1400" b="0" baseline="0"/>
            <a:t>:</a:t>
          </a:r>
        </a:p>
        <a:p>
          <a:pPr fontAlgn="base"/>
          <a:r>
            <a:rPr lang="nb-NO" sz="1250" b="0" i="0" baseline="0">
              <a:solidFill>
                <a:schemeClr val="tx1"/>
              </a:solidFill>
              <a:effectLst/>
              <a:latin typeface="+mn-lt"/>
              <a:ea typeface="+mn-ea"/>
              <a:cs typeface="+mn-cs"/>
            </a:rPr>
            <a:t>Månedsinntekt for årslønn ansatt = (550000kr * 7 ansatte) / 12 mnd = 321000kr Månedsinntekt bedrift = 321000 + 29000 (grovt estimat av admn. tillegg) = 350000kr Ukesinntekt bedrift = 350000kr / 4 uker = 87500kr Dagsinntekt bedrift = 87500kr / 7 dager = 12500kr Timesinntekt bedrift = 12500kr / 24 timer = 521kr Gjennomsnitt storypoints per uke: ((55 / 2) + (91 / 2) + (71 / 2)) / 3 = 36,16 timer Timesbetaling = Ukesinntekt / Gjennomsnitt storypoints = 87500kr / 36,16 timer = 2420kr / time</a:t>
          </a:r>
          <a:endParaRPr lang="nb-NO" sz="1250" b="0" baseline="0">
            <a:solidFill>
              <a:schemeClr val="tx1"/>
            </a:solidFill>
            <a:effectLst/>
            <a:latin typeface="+mn-lt"/>
            <a:ea typeface="+mn-ea"/>
            <a:cs typeface="+mn-cs"/>
          </a:endParaRPr>
        </a:p>
      </xdr:txBody>
    </xdr:sp>
    <xdr:clientData/>
  </xdr:oneCellAnchor>
</xdr:wsDr>
</file>

<file path=xl/drawings/drawing11.xml><?xml version="1.0" encoding="utf-8"?>
<xdr:wsDr xmlns:xdr="http://schemas.openxmlformats.org/drawingml/2006/spreadsheetDrawing" xmlns:a="http://schemas.openxmlformats.org/drawingml/2006/main">
  <xdr:oneCellAnchor>
    <xdr:from>
      <xdr:col>0</xdr:col>
      <xdr:colOff>0</xdr:colOff>
      <xdr:row>58</xdr:row>
      <xdr:rowOff>34290</xdr:rowOff>
    </xdr:from>
    <xdr:ext cx="6991349" cy="11441850"/>
    <xdr:sp macro="" textlink="">
      <xdr:nvSpPr>
        <xdr:cNvPr id="2" name="TekstSylinder 1">
          <a:extLst>
            <a:ext uri="{FF2B5EF4-FFF2-40B4-BE49-F238E27FC236}">
              <a16:creationId xmlns:a16="http://schemas.microsoft.com/office/drawing/2014/main" id="{6912E4E8-BA6F-473C-94A7-BE5DBE63AA5D}"/>
            </a:ext>
          </a:extLst>
        </xdr:cNvPr>
        <xdr:cNvSpPr txBox="1"/>
      </xdr:nvSpPr>
      <xdr:spPr>
        <a:xfrm>
          <a:off x="0" y="13302055"/>
          <a:ext cx="6991349" cy="11441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b-NO" sz="1400" b="1"/>
            <a:t>Roller:</a:t>
          </a:r>
          <a:endParaRPr lang="nb-NO" sz="1400" b="0"/>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SCRUM-master for denne sprint (Sprint 4): </a:t>
          </a:r>
          <a:r>
            <a:rPr kumimoji="0" lang="nb-NO" sz="1400" b="0" i="0" u="none" strike="noStrike" kern="0" cap="none" spc="0" normalizeH="0" baseline="0" noProof="0">
              <a:ln>
                <a:noFill/>
              </a:ln>
              <a:solidFill>
                <a:prstClr val="black"/>
              </a:solidFill>
              <a:effectLst/>
              <a:uLnTx/>
              <a:uFillTx/>
              <a:latin typeface="+mn-lt"/>
              <a:ea typeface="+mn-ea"/>
              <a:cs typeface="+mn-cs"/>
            </a:rPr>
            <a:t>Martin Mikalsen</a:t>
          </a:r>
          <a:endParaRPr lang="nb-NO" sz="1400" b="0"/>
        </a:p>
        <a:p>
          <a:r>
            <a:rPr lang="nb-NO" sz="1400" b="1"/>
            <a:t>Backend</a:t>
          </a:r>
          <a:r>
            <a:rPr lang="nb-NO" sz="1400" b="0"/>
            <a:t>: Martin Mikalsen, Anders Rubach Ese, Adrian-Alexandru Chirita, Vegard Simonsen</a:t>
          </a:r>
        </a:p>
        <a:p>
          <a:r>
            <a:rPr lang="nb-NO" sz="1400" b="1"/>
            <a:t>Frontend</a:t>
          </a:r>
          <a:r>
            <a:rPr lang="nb-NO" sz="1400" b="0"/>
            <a:t>: Joachim Kristensen, Alexander Hansen, Eivind Blom Eriksen</a:t>
          </a:r>
        </a:p>
        <a:p>
          <a:endParaRPr lang="nb-NO" sz="1400" b="1"/>
        </a:p>
        <a:p>
          <a:r>
            <a:rPr lang="nb-NO" sz="1400" b="1"/>
            <a:t>Mandag</a:t>
          </a:r>
          <a:r>
            <a:rPr lang="nb-NO" sz="1400"/>
            <a:t>: </a:t>
          </a:r>
        </a:p>
        <a:p>
          <a:r>
            <a:rPr lang="nb-NO" sz="1400"/>
            <a:t>Her startet vi med</a:t>
          </a:r>
          <a:r>
            <a:rPr lang="nb-NO" sz="1400" baseline="0"/>
            <a:t> et lite møte hvor vi forberedte oss på sprint-reviewet vi skal ha i dag. </a:t>
          </a:r>
          <a:endParaRPr lang="nb-NO" sz="1400"/>
        </a:p>
        <a:p>
          <a:endParaRPr lang="nb-NO" sz="1400" b="0"/>
        </a:p>
        <a:p>
          <a:r>
            <a:rPr lang="nb-NO" sz="1400" b="0"/>
            <a:t>Videre</a:t>
          </a:r>
          <a:r>
            <a:rPr lang="nb-NO" sz="1400" b="0" baseline="0"/>
            <a:t> hadde vi Sprint-Review med læerern og PO, her gikk vi gjennom hva vi har gjort og innleveringen for søndagen. Vi fikk noe gode tilbakemeldinger fra lærer på slutten som vi skal ta med oss for videre innleveringer. Sprint-Review møtet gikk fint og vi hadde forbedret det vi fikk tilbakemeldinger fra forrige Sprint-Review i Sprint 2. Nå var vi mer formelle og hadde på forhånd listet opp hvem som skulle si hva til enhver tid og var generelt sett mer forberedt.</a:t>
          </a:r>
        </a:p>
        <a:p>
          <a:r>
            <a:rPr kumimoji="0" lang="nb-NO" sz="1400" b="0" i="0" u="none" strike="noStrike" kern="0" cap="none" spc="0" normalizeH="0" baseline="0" noProof="0">
              <a:ln>
                <a:noFill/>
              </a:ln>
              <a:solidFill>
                <a:prstClr val="black"/>
              </a:solidFill>
              <a:effectLst/>
              <a:uLnTx/>
              <a:uFillTx/>
              <a:latin typeface="+mn-lt"/>
              <a:ea typeface="+mn-ea"/>
              <a:cs typeface="+mn-cs"/>
            </a:rPr>
            <a:t>Jeg er nå ferdig som Scrum-Master synes det gikk fint og det har vært en god erfaring. Jeg ser nå at Scrum-rammeverket er et svært nyttig hjelpemiddel for å komme i mål med større utviklingsprosjekter.</a:t>
          </a:r>
        </a:p>
        <a:p>
          <a:endParaRPr lang="nb-NO" sz="1400" b="0" baseline="0"/>
        </a:p>
        <a:p>
          <a:r>
            <a:rPr lang="nb-NO" sz="1400" b="0" baseline="0"/>
            <a:t>Jeg startet nå med å eksportere data fra databasen til PDF. Her kom jeg ganske langt på kort tid synes jeg. Jeg fikk til å opprette PDF ved hjep av PHP-biblioteket 'fpdf' og satte inn data fra databasen inn i dokumentet som brukeren skal kunne laste ned. Fikk lagt til UiT-logo i PDF'en og andre ting.</a:t>
          </a:r>
        </a:p>
        <a:p>
          <a:r>
            <a:rPr lang="nb-NO" sz="1400" b="0"/>
            <a:t>Ble litt sendt jobbing i</a:t>
          </a:r>
          <a:r>
            <a:rPr lang="nb-NO" sz="1400" b="0" baseline="0"/>
            <a:t> dag. Var veldig gøy når jeg fikk det med eksportering av PDF til. Fikk til veldig mye i dag synes jeg.</a:t>
          </a:r>
        </a:p>
        <a:p>
          <a:endParaRPr lang="nb-NO" sz="1400" b="0"/>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Tirsdag</a:t>
          </a:r>
          <a:r>
            <a:rPr kumimoji="0" lang="nb-NO" sz="1400" b="0" i="0" u="none" strike="noStrike" kern="0" cap="none" spc="0" normalizeH="0" baseline="0" noProof="0">
              <a:ln>
                <a:noFill/>
              </a:ln>
              <a:solidFill>
                <a:prstClr val="black"/>
              </a:solidFill>
              <a:effectLst/>
              <a:uLnTx/>
              <a:uFillTx/>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0" i="0" u="none" strike="noStrike" kern="0" cap="none" spc="0" normalizeH="0" baseline="0" noProof="0">
              <a:ln>
                <a:noFill/>
              </a:ln>
              <a:solidFill>
                <a:prstClr val="black"/>
              </a:solidFill>
              <a:effectLst/>
              <a:uLnTx/>
              <a:uFillTx/>
              <a:latin typeface="+mn-lt"/>
              <a:ea typeface="+mn-ea"/>
              <a:cs typeface="+mn-cs"/>
            </a:rPr>
            <a:t>Her hadde vi Scrum-meeting hvor fortalte hva vi hadde gjort og hva vi gjør videre</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0" i="0" u="none" strike="noStrike" kern="0" cap="none" spc="0" normalizeH="0" baseline="0" noProof="0">
              <a:ln>
                <a:noFill/>
              </a:ln>
              <a:solidFill>
                <a:prstClr val="black"/>
              </a:solidFill>
              <a:effectLst/>
              <a:uLnTx/>
              <a:uFillTx/>
              <a:latin typeface="+mn-lt"/>
              <a:ea typeface="+mn-ea"/>
              <a:cs typeface="+mn-cs"/>
            </a:rPr>
            <a:t>Videre jobbet jeg mye med eksportering av emne til PDF i dag. Her fikk jeg til mye og det gikk stort sett fint synes jeg.</a:t>
          </a:r>
        </a:p>
        <a:p>
          <a:endParaRPr lang="nb-NO" sz="1400" b="1"/>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Torsdag</a:t>
          </a:r>
          <a:r>
            <a:rPr kumimoji="0" lang="nb-NO" sz="1400" b="0" i="0" u="none" strike="noStrike" kern="0" cap="none" spc="0" normalizeH="0" baseline="0" noProof="0">
              <a:ln>
                <a:noFill/>
              </a:ln>
              <a:solidFill>
                <a:prstClr val="black"/>
              </a:solidFill>
              <a:effectLst/>
              <a:uLnTx/>
              <a:uFillTx/>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0" i="0" u="none" strike="noStrike" kern="0" cap="none" spc="0" normalizeH="0" baseline="0" noProof="0">
              <a:ln>
                <a:noFill/>
              </a:ln>
              <a:solidFill>
                <a:prstClr val="black"/>
              </a:solidFill>
              <a:effectLst/>
              <a:uLnTx/>
              <a:uFillTx/>
              <a:latin typeface="+mn-lt"/>
              <a:ea typeface="+mn-ea"/>
              <a:cs typeface="+mn-cs"/>
            </a:rPr>
            <a:t>Her hadde vi Scrum-meeting hvor vi diskuterte hvor langt vi hadde kommet og viste fram hva som er blitt gjort nytt.</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0" i="0" u="none" strike="noStrike" kern="0" cap="none" spc="0" normalizeH="0" baseline="0" noProof="0">
              <a:ln>
                <a:noFill/>
              </a:ln>
              <a:solidFill>
                <a:prstClr val="black"/>
              </a:solidFill>
              <a:effectLst/>
              <a:uLnTx/>
              <a:uFillTx/>
              <a:latin typeface="+mn-lt"/>
              <a:ea typeface="+mn-ea"/>
              <a:cs typeface="+mn-cs"/>
            </a:rPr>
            <a:t>Videre hadde vi et lite møte hvor vi diskuterte det med innlogging ved hjelp av FEIDE. Her hadde Martin fått gjort en god del.</a:t>
          </a:r>
        </a:p>
        <a:p>
          <a:endParaRPr lang="nb-NO" sz="1400" b="1"/>
        </a:p>
        <a:p>
          <a:r>
            <a:rPr lang="nb-NO" sz="1400" b="1"/>
            <a:t>Fredag: </a:t>
          </a:r>
        </a:p>
        <a:p>
          <a:r>
            <a:rPr lang="nb-NO" sz="1400" b="0"/>
            <a:t>Jeg</a:t>
          </a:r>
          <a:r>
            <a:rPr lang="nb-NO" sz="1400" b="0" baseline="0"/>
            <a:t> jobbet videre med eksporteringen av emnet og fikk gjort veldig mye, nå er det ikke særlig mye som gjenstår. Jeg ser nå at jeg får fullført denne aktiviteten på nærmest halvparten av tiden vi hadde satt opp. Dette har nok å gjøre med at eksportering av data til PDF fra PHP er noe helt nytt for meg, og det var dermed noe usikkerhet når vi skulle estimere tidsbruket i planning poker. Jeg syynes dog at dette har gått veldig fint, og at det blir brukt mindre tid enn estimert er bare bra.</a:t>
          </a:r>
          <a:endParaRPr lang="nb-NO" sz="1400" b="0"/>
        </a:p>
        <a:p>
          <a:pPr marL="0" marR="0" lvl="0" indent="0" defTabSz="914400" eaLnBrk="1" fontAlgn="auto" latinLnBrk="0" hangingPunct="1">
            <a:lnSpc>
              <a:spcPct val="100000"/>
            </a:lnSpc>
            <a:spcBef>
              <a:spcPts val="0"/>
            </a:spcBef>
            <a:spcAft>
              <a:spcPts val="0"/>
            </a:spcAft>
            <a:buClrTx/>
            <a:buSzTx/>
            <a:buFontTx/>
            <a:buNone/>
            <a:tabLst/>
            <a:defRPr/>
          </a:pPr>
          <a:endParaRPr lang="nb-NO" sz="1100" b="1">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nb-NO" sz="1400" b="1">
              <a:solidFill>
                <a:schemeClr val="tx1"/>
              </a:solidFill>
              <a:effectLst/>
              <a:latin typeface="+mn-lt"/>
              <a:ea typeface="+mn-ea"/>
              <a:cs typeface="+mn-cs"/>
            </a:rPr>
            <a:t>Lørdag:</a:t>
          </a:r>
        </a:p>
        <a:p>
          <a:r>
            <a:rPr lang="nb-NO" sz="1400" b="0"/>
            <a:t>Her</a:t>
          </a:r>
          <a:r>
            <a:rPr lang="nb-NO" sz="1400" b="0" baseline="0"/>
            <a:t> jobbet jeg videre med PDF-eksporteringen i PHP, jeg er nå så og si ferdig med denne aktiviteten. Det som gjenstår er bare et par linjer med kode. Regner med at tidsbruken for aktiviteten vil være omtrent halvparten av det som var anslått under planning poker. Jeg er fornøyd med min innsats denne uka. Videre på dagen hadde vi Scrum-Meeting hvor også PO var tilstede. Dette gikk fint og vi fortalte og diskuterte hva vi hadde gjort.</a:t>
          </a:r>
          <a:endParaRPr lang="nb-NO" sz="1400" b="0"/>
        </a:p>
        <a:p>
          <a:endParaRPr lang="nb-NO" sz="1400" b="1"/>
        </a:p>
        <a:p>
          <a:r>
            <a:rPr lang="nb-NO" sz="1400" b="1"/>
            <a:t>Søndag: </a:t>
          </a:r>
        </a:p>
        <a:p>
          <a:r>
            <a:rPr lang="nb-NO" sz="1400" b="0"/>
            <a:t>Skrev</a:t>
          </a:r>
          <a:r>
            <a:rPr lang="nb-NO" sz="1400" b="0" baseline="0"/>
            <a:t> videre på oppsummeringen til timelista og gjorde noe finpuss på timelisten.</a:t>
          </a:r>
          <a:endParaRPr lang="nb-NO" sz="1400" b="0"/>
        </a:p>
      </xdr:txBody>
    </xdr:sp>
    <xdr:clientData/>
  </xdr:oneCellAnchor>
</xdr:wsDr>
</file>

<file path=xl/drawings/drawing12.xml><?xml version="1.0" encoding="utf-8"?>
<xdr:wsDr xmlns:xdr="http://schemas.openxmlformats.org/drawingml/2006/spreadsheetDrawing" xmlns:a="http://schemas.openxmlformats.org/drawingml/2006/main">
  <xdr:oneCellAnchor>
    <xdr:from>
      <xdr:col>0</xdr:col>
      <xdr:colOff>0</xdr:colOff>
      <xdr:row>28</xdr:row>
      <xdr:rowOff>34290</xdr:rowOff>
    </xdr:from>
    <xdr:ext cx="6991349" cy="10126875"/>
    <xdr:sp macro="" textlink="">
      <xdr:nvSpPr>
        <xdr:cNvPr id="2" name="TekstSylinder 1">
          <a:extLst>
            <a:ext uri="{FF2B5EF4-FFF2-40B4-BE49-F238E27FC236}">
              <a16:creationId xmlns:a16="http://schemas.microsoft.com/office/drawing/2014/main" id="{8D5F588B-4C25-46D7-9BE4-6EB61EE29302}"/>
            </a:ext>
          </a:extLst>
        </xdr:cNvPr>
        <xdr:cNvSpPr txBox="1"/>
      </xdr:nvSpPr>
      <xdr:spPr>
        <a:xfrm>
          <a:off x="0" y="7844790"/>
          <a:ext cx="6991349" cy="101268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b-NO" sz="1400" b="1"/>
            <a:t>Roller:</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SCRUM-master for neste uke (Sprint 4 uke 16): </a:t>
          </a:r>
          <a:r>
            <a:rPr kumimoji="0" lang="nb-NO" sz="1400" b="0" i="0" u="none" strike="noStrike" kern="0" cap="none" spc="0" normalizeH="0" baseline="0" noProof="0">
              <a:ln>
                <a:noFill/>
              </a:ln>
              <a:solidFill>
                <a:prstClr val="black"/>
              </a:solidFill>
              <a:effectLst/>
              <a:uLnTx/>
              <a:uFillTx/>
              <a:latin typeface="+mn-lt"/>
              <a:ea typeface="+mn-ea"/>
              <a:cs typeface="+mn-cs"/>
            </a:rPr>
            <a:t>Adrian-Alexandru Chirita</a:t>
          </a:r>
        </a:p>
        <a:p>
          <a:endParaRPr lang="nb-NO" sz="1400" b="0"/>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SCRUM-master for denne sprint (Sprint 4): </a:t>
          </a:r>
          <a:r>
            <a:rPr kumimoji="0" lang="nb-NO" sz="1400" b="0" i="0" u="none" strike="noStrike" kern="0" cap="none" spc="0" normalizeH="0" baseline="0" noProof="0">
              <a:ln>
                <a:noFill/>
              </a:ln>
              <a:solidFill>
                <a:prstClr val="black"/>
              </a:solidFill>
              <a:effectLst/>
              <a:uLnTx/>
              <a:uFillTx/>
              <a:latin typeface="+mn-lt"/>
              <a:ea typeface="+mn-ea"/>
              <a:cs typeface="+mn-cs"/>
            </a:rPr>
            <a:t>Martin Mikalsen</a:t>
          </a:r>
          <a:endParaRPr lang="nb-NO" sz="1400" b="0"/>
        </a:p>
        <a:p>
          <a:r>
            <a:rPr lang="nb-NO" sz="1400" b="1"/>
            <a:t>Backend</a:t>
          </a:r>
          <a:r>
            <a:rPr lang="nb-NO" sz="1400" b="0"/>
            <a:t>: Martin Mikalsen, Anders Rubach Ese, Adrian-Alexandru Chirita, Vegard Simonsen</a:t>
          </a:r>
        </a:p>
        <a:p>
          <a:r>
            <a:rPr lang="nb-NO" sz="1400" b="1"/>
            <a:t>Frontend</a:t>
          </a:r>
          <a:r>
            <a:rPr lang="nb-NO" sz="1400" b="0"/>
            <a:t>: Joachim Kristensen, Alexander Hansen, Eivind Blom Eriksen</a:t>
          </a:r>
        </a:p>
        <a:p>
          <a:endParaRPr lang="nb-NO" sz="1400" b="1"/>
        </a:p>
        <a:p>
          <a:r>
            <a:rPr lang="nb-NO" sz="1400" b="1"/>
            <a:t>Mandag</a:t>
          </a:r>
          <a:r>
            <a:rPr lang="nb-NO" sz="1400"/>
            <a:t>: </a:t>
          </a:r>
        </a:p>
        <a:p>
          <a:r>
            <a:rPr lang="nb-NO" sz="1400"/>
            <a:t>Her</a:t>
          </a:r>
          <a:r>
            <a:rPr lang="nb-NO" sz="1400" baseline="0"/>
            <a:t> hadde vi Scrum-Meeting og diskuterte litt hva vi skal gjøre videre og slikt</a:t>
          </a:r>
          <a:br>
            <a:rPr lang="nb-NO" sz="1400"/>
          </a:br>
          <a:endParaRPr lang="nb-NO" sz="1400" b="1"/>
        </a:p>
        <a:p>
          <a:r>
            <a:rPr lang="nb-NO" sz="1400" b="1"/>
            <a:t>Onsdag</a:t>
          </a:r>
          <a:r>
            <a:rPr lang="nb-NO" sz="1400"/>
            <a:t>: </a:t>
          </a:r>
        </a:p>
        <a:p>
          <a:r>
            <a:rPr lang="nb-NO" sz="1400"/>
            <a:t>Denne dagen</a:t>
          </a:r>
          <a:r>
            <a:rPr lang="nb-NO" sz="1400" baseline="0"/>
            <a:t> startet vi med Scrum-Meeting, vi gikk gjennom hva alle som har blitt gjort. Ettersom det er påskeferie var det ikke gjort spesielt mye denne uka</a:t>
          </a:r>
          <a:endParaRPr lang="nb-NO" sz="1400"/>
        </a:p>
        <a:p>
          <a:pPr marL="0" marR="0" lvl="0" indent="0" defTabSz="914400" eaLnBrk="1" fontAlgn="auto" latinLnBrk="0" hangingPunct="1">
            <a:lnSpc>
              <a:spcPct val="100000"/>
            </a:lnSpc>
            <a:spcBef>
              <a:spcPts val="0"/>
            </a:spcBef>
            <a:spcAft>
              <a:spcPts val="0"/>
            </a:spcAft>
            <a:buClrTx/>
            <a:buSzTx/>
            <a:buFontTx/>
            <a:buNone/>
            <a:tabLst/>
            <a:defRPr/>
          </a:pPr>
          <a:endParaRPr lang="nb-NO" sz="1100" b="1">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nb-NO" sz="1400" b="1">
              <a:solidFill>
                <a:schemeClr val="tx1"/>
              </a:solidFill>
              <a:effectLst/>
              <a:latin typeface="+mn-lt"/>
              <a:ea typeface="+mn-ea"/>
              <a:cs typeface="+mn-cs"/>
            </a:rPr>
            <a:t>Lørdag:</a:t>
          </a:r>
        </a:p>
        <a:p>
          <a:pPr marL="0" marR="0" lvl="0" indent="0" defTabSz="914400" eaLnBrk="1" fontAlgn="auto" latinLnBrk="0" hangingPunct="1">
            <a:lnSpc>
              <a:spcPct val="100000"/>
            </a:lnSpc>
            <a:spcBef>
              <a:spcPts val="0"/>
            </a:spcBef>
            <a:spcAft>
              <a:spcPts val="0"/>
            </a:spcAft>
            <a:buClrTx/>
            <a:buSzTx/>
            <a:buFontTx/>
            <a:buNone/>
            <a:tabLst/>
            <a:defRPr/>
          </a:pPr>
          <a:r>
            <a:rPr lang="nb-NO" sz="1400" b="0">
              <a:solidFill>
                <a:schemeClr val="tx1"/>
              </a:solidFill>
              <a:effectLst/>
              <a:latin typeface="+mn-lt"/>
              <a:ea typeface="+mn-ea"/>
              <a:cs typeface="+mn-cs"/>
            </a:rPr>
            <a:t>Her jobbet</a:t>
          </a:r>
          <a:r>
            <a:rPr lang="nb-NO" sz="1400" b="0" baseline="0">
              <a:solidFill>
                <a:schemeClr val="tx1"/>
              </a:solidFill>
              <a:effectLst/>
              <a:latin typeface="+mn-lt"/>
              <a:ea typeface="+mn-ea"/>
              <a:cs typeface="+mn-cs"/>
            </a:rPr>
            <a:t> jeg med eksportering av emne til PDF og gjorde denne helt ferdig. Det gikk kjapt og jeg fikk noe feilmeldinger under utviklinga som jeg rettet kjapt opp med tilbakemeldingene fra PHP. Jeg er fornøyd med at jeg her brukte kortere tid enn det som var planlagt for aktiviteten. Jeg ser i ettertid at dette tok noe lang tid ettersom det er noe jeg aldri har gjort før. Dersom vi har behov for eksportering av andre data til PDF i fremtiden i prosjektet vil jeg nå kunne gjøre det langt mer effektivt ettersom jeg nå har grunnlaget til dette.</a:t>
          </a:r>
        </a:p>
        <a:p>
          <a:endParaRPr lang="nb-NO" sz="1400" b="0" baseline="0">
            <a:solidFill>
              <a:schemeClr val="tx1"/>
            </a:solidFill>
            <a:effectLst/>
            <a:latin typeface="+mn-lt"/>
            <a:ea typeface="+mn-ea"/>
            <a:cs typeface="+mn-cs"/>
          </a:endParaRPr>
        </a:p>
        <a:p>
          <a:r>
            <a:rPr lang="nb-NO" sz="1400" b="0" baseline="0">
              <a:solidFill>
                <a:schemeClr val="tx1"/>
              </a:solidFill>
              <a:effectLst/>
              <a:latin typeface="+mn-lt"/>
              <a:ea typeface="+mn-ea"/>
              <a:cs typeface="+mn-cs"/>
            </a:rPr>
            <a:t>pdf-klassen jeg har laget kan eksportere til norsk, nynorsk og engelsk språk. Videre gis også ut info som sidetall og eksakt timestamp for når dataene ble eksportert til pdf. </a:t>
          </a:r>
          <a:endParaRPr lang="nb-NO" sz="1400" b="0"/>
        </a:p>
        <a:p>
          <a:endParaRPr lang="nb-NO" sz="1400" b="1"/>
        </a:p>
        <a:p>
          <a:r>
            <a:rPr lang="nb-NO" sz="1400" b="0"/>
            <a:t>Videre hadde vi et lite møte hvor jeg blant annet viste frem det</a:t>
          </a:r>
          <a:r>
            <a:rPr lang="nb-NO" sz="1400" b="0" baseline="0"/>
            <a:t> at jeg var helt ferdig med eksportering av emne til PDF ved hjelp av PHP.</a:t>
          </a:r>
          <a:endParaRPr lang="nb-NO" sz="1400" b="0"/>
        </a:p>
        <a:p>
          <a:endParaRPr lang="nb-NO" sz="1400" b="1"/>
        </a:p>
        <a:p>
          <a:r>
            <a:rPr lang="nb-NO" sz="1400" b="1"/>
            <a:t>Søndag: </a:t>
          </a:r>
        </a:p>
        <a:p>
          <a:r>
            <a:rPr lang="nb-NO" sz="1400" b="0"/>
            <a:t>Her</a:t>
          </a:r>
          <a:r>
            <a:rPr lang="nb-NO" sz="1400" b="0" baseline="0"/>
            <a:t> så jeg på litt kode sammen med Adrian som han hadde skrevet. Han hadde kommet fram til at en kan lagre komplette PHP objekter ved hjelp av Json. På denne måten kan vi eksempelvis lagre det som var før en gjør en endring på et emne, slik at vi har tilgang til den forrige versjonen når et emne endres. Dette gjøres ved at en i PHP encoder et objekt, i dette tilfellet Emne-objekt, og lagrer denne Json-stringen i en string-variabel i Emne-tabellen. Når man så videre ønsker å hente fram denne kan man enkelt decode Json-stringen og gjøre denne til et Emne-objkt. Altså på en måte som Serialization som vi tidligere har benyttet oss av i Java.</a:t>
          </a:r>
        </a:p>
        <a:p>
          <a:endParaRPr lang="nb-NO" sz="1400" b="0" baseline="0"/>
        </a:p>
        <a:p>
          <a:r>
            <a:rPr lang="nb-NO" sz="1400" b="0" baseline="0"/>
            <a:t>Videre fikset jeg noe småfeil i kopiering av arkiverte emner som jeg tidligere hadde skrevet i PHP. Her var det noe småtteri jeg fikset opp og gjorde bedre.</a:t>
          </a:r>
          <a:br>
            <a:rPr lang="nb-NO" sz="1400" b="0" baseline="0"/>
          </a:br>
          <a:br>
            <a:rPr lang="nb-NO" sz="1400" b="0" baseline="0"/>
          </a:br>
          <a:r>
            <a:rPr lang="nb-NO" sz="1400" b="0" baseline="0"/>
            <a:t>Jeg ser at det i det siste har blitt litt rot i koden her og der som gjør det noe vanskelig å utvikle til tider, dette er et resultat av at vi ikke lengre har fysisk kontakt og vi er enda ikke helt vante med det å jobbe på heltid online. Det blir slik når en er 7 studenter og jobber mot samme prosjekt ved hjelp av Git uten å kunne møtes på Linux-labben. Dette er dog en særdeles god erfaring å ta videre. Jeg føler jeg har lært svært mye av å jobbe hjemmefra i prosjektet.</a:t>
          </a:r>
          <a:endParaRPr lang="nb-NO" sz="1400" b="1"/>
        </a:p>
      </xdr:txBody>
    </xdr:sp>
    <xdr:clientData/>
  </xdr:oneCellAnchor>
</xdr:wsDr>
</file>

<file path=xl/drawings/drawing13.xml><?xml version="1.0" encoding="utf-8"?>
<xdr:wsDr xmlns:xdr="http://schemas.openxmlformats.org/drawingml/2006/spreadsheetDrawing" xmlns:a="http://schemas.openxmlformats.org/drawingml/2006/main">
  <xdr:oneCellAnchor>
    <xdr:from>
      <xdr:col>0</xdr:col>
      <xdr:colOff>0</xdr:colOff>
      <xdr:row>60</xdr:row>
      <xdr:rowOff>34289</xdr:rowOff>
    </xdr:from>
    <xdr:ext cx="6991349" cy="14510945"/>
    <xdr:sp macro="" textlink="">
      <xdr:nvSpPr>
        <xdr:cNvPr id="2" name="TekstSylinder 1">
          <a:extLst>
            <a:ext uri="{FF2B5EF4-FFF2-40B4-BE49-F238E27FC236}">
              <a16:creationId xmlns:a16="http://schemas.microsoft.com/office/drawing/2014/main" id="{240E62AA-1183-4304-9ED3-6B84A713C25B}"/>
            </a:ext>
          </a:extLst>
        </xdr:cNvPr>
        <xdr:cNvSpPr txBox="1"/>
      </xdr:nvSpPr>
      <xdr:spPr>
        <a:xfrm>
          <a:off x="0" y="20047995"/>
          <a:ext cx="6991349" cy="145109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b-NO" sz="1400" b="1"/>
            <a:t>Roller:</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SCRUM-master for neste sprint (Sprint 5 første uke): </a:t>
          </a:r>
          <a:r>
            <a:rPr kumimoji="0" lang="nb-NO" sz="1400" b="0" i="0" u="none" strike="noStrike" kern="0" cap="none" spc="0" normalizeH="0" baseline="0" noProof="0">
              <a:ln>
                <a:noFill/>
              </a:ln>
              <a:solidFill>
                <a:prstClr val="black"/>
              </a:solidFill>
              <a:effectLst/>
              <a:uLnTx/>
              <a:uFillTx/>
              <a:latin typeface="+mn-lt"/>
              <a:ea typeface="+mn-ea"/>
              <a:cs typeface="+mn-cs"/>
            </a:rPr>
            <a:t>Adrian-Alexandru Chirita</a:t>
          </a:r>
          <a:endParaRPr lang="nb-NO" sz="1400" b="0"/>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SCRUM-master for denne sprint (Sprint 4): </a:t>
          </a:r>
          <a:r>
            <a:rPr kumimoji="0" lang="nb-NO" sz="1400" b="0" i="0" u="none" strike="noStrike" kern="0" cap="none" spc="0" normalizeH="0" baseline="0" noProof="0">
              <a:ln>
                <a:noFill/>
              </a:ln>
              <a:solidFill>
                <a:prstClr val="black"/>
              </a:solidFill>
              <a:effectLst/>
              <a:uLnTx/>
              <a:uFillTx/>
              <a:latin typeface="+mn-lt"/>
              <a:ea typeface="+mn-ea"/>
              <a:cs typeface="+mn-cs"/>
            </a:rPr>
            <a:t>Adrian-Alexandru Chirita</a:t>
          </a:r>
          <a:endParaRPr lang="nb-NO" sz="1400" b="0"/>
        </a:p>
        <a:p>
          <a:r>
            <a:rPr lang="nb-NO" sz="1400" b="1"/>
            <a:t>Backend</a:t>
          </a:r>
          <a:r>
            <a:rPr lang="nb-NO" sz="1400" b="0"/>
            <a:t>: Martin Mikalsen, Anders Rubach Ese, Adrian-Alexandru Chirita, Vegard Simonsen</a:t>
          </a:r>
        </a:p>
        <a:p>
          <a:r>
            <a:rPr lang="nb-NO" sz="1400" b="1"/>
            <a:t>Frontend</a:t>
          </a:r>
          <a:r>
            <a:rPr lang="nb-NO" sz="1400" b="0"/>
            <a:t>: Joachim Kristensen, Alexander Hansen, Eivind Blom Eriksen</a:t>
          </a:r>
        </a:p>
        <a:p>
          <a:endParaRPr lang="nb-NO" sz="1400" b="1"/>
        </a:p>
        <a:p>
          <a:r>
            <a:rPr lang="nb-NO" sz="1400" b="1"/>
            <a:t>Mandag</a:t>
          </a:r>
          <a:r>
            <a:rPr lang="nb-NO" sz="1400"/>
            <a:t>: </a:t>
          </a:r>
        </a:p>
        <a:p>
          <a:r>
            <a:rPr lang="nb-NO" sz="1400"/>
            <a:t>Her</a:t>
          </a:r>
          <a:r>
            <a:rPr lang="nb-NO" sz="1400" baseline="0"/>
            <a:t> hadde vi Scrum-Meeting og diskuterte litt hva vi skal gjøre videre og slikt.</a:t>
          </a:r>
        </a:p>
        <a:p>
          <a:endParaRPr lang="nb-NO" sz="1400" baseline="0"/>
        </a:p>
        <a:p>
          <a:r>
            <a:rPr lang="nb-NO" sz="1400" baseline="0"/>
            <a:t>Videre fikset jeg opp en liten feil i hvor nettstudenttilbud og undervisningssted ikke ble sendt riktig til databasen. Senere på kvelden rettet jeg opp dette igjen etter at Vegard hadde funnet ut hvordan man henter ut data fra flere checkboxer fra frontend. Koden funker nå her som vi ønsker takket være Vegard.</a:t>
          </a:r>
        </a:p>
        <a:p>
          <a:endParaRPr lang="nb-NO" sz="1400" b="1"/>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Torsdag</a:t>
          </a:r>
          <a:r>
            <a:rPr kumimoji="0" lang="nb-NO" sz="1400" b="0" i="0" u="none" strike="noStrike" kern="0" cap="none" spc="0" normalizeH="0" baseline="0" noProof="0">
              <a:ln>
                <a:noFill/>
              </a:ln>
              <a:solidFill>
                <a:prstClr val="black"/>
              </a:solidFill>
              <a:effectLst/>
              <a:uLnTx/>
              <a:uFillTx/>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0" i="0" u="none" strike="noStrike" kern="0" cap="none" spc="0" normalizeH="0" baseline="0" noProof="0">
              <a:ln>
                <a:noFill/>
              </a:ln>
              <a:solidFill>
                <a:prstClr val="black"/>
              </a:solidFill>
              <a:effectLst/>
              <a:uLnTx/>
              <a:uFillTx/>
              <a:latin typeface="+mn-lt"/>
              <a:ea typeface="+mn-ea"/>
              <a:cs typeface="+mn-cs"/>
            </a:rPr>
            <a:t>Her hadde vi møte og diskuterte hva som har blitt gjort. Videre opprettet jeg og Adrian Teams-møte for førstkommende Sprint-Review. Etter det diskuterte jeg litt med Adrian hvordan jeg skulle gjøre det med splitting av et emne, her kom jeg på en løsning jeg kunne teste.</a:t>
          </a:r>
        </a:p>
        <a:p>
          <a:pPr marL="0" marR="0" lvl="0" indent="0" defTabSz="914400" eaLnBrk="1" fontAlgn="auto" latinLnBrk="0" hangingPunct="1">
            <a:lnSpc>
              <a:spcPct val="100000"/>
            </a:lnSpc>
            <a:spcBef>
              <a:spcPts val="0"/>
            </a:spcBef>
            <a:spcAft>
              <a:spcPts val="0"/>
            </a:spcAft>
            <a:buClrTx/>
            <a:buSzTx/>
            <a:buFontTx/>
            <a:buNone/>
            <a:tabLst/>
            <a:defRPr/>
          </a:pPr>
          <a:endParaRPr kumimoji="0" lang="nb-NO" sz="14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0" i="0" u="none" strike="noStrike" kern="0" cap="none" spc="0" normalizeH="0" baseline="0" noProof="0">
              <a:ln>
                <a:noFill/>
              </a:ln>
              <a:solidFill>
                <a:prstClr val="black"/>
              </a:solidFill>
              <a:effectLst/>
              <a:uLnTx/>
              <a:uFillTx/>
              <a:latin typeface="+mn-lt"/>
              <a:ea typeface="+mn-ea"/>
              <a:cs typeface="+mn-cs"/>
            </a:rPr>
            <a:t>Videre startet jeg med aktiviteten for oppdeling av et emne. Her kom jeg et godt stykke og fikk satt opp ganske enkelt for hvordan jeg tenker det skal se ut.</a:t>
          </a:r>
        </a:p>
        <a:p>
          <a:endParaRPr lang="nb-NO" sz="1400" b="1"/>
        </a:p>
        <a:p>
          <a:r>
            <a:rPr lang="nb-NO" sz="1400" b="1"/>
            <a:t>Fredag: </a:t>
          </a:r>
        </a:p>
        <a:p>
          <a:r>
            <a:rPr lang="nb-NO" sz="1400" b="0"/>
            <a:t>Jobbet</a:t>
          </a:r>
          <a:r>
            <a:rPr lang="nb-NO" sz="1400" b="0" baseline="0"/>
            <a:t> videre med oppdeling av emne. Fikk satt opp en god del PHP kode for oppdeling av et gitt emne. Satt opp to nye database-spørringer for innsetting av de to nye emnene og ordnet slik at emnet som blir delt opp arkiveres etter innsettingen av de to nye emnene. Dette synes jeg gikk greit, ble en del ekstra kode men det ser ut til å fungere. Må fikse et par knapper i HTML som ikke funket som jeg ønsket, tror ikke det skal ta særlig lang tid å fikse.</a:t>
          </a:r>
          <a:endParaRPr lang="nb-NO" sz="1400" b="0"/>
        </a:p>
        <a:p>
          <a:pPr marL="0" marR="0" lvl="0" indent="0" defTabSz="914400" eaLnBrk="1" fontAlgn="auto" latinLnBrk="0" hangingPunct="1">
            <a:lnSpc>
              <a:spcPct val="100000"/>
            </a:lnSpc>
            <a:spcBef>
              <a:spcPts val="0"/>
            </a:spcBef>
            <a:spcAft>
              <a:spcPts val="0"/>
            </a:spcAft>
            <a:buClrTx/>
            <a:buSzTx/>
            <a:buFontTx/>
            <a:buNone/>
            <a:tabLst/>
            <a:defRPr/>
          </a:pPr>
          <a:endParaRPr lang="nb-NO" sz="1100" b="1">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nb-NO" sz="1400" b="1">
              <a:solidFill>
                <a:schemeClr val="tx1"/>
              </a:solidFill>
              <a:effectLst/>
              <a:latin typeface="+mn-lt"/>
              <a:ea typeface="+mn-ea"/>
              <a:cs typeface="+mn-cs"/>
            </a:rPr>
            <a:t>Lørdag:</a:t>
          </a:r>
        </a:p>
        <a:p>
          <a:pPr marL="0" marR="0" lvl="0" indent="0" defTabSz="914400" eaLnBrk="1" fontAlgn="auto" latinLnBrk="0" hangingPunct="1">
            <a:lnSpc>
              <a:spcPct val="100000"/>
            </a:lnSpc>
            <a:spcBef>
              <a:spcPts val="0"/>
            </a:spcBef>
            <a:spcAft>
              <a:spcPts val="0"/>
            </a:spcAft>
            <a:buClrTx/>
            <a:buSzTx/>
            <a:buFontTx/>
            <a:buNone/>
            <a:tabLst/>
            <a:defRPr/>
          </a:pPr>
          <a:r>
            <a:rPr lang="nb-NO" sz="1400" b="0">
              <a:solidFill>
                <a:schemeClr val="tx1"/>
              </a:solidFill>
              <a:effectLst/>
              <a:latin typeface="+mn-lt"/>
              <a:ea typeface="+mn-ea"/>
              <a:cs typeface="+mn-cs"/>
            </a:rPr>
            <a:t>Her</a:t>
          </a:r>
          <a:r>
            <a:rPr lang="nb-NO" sz="1400" b="0" baseline="0">
              <a:solidFill>
                <a:schemeClr val="tx1"/>
              </a:solidFill>
              <a:effectLst/>
              <a:latin typeface="+mn-lt"/>
              <a:ea typeface="+mn-ea"/>
              <a:cs typeface="+mn-cs"/>
            </a:rPr>
            <a:t> startet vi med Scrum-Meeting hvor jeg viste fram det jeg hadde gjort med oppdeling av emner. Jeg er ikke helt ferdig, men mangler bare å fikse et fåtall knapper så skal alt være i boks.</a:t>
          </a:r>
          <a:endParaRPr lang="nb-NO" sz="1400" b="1">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0" i="0" u="none" strike="noStrike" kern="0" cap="none" spc="0" normalizeH="0" baseline="0" noProof="0">
              <a:ln>
                <a:noFill/>
              </a:ln>
              <a:solidFill>
                <a:prstClr val="black"/>
              </a:solidFill>
              <a:effectLst/>
              <a:uLnTx/>
              <a:uFillTx/>
              <a:latin typeface="+mn-lt"/>
              <a:ea typeface="+mn-ea"/>
              <a:cs typeface="+mn-cs"/>
            </a:rPr>
            <a:t>Videre satte jeg inn to nye funksjoner ( </a:t>
          </a:r>
          <a:r>
            <a:rPr kumimoji="0" lang="nb-NO" sz="1400" b="1" i="1" u="none" strike="noStrike" kern="0" cap="none" spc="0" normalizeH="0" baseline="0" noProof="0">
              <a:ln>
                <a:noFill/>
              </a:ln>
              <a:solidFill>
                <a:srgbClr val="FF0000"/>
              </a:solidFill>
              <a:effectLst/>
              <a:uLnTx/>
              <a:uFillTx/>
              <a:latin typeface="+mn-lt"/>
              <a:ea typeface="+mn-ea"/>
              <a:cs typeface="+mn-cs"/>
            </a:rPr>
            <a:t>getAlleEmnerByFakultet(int $fakultet) </a:t>
          </a:r>
          <a:r>
            <a:rPr kumimoji="0" lang="nb-NO" sz="1400" b="0" i="1" u="none" strike="noStrike" kern="0" cap="none" spc="0" normalizeH="0" baseline="0" noProof="0">
              <a:ln>
                <a:noFill/>
              </a:ln>
              <a:solidFill>
                <a:prstClr val="black"/>
              </a:solidFill>
              <a:effectLst/>
              <a:uLnTx/>
              <a:uFillTx/>
              <a:latin typeface="+mn-lt"/>
              <a:ea typeface="+mn-ea"/>
              <a:cs typeface="+mn-cs"/>
            </a:rPr>
            <a:t>og </a:t>
          </a:r>
          <a:r>
            <a:rPr kumimoji="0" lang="nb-NO" sz="1400" b="1" i="1" u="none" strike="noStrike" kern="0" cap="none" spc="0" normalizeH="0" baseline="0" noProof="0">
              <a:ln>
                <a:noFill/>
              </a:ln>
              <a:solidFill>
                <a:srgbClr val="FF0000"/>
              </a:solidFill>
              <a:effectLst/>
              <a:uLnTx/>
              <a:uFillTx/>
              <a:latin typeface="+mn-lt"/>
              <a:ea typeface="+mn-ea"/>
              <a:cs typeface="+mn-cs"/>
            </a:rPr>
            <a:t>getAlleEmnerByUndervisningsSted(int $undervisningsStedCode)</a:t>
          </a:r>
          <a:r>
            <a:rPr kumimoji="0" lang="nb-NO" sz="1400" b="0" i="1" u="none" strike="noStrike" kern="0" cap="none" spc="0" normalizeH="0" baseline="0" noProof="0">
              <a:ln>
                <a:noFill/>
              </a:ln>
              <a:solidFill>
                <a:prstClr val="black"/>
              </a:solidFill>
              <a:effectLst/>
              <a:uLnTx/>
              <a:uFillTx/>
              <a:latin typeface="+mn-lt"/>
              <a:ea typeface="+mn-ea"/>
              <a:cs typeface="+mn-cs"/>
            </a:rPr>
            <a:t> </a:t>
          </a:r>
          <a:r>
            <a:rPr kumimoji="0" lang="nb-NO" sz="1400" b="0" i="0" u="none" strike="noStrike" kern="0" cap="none" spc="0" normalizeH="0" baseline="0" noProof="0">
              <a:ln>
                <a:noFill/>
              </a:ln>
              <a:solidFill>
                <a:prstClr val="black"/>
              </a:solidFill>
              <a:effectLst/>
              <a:uLnTx/>
              <a:uFillTx/>
              <a:latin typeface="+mn-lt"/>
              <a:ea typeface="+mn-ea"/>
              <a:cs typeface="+mn-cs"/>
            </a:rPr>
            <a:t>) for kategorisering av emne-visninge. Dette gikk fint synes jeg.</a:t>
          </a:r>
        </a:p>
        <a:p>
          <a:pPr marL="0" marR="0" lvl="0" indent="0" defTabSz="914400" eaLnBrk="1" fontAlgn="auto" latinLnBrk="0" hangingPunct="1">
            <a:lnSpc>
              <a:spcPct val="100000"/>
            </a:lnSpc>
            <a:spcBef>
              <a:spcPts val="0"/>
            </a:spcBef>
            <a:spcAft>
              <a:spcPts val="0"/>
            </a:spcAft>
            <a:buClrTx/>
            <a:buSzTx/>
            <a:buFontTx/>
            <a:buNone/>
            <a:tabLst/>
            <a:defRPr/>
          </a:pPr>
          <a:endParaRPr kumimoji="0" lang="nb-NO" sz="14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0" i="0" u="none" strike="noStrike" kern="0" cap="none" spc="0" normalizeH="0" baseline="0" noProof="0">
              <a:ln>
                <a:noFill/>
              </a:ln>
              <a:solidFill>
                <a:prstClr val="black"/>
              </a:solidFill>
              <a:effectLst/>
              <a:uLnTx/>
              <a:uFillTx/>
              <a:latin typeface="+mn-lt"/>
              <a:ea typeface="+mn-ea"/>
              <a:cs typeface="+mn-cs"/>
            </a:rPr>
            <a:t>Jobbet deretter videre med deling av emne hvor jeg fikset et par checkboxer som måtte endres på nå som vi har to maler i samme dokument. Ble en del endringer her som tar noe ekstra tid</a:t>
          </a:r>
          <a:br>
            <a:rPr kumimoji="0" lang="nb-NO" sz="1400" b="0" i="0" u="none" strike="noStrike" kern="0" cap="none" spc="0" normalizeH="0" baseline="0" noProof="0">
              <a:ln>
                <a:noFill/>
              </a:ln>
              <a:solidFill>
                <a:prstClr val="black"/>
              </a:solidFill>
              <a:effectLst/>
              <a:uLnTx/>
              <a:uFillTx/>
              <a:latin typeface="+mn-lt"/>
              <a:ea typeface="+mn-ea"/>
              <a:cs typeface="+mn-cs"/>
            </a:rPr>
          </a:br>
          <a:br>
            <a:rPr kumimoji="0" lang="nb-NO" sz="1400" b="0" i="0" u="none" strike="noStrike" kern="0" cap="none" spc="0" normalizeH="0" baseline="0" noProof="0">
              <a:ln>
                <a:noFill/>
              </a:ln>
              <a:solidFill>
                <a:prstClr val="black"/>
              </a:solidFill>
              <a:effectLst/>
              <a:uLnTx/>
              <a:uFillTx/>
              <a:latin typeface="+mn-lt"/>
              <a:ea typeface="+mn-ea"/>
              <a:cs typeface="+mn-cs"/>
            </a:rPr>
          </a:br>
          <a:r>
            <a:rPr kumimoji="0" lang="nb-NO" sz="1400" b="0" i="0" u="none" strike="noStrike" kern="0" cap="none" spc="0" normalizeH="0" baseline="0" noProof="0">
              <a:ln>
                <a:noFill/>
              </a:ln>
              <a:solidFill>
                <a:prstClr val="black"/>
              </a:solidFill>
              <a:effectLst/>
              <a:uLnTx/>
              <a:uFillTx/>
              <a:latin typeface="+mn-lt"/>
              <a:ea typeface="+mn-ea"/>
              <a:cs typeface="+mn-cs"/>
            </a:rPr>
            <a:t>Satte opp planning poker for sprint 5 og gjorde denne klar.</a:t>
          </a:r>
          <a:endParaRPr lang="nb-NO" sz="1400" b="1" i="0">
            <a:solidFill>
              <a:schemeClr val="tx1"/>
            </a:solidFill>
            <a:effectLst/>
            <a:latin typeface="+mn-lt"/>
            <a:ea typeface="+mn-ea"/>
            <a:cs typeface="+mn-cs"/>
          </a:endParaRPr>
        </a:p>
        <a:p>
          <a:endParaRPr lang="nb-NO" sz="1400" b="1"/>
        </a:p>
        <a:p>
          <a:r>
            <a:rPr lang="nb-NO" sz="1400" b="1"/>
            <a:t>Søndag: </a:t>
          </a:r>
        </a:p>
        <a:p>
          <a:r>
            <a:rPr lang="nb-NO" sz="1400" b="0"/>
            <a:t>Her</a:t>
          </a:r>
          <a:r>
            <a:rPr lang="nb-NO" sz="1400" b="0" baseline="0"/>
            <a:t> jobbet jeg videre med innleveringen som skal inn i kveld. Fikk gjort en god her blant annet sammen med Adrian.</a:t>
          </a:r>
        </a:p>
        <a:p>
          <a:endParaRPr lang="nb-NO" sz="1400" b="0"/>
        </a:p>
        <a:p>
          <a:r>
            <a:rPr lang="nb-NO" sz="1400" b="0"/>
            <a:t>Her jobbet</a:t>
          </a:r>
          <a:r>
            <a:rPr lang="nb-NO" sz="1400" b="0" baseline="0"/>
            <a:t> jeg noe videre med oppdeling av emne og gjorde dette så og si ferdig. Måtte gjøre en god del endringer på malen ettersom det nå er to emner i samme dokument. Dette tok mer tid enn jeg hadde håpet.</a:t>
          </a:r>
        </a:p>
        <a:p>
          <a:endParaRPr lang="nb-NO" sz="1400" b="0" baseline="0"/>
        </a:p>
        <a:p>
          <a:r>
            <a:rPr lang="nb-NO" sz="1400" b="0" baseline="0"/>
            <a:t>Videre hjalp jeg Eivind med å debugge noe kode for sending av epost. Vi fikk rettet en god del feil i koden hans.</a:t>
          </a:r>
        </a:p>
        <a:p>
          <a:br>
            <a:rPr lang="nb-NO" sz="1400" b="0" baseline="0"/>
          </a:br>
          <a:r>
            <a:rPr lang="nb-NO" sz="1400" b="0" baseline="0"/>
            <a:t>Etter dette satte jeg og Martin opp prosjektet slik det er nå på kark.uit.no nettsiden. Det måtte til en god endringer i filstiene til for at det skulle fungere.</a:t>
          </a:r>
        </a:p>
        <a:p>
          <a:r>
            <a:rPr lang="nb-NO" sz="1400" b="0" baseline="0"/>
            <a:t>Videre jobbet jeg med ferdigstilling av det som skal leveres inn i kveld for Sprint 4 innleveringen.</a:t>
          </a:r>
          <a:endParaRPr lang="nb-NO" sz="1400" b="0"/>
        </a:p>
      </xdr:txBody>
    </xdr:sp>
    <xdr:clientData/>
  </xdr:oneCellAnchor>
</xdr:wsDr>
</file>

<file path=xl/drawings/drawing14.xml><?xml version="1.0" encoding="utf-8"?>
<xdr:wsDr xmlns:xdr="http://schemas.openxmlformats.org/drawingml/2006/spreadsheetDrawing" xmlns:a="http://schemas.openxmlformats.org/drawingml/2006/main">
  <xdr:oneCellAnchor>
    <xdr:from>
      <xdr:col>0</xdr:col>
      <xdr:colOff>0</xdr:colOff>
      <xdr:row>86</xdr:row>
      <xdr:rowOff>34290</xdr:rowOff>
    </xdr:from>
    <xdr:ext cx="6991349" cy="18814004"/>
    <xdr:sp macro="" textlink="">
      <xdr:nvSpPr>
        <xdr:cNvPr id="680" name="TekstSylinder 1">
          <a:extLst>
            <a:ext uri="{FF2B5EF4-FFF2-40B4-BE49-F238E27FC236}">
              <a16:creationId xmlns:a16="http://schemas.microsoft.com/office/drawing/2014/main" id="{8E606AF0-56C2-4094-8F98-474077A8E7D1}"/>
            </a:ext>
          </a:extLst>
        </xdr:cNvPr>
        <xdr:cNvSpPr txBox="1"/>
      </xdr:nvSpPr>
      <xdr:spPr>
        <a:xfrm>
          <a:off x="0" y="25841437"/>
          <a:ext cx="6991349" cy="18814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b-NO" sz="1400" b="1"/>
            <a:t>Roller:</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SCRUM-master for neste uke (Sprint 5 f.o.m andre uke): </a:t>
          </a:r>
          <a:r>
            <a:rPr kumimoji="0" lang="nb-NO" sz="1400" b="0" i="0" u="none" strike="noStrike" kern="0" cap="none" spc="0" normalizeH="0" baseline="0" noProof="0">
              <a:ln>
                <a:noFill/>
              </a:ln>
              <a:solidFill>
                <a:prstClr val="black"/>
              </a:solidFill>
              <a:effectLst/>
              <a:uLnTx/>
              <a:uFillTx/>
              <a:latin typeface="+mn-lt"/>
              <a:ea typeface="+mn-ea"/>
              <a:cs typeface="+mn-cs"/>
            </a:rPr>
            <a:t>Vegard Simonsen</a:t>
          </a:r>
          <a:endParaRPr lang="nb-NO" sz="1400" b="0"/>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SCRUM-master for denne sprint (Sprint 5 første uke): </a:t>
          </a:r>
          <a:r>
            <a:rPr kumimoji="0" lang="nb-NO" sz="1400" b="0" i="0" u="none" strike="noStrike" kern="0" cap="none" spc="0" normalizeH="0" baseline="0" noProof="0">
              <a:ln>
                <a:noFill/>
              </a:ln>
              <a:solidFill>
                <a:prstClr val="black"/>
              </a:solidFill>
              <a:effectLst/>
              <a:uLnTx/>
              <a:uFillTx/>
              <a:latin typeface="+mn-lt"/>
              <a:ea typeface="+mn-ea"/>
              <a:cs typeface="+mn-cs"/>
            </a:rPr>
            <a:t>Adrian-Alexandru Chirita</a:t>
          </a:r>
        </a:p>
        <a:p>
          <a:r>
            <a:rPr lang="nb-NO" sz="1400" b="1"/>
            <a:t>Backend</a:t>
          </a:r>
          <a:r>
            <a:rPr lang="nb-NO" sz="1400" b="0"/>
            <a:t>: Martin Mikalsen, Anders Rubach Ese, Adrian-Alexandru Chirita, Vegard Simonsen</a:t>
          </a:r>
        </a:p>
        <a:p>
          <a:r>
            <a:rPr lang="nb-NO" sz="1400" b="1"/>
            <a:t>Frontend</a:t>
          </a:r>
          <a:r>
            <a:rPr lang="nb-NO" sz="1400" b="0"/>
            <a:t>: Joachim Kristensen, Alexander Hansen, Eivind Blom Eriksen</a:t>
          </a:r>
        </a:p>
        <a:p>
          <a:endParaRPr lang="nb-NO" sz="1400" b="1"/>
        </a:p>
        <a:p>
          <a:r>
            <a:rPr lang="nb-NO" sz="1400" b="1"/>
            <a:t>Mandag</a:t>
          </a:r>
          <a:r>
            <a:rPr lang="nb-NO" sz="1400"/>
            <a:t>: </a:t>
          </a:r>
        </a:p>
        <a:p>
          <a:r>
            <a:rPr lang="nb-NO" sz="1400"/>
            <a:t>Her</a:t>
          </a:r>
          <a:r>
            <a:rPr lang="nb-NO" sz="1400" baseline="0"/>
            <a:t> hadde vi Scrum-Meeting og diskuterte hvem som skulle si hva under Sprint-Reviewet. Vi gikk kjapt gjennom det vi skulle vise og testet at Teams funket fint.</a:t>
          </a:r>
        </a:p>
        <a:p>
          <a:br>
            <a:rPr lang="nb-NO" sz="1400" baseline="0"/>
          </a:br>
          <a:r>
            <a:rPr lang="nb-NO" sz="1400" baseline="0"/>
            <a:t>Sprint-reviewet gikk fint, vi fikk vist fram hva vi hadde gjort og tok i mot spørsmål. Jeg fikk vist fram det jeg hadde jobbet med for Sprint 4, både kode og hvordan det tar seg ut frontend.</a:t>
          </a:r>
        </a:p>
        <a:p>
          <a:endParaRPr lang="nb-NO" sz="1400" baseline="0"/>
        </a:p>
        <a:p>
          <a:r>
            <a:rPr lang="nb-NO" sz="1400" baseline="0"/>
            <a:t>Videre startet jeg med aktivitet 30.3 som gjelder databasespørringer for statistikk. Eksempler her er hvor mange emner det finnes i databasen som er nettbaserte/arkiverte/godkjente/etc.. Dette gikk fint, fikk satt opp et PHP-script for å teste disse, alle ser ut til å funke som forventet så langt.</a:t>
          </a:r>
          <a:br>
            <a:rPr lang="nb-NO" sz="1400"/>
          </a:br>
          <a:endParaRPr lang="nb-NO" sz="1400" b="0"/>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Tirsdag</a:t>
          </a:r>
          <a:r>
            <a:rPr kumimoji="0" lang="nb-NO" sz="1400" b="0" i="0" u="none" strike="noStrike" kern="0" cap="none" spc="0" normalizeH="0" baseline="0" noProof="0">
              <a:ln>
                <a:noFill/>
              </a:ln>
              <a:solidFill>
                <a:prstClr val="black"/>
              </a:solidFill>
              <a:effectLst/>
              <a:uLnTx/>
              <a:uFillTx/>
              <a:latin typeface="+mn-lt"/>
              <a:ea typeface="+mn-ea"/>
              <a:cs typeface="+mn-cs"/>
            </a:rPr>
            <a:t>: </a:t>
          </a:r>
        </a:p>
        <a:p>
          <a:r>
            <a:rPr lang="nb-NO" sz="1400" b="0"/>
            <a:t>Startet</a:t>
          </a:r>
          <a:r>
            <a:rPr lang="nb-NO" sz="1400" b="0" baseline="0"/>
            <a:t> med å sette opp PHP-kode for å eksportere statistikk til et PDF dokument. Fikset klassen jeg tidligere hadde skrevet for PDF i en annen aktivitet til å være OOP-orientert slik at det går fortere å utvikle flere PDF-eksporteringer om ønskelig videre. Jeg fikk begynt med å sette opp kakediagram som jeg genererte i PHP fra spørringer mot databasen i database-klassen. Jeg brukte en del tid på å sette opp en felles PHP-funksjon for å automatisk generere kakediagram med farge og tekst på venstre side som viser hva som er hva, samt totalen. Dette tok litt mer tid enn jeg hadde trodd.</a:t>
          </a:r>
        </a:p>
        <a:p>
          <a:endParaRPr lang="nb-NO" sz="1400" b="0" baseline="0"/>
        </a:p>
        <a:p>
          <a:r>
            <a:rPr lang="nb-NO" sz="1400" b="0" baseline="0"/>
            <a:t>Videre skrev jeg og Adrian innleveringen for 21. April og satte inn nødvendig data i Word-dokumentet som jeg formatterte og eksporterte til PDF og leverte inn. Måtte levere en ekstra gang 5 minutter etter fristen ettersom den første jeg leverte var feil versjon, men det gikk fint.</a:t>
          </a:r>
        </a:p>
        <a:p>
          <a:endParaRPr lang="nb-NO" sz="1400" b="0" baseline="0"/>
        </a:p>
        <a:p>
          <a:r>
            <a:rPr lang="nb-NO" sz="1400" b="0" baseline="0"/>
            <a:t>Etter innleveringen rettet jeg og Adrian opp i innleveringen som vi leverte sist søndag. Vi fikk noe anbefalinger om endring fra Sprint-Review.</a:t>
          </a:r>
          <a:endParaRPr lang="nb-NO" sz="1400" b="0"/>
        </a:p>
        <a:p>
          <a:endParaRPr lang="nb-NO" sz="1400" b="1"/>
        </a:p>
        <a:p>
          <a:r>
            <a:rPr lang="nb-NO" sz="1400" b="1"/>
            <a:t>Onsdag</a:t>
          </a:r>
          <a:r>
            <a:rPr lang="nb-NO" sz="1400"/>
            <a:t>: </a:t>
          </a:r>
        </a:p>
        <a:p>
          <a:r>
            <a:rPr lang="nb-NO" sz="1400"/>
            <a:t>Fikk implementert</a:t>
          </a:r>
          <a:r>
            <a:rPr lang="nb-NO" sz="1400" baseline="0"/>
            <a:t> dataene Adrian sendte meg for innleveringen på søndag som skulle forbedres inn i Word-dokumentet og opprettet en v1.2 versjon som jeg fikk eksportert til PDF og levert til læreren.</a:t>
          </a:r>
        </a:p>
        <a:p>
          <a:endParaRPr lang="nb-NO" sz="1400" baseline="0"/>
        </a:p>
        <a:p>
          <a:r>
            <a:rPr lang="nb-NO" sz="1400" baseline="0"/>
            <a:t>Fikk nå gjort ferdig funksjonen for generering av kaediagram i PHP. Tok en god del tid men den er nå automatisk. Skal videre forsøke å sette opp andre typer tabeller for andre data som kan være relevant for eksporteringen.</a:t>
          </a:r>
          <a:endParaRPr lang="nb-NO" sz="1400"/>
        </a:p>
        <a:p>
          <a:endParaRPr lang="nb-NO" sz="1400" b="1"/>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Torsdag</a:t>
          </a:r>
          <a:r>
            <a:rPr kumimoji="0" lang="nb-NO" sz="1400" b="0" i="0" u="none" strike="noStrike" kern="0" cap="none" spc="0" normalizeH="0" baseline="0" noProof="0">
              <a:ln>
                <a:noFill/>
              </a:ln>
              <a:solidFill>
                <a:prstClr val="black"/>
              </a:solidFill>
              <a:effectLst/>
              <a:uLnTx/>
              <a:uFillTx/>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0" i="0" u="none" strike="noStrike" kern="0" cap="none" spc="0" normalizeH="0" baseline="0" noProof="0">
              <a:ln>
                <a:noFill/>
              </a:ln>
              <a:solidFill>
                <a:prstClr val="black"/>
              </a:solidFill>
              <a:effectLst/>
              <a:uLnTx/>
              <a:uFillTx/>
              <a:latin typeface="+mn-lt"/>
              <a:ea typeface="+mn-ea"/>
              <a:cs typeface="+mn-cs"/>
            </a:rPr>
            <a:t>Jobbet videre med eksporetingen. Den er nå ferdig i min mening. All funksjonalitet som kan være relevant for uthenting av statistikk er implementert i eksporteringen til PDF.</a:t>
          </a:r>
          <a:br>
            <a:rPr kumimoji="0" lang="nb-NO" sz="1400" b="0" i="0" u="none" strike="noStrike" kern="0" cap="none" spc="0" normalizeH="0" baseline="0" noProof="0">
              <a:ln>
                <a:noFill/>
              </a:ln>
              <a:solidFill>
                <a:prstClr val="black"/>
              </a:solidFill>
              <a:effectLst/>
              <a:uLnTx/>
              <a:uFillTx/>
              <a:latin typeface="+mn-lt"/>
              <a:ea typeface="+mn-ea"/>
              <a:cs typeface="+mn-cs"/>
            </a:rPr>
          </a:br>
          <a:br>
            <a:rPr kumimoji="0" lang="nb-NO" sz="1400" b="0" i="0" u="none" strike="noStrike" kern="0" cap="none" spc="0" normalizeH="0" baseline="0" noProof="0">
              <a:ln>
                <a:noFill/>
              </a:ln>
              <a:solidFill>
                <a:prstClr val="black"/>
              </a:solidFill>
              <a:effectLst/>
              <a:uLnTx/>
              <a:uFillTx/>
              <a:latin typeface="+mn-lt"/>
              <a:ea typeface="+mn-ea"/>
              <a:cs typeface="+mn-cs"/>
            </a:rPr>
          </a:br>
          <a:r>
            <a:rPr kumimoji="0" lang="nb-NO" sz="1400" b="0" i="0" u="none" strike="noStrike" kern="0" cap="none" spc="0" normalizeH="0" baseline="0" noProof="0">
              <a:ln>
                <a:noFill/>
              </a:ln>
              <a:solidFill>
                <a:prstClr val="black"/>
              </a:solidFill>
              <a:effectLst/>
              <a:uLnTx/>
              <a:uFillTx/>
              <a:latin typeface="+mn-lt"/>
              <a:ea typeface="+mn-ea"/>
              <a:cs typeface="+mn-cs"/>
            </a:rPr>
            <a:t>Videre på dagen hadde vi møte hvor blant annet jeg viste fram det jeg hadde gjort med tanke på spørringer samt eksportering av statistikk til PDF. Dette gikk fint.</a:t>
          </a:r>
        </a:p>
        <a:p>
          <a:pPr marL="0" marR="0" lvl="0" indent="0" defTabSz="914400" eaLnBrk="1" fontAlgn="auto" latinLnBrk="0" hangingPunct="1">
            <a:lnSpc>
              <a:spcPct val="100000"/>
            </a:lnSpc>
            <a:spcBef>
              <a:spcPts val="0"/>
            </a:spcBef>
            <a:spcAft>
              <a:spcPts val="0"/>
            </a:spcAft>
            <a:buClrTx/>
            <a:buSzTx/>
            <a:buFontTx/>
            <a:buNone/>
            <a:tabLst/>
            <a:defRPr/>
          </a:pPr>
          <a:endParaRPr kumimoji="0" lang="nb-NO" sz="14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0" i="0" u="none" strike="noStrike" kern="0" cap="none" spc="0" normalizeH="0" baseline="0" noProof="0">
              <a:ln>
                <a:noFill/>
              </a:ln>
              <a:solidFill>
                <a:prstClr val="black"/>
              </a:solidFill>
              <a:effectLst/>
              <a:uLnTx/>
              <a:uFillTx/>
              <a:latin typeface="+mn-lt"/>
              <a:ea typeface="+mn-ea"/>
              <a:cs typeface="+mn-cs"/>
            </a:rPr>
            <a:t>Videre satte jeg inn to nye variabler i Emne-tabellen 'HitCount' og 'EditCount' som skal appenderes hver gang et emne leses og for sistenevnte appenderes dersom emnet endres.</a:t>
          </a:r>
        </a:p>
        <a:p>
          <a:endParaRPr lang="nb-NO" sz="1400" b="1"/>
        </a:p>
        <a:p>
          <a:r>
            <a:rPr lang="nb-NO" sz="1400" b="1"/>
            <a:t>Fredag: </a:t>
          </a:r>
        </a:p>
        <a:p>
          <a:r>
            <a:rPr lang="nb-NO" sz="1400" b="0"/>
            <a:t>Så</a:t>
          </a:r>
          <a:r>
            <a:rPr lang="nb-NO" sz="1400" b="0" baseline="0"/>
            <a:t> på kode med Alexander for å hente liste ut emnekoder i sanntid for så å kunne legge disse i et array fom spyttes inn i PHP backend fra Javascript. Dette er relevant for oprettelse av emner.</a:t>
          </a:r>
        </a:p>
        <a:p>
          <a:endParaRPr lang="nb-NO" sz="1400" b="0" baseline="0"/>
        </a:p>
        <a:p>
          <a:r>
            <a:rPr lang="nb-NO" sz="1400" b="0" baseline="0"/>
            <a:t>Videre opprettet jeg en README.MD med info om prosjektet. Herunder eksempelvis teknologi som har blitt brukt samt hvem som har jobbet i prosjektet.</a:t>
          </a:r>
          <a:endParaRPr lang="nb-NO" sz="1400" b="0"/>
        </a:p>
        <a:p>
          <a:pPr marL="0" marR="0" lvl="0" indent="0" defTabSz="914400" eaLnBrk="1" fontAlgn="auto" latinLnBrk="0" hangingPunct="1">
            <a:lnSpc>
              <a:spcPct val="100000"/>
            </a:lnSpc>
            <a:spcBef>
              <a:spcPts val="0"/>
            </a:spcBef>
            <a:spcAft>
              <a:spcPts val="0"/>
            </a:spcAft>
            <a:buClrTx/>
            <a:buSzTx/>
            <a:buFontTx/>
            <a:buNone/>
            <a:tabLst/>
            <a:defRPr/>
          </a:pPr>
          <a:endParaRPr lang="nb-NO" sz="1100" b="1">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nb-NO" sz="1400" b="1">
              <a:solidFill>
                <a:schemeClr val="tx1"/>
              </a:solidFill>
              <a:effectLst/>
              <a:latin typeface="+mn-lt"/>
              <a:ea typeface="+mn-ea"/>
              <a:cs typeface="+mn-cs"/>
            </a:rPr>
            <a:t>Lørdag:</a:t>
          </a:r>
        </a:p>
        <a:p>
          <a:pPr marL="0" marR="0" lvl="0" indent="0" defTabSz="914400" eaLnBrk="1" fontAlgn="auto" latinLnBrk="0" hangingPunct="1">
            <a:lnSpc>
              <a:spcPct val="100000"/>
            </a:lnSpc>
            <a:spcBef>
              <a:spcPts val="0"/>
            </a:spcBef>
            <a:spcAft>
              <a:spcPts val="0"/>
            </a:spcAft>
            <a:buClrTx/>
            <a:buSzTx/>
            <a:buFontTx/>
            <a:buNone/>
            <a:tabLst/>
            <a:defRPr/>
          </a:pPr>
          <a:r>
            <a:rPr lang="nb-NO" sz="1400" b="0">
              <a:solidFill>
                <a:schemeClr val="tx1"/>
              </a:solidFill>
              <a:effectLst/>
              <a:latin typeface="+mn-lt"/>
              <a:ea typeface="+mn-ea"/>
              <a:cs typeface="+mn-cs"/>
            </a:rPr>
            <a:t>Så</a:t>
          </a:r>
          <a:r>
            <a:rPr lang="nb-NO" sz="1400" b="0" baseline="0">
              <a:solidFill>
                <a:schemeClr val="tx1"/>
              </a:solidFill>
              <a:effectLst/>
              <a:latin typeface="+mn-lt"/>
              <a:ea typeface="+mn-ea"/>
              <a:cs typeface="+mn-cs"/>
            </a:rPr>
            <a:t> videre på koden med Alexander med tanke på utlisting av EmneKoder i sanntid og innsetting til PHP i backend. Videre på dagen hadde vi scrum-meeting og diskuterte fremgang i prosjektet. Etter gikk jeg sammen med Adrian og opprettet en tabell i databasen ved navn 'StudieRetning' som vi koblet med relasjon til Emne-tabellen.</a:t>
          </a:r>
          <a:br>
            <a:rPr lang="nb-NO" sz="1400" b="0" baseline="0">
              <a:solidFill>
                <a:schemeClr val="tx1"/>
              </a:solidFill>
              <a:effectLst/>
              <a:latin typeface="+mn-lt"/>
              <a:ea typeface="+mn-ea"/>
              <a:cs typeface="+mn-cs"/>
            </a:rPr>
          </a:br>
          <a:br>
            <a:rPr lang="nb-NO" sz="1400" b="0" baseline="0">
              <a:solidFill>
                <a:schemeClr val="tx1"/>
              </a:solidFill>
              <a:effectLst/>
              <a:latin typeface="+mn-lt"/>
              <a:ea typeface="+mn-ea"/>
              <a:cs typeface="+mn-cs"/>
            </a:rPr>
          </a:br>
          <a:r>
            <a:rPr lang="nb-NO" sz="1400" b="0" baseline="0">
              <a:solidFill>
                <a:schemeClr val="tx1"/>
              </a:solidFill>
              <a:effectLst/>
              <a:latin typeface="+mn-lt"/>
              <a:ea typeface="+mn-ea"/>
              <a:cs typeface="+mn-cs"/>
            </a:rPr>
            <a:t>Videre Implementerte jeg spørringer for denne nye tabellen og testet disse. Videre ryddet jeg opp i database-klassen. Har samlet repeterende kode inn i funksjoner for å kunne spare mye plass. Her er det fortsatt en del igjen som kan forbedres.</a:t>
          </a:r>
          <a:endParaRPr lang="nb-NO" sz="1400" b="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nb-NO" sz="1400" b="1"/>
        </a:p>
        <a:p>
          <a:r>
            <a:rPr lang="nb-NO" sz="1400" b="1"/>
            <a:t>Søndag: </a:t>
          </a:r>
        </a:p>
        <a:p>
          <a:r>
            <a:rPr lang="nb-NO" sz="1400" b="0"/>
            <a:t>Satte</a:t>
          </a:r>
          <a:r>
            <a:rPr lang="nb-NO" sz="1400" b="0" baseline="0"/>
            <a:t> opp med Adrian slik at alle barnetabeller av Emne-tabellen har Cascade-funksjon. Slik at disse slettes dersom emner slettes selv. </a:t>
          </a:r>
        </a:p>
        <a:p>
          <a:endParaRPr lang="nb-NO" sz="1400" b="0" baseline="0"/>
        </a:p>
        <a:p>
          <a:r>
            <a:rPr lang="nb-NO" sz="1400" b="0"/>
            <a:t>Videre</a:t>
          </a:r>
          <a:r>
            <a:rPr lang="nb-NO" sz="1400" b="0" baseline="0"/>
            <a:t> satte jeg opp testscriptet for å teste flere funksjoner i database-spørringsklassen. Samlet disse i en egen mappe 'testing'. Etter dette ryddet jeg videre opp i spørringsklassen og samlet repeterende kode. </a:t>
          </a:r>
        </a:p>
        <a:p>
          <a:endParaRPr lang="nb-NO" sz="1400" b="0" baseline="0"/>
        </a:p>
        <a:p>
          <a:r>
            <a:rPr lang="nb-NO" sz="1400" b="0" baseline="0"/>
            <a:t>Videre fikk jeg ønske fra frontend om å implementere mulighet for innskrenking av søk i selve getAlleEmner() funksjonen. Dette tok litt tid, men fikk det til etterhvert. Den kan nå ta inn enten ingen parametre eller gitte parametre for å nedskrenke søket. Fikk også testet denne i test-scriptet mitt.</a:t>
          </a:r>
        </a:p>
      </xdr:txBody>
    </xdr:sp>
    <xdr:clientData/>
  </xdr:oneCellAnchor>
</xdr:wsDr>
</file>

<file path=xl/drawings/drawing15.xml><?xml version="1.0" encoding="utf-8"?>
<xdr:wsDr xmlns:xdr="http://schemas.openxmlformats.org/drawingml/2006/spreadsheetDrawing" xmlns:a="http://schemas.openxmlformats.org/drawingml/2006/main">
  <xdr:oneCellAnchor>
    <xdr:from>
      <xdr:col>0</xdr:col>
      <xdr:colOff>0</xdr:colOff>
      <xdr:row>52</xdr:row>
      <xdr:rowOff>34290</xdr:rowOff>
    </xdr:from>
    <xdr:ext cx="6991349" cy="10398386"/>
    <xdr:sp macro="" textlink="">
      <xdr:nvSpPr>
        <xdr:cNvPr id="2" name="TekstSylinder 1">
          <a:extLst>
            <a:ext uri="{FF2B5EF4-FFF2-40B4-BE49-F238E27FC236}">
              <a16:creationId xmlns:a16="http://schemas.microsoft.com/office/drawing/2014/main" id="{80ED06D9-668D-4973-A78E-4F47B51168A3}"/>
            </a:ext>
          </a:extLst>
        </xdr:cNvPr>
        <xdr:cNvSpPr txBox="1"/>
      </xdr:nvSpPr>
      <xdr:spPr>
        <a:xfrm>
          <a:off x="0" y="12226290"/>
          <a:ext cx="6991349" cy="10398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b-NO" sz="1400" b="1"/>
            <a:t>Roller:</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SCRUM-master for denne sprint (Sprint 5 f.o.m andre uke): </a:t>
          </a:r>
          <a:r>
            <a:rPr kumimoji="0" lang="nb-NO" sz="1400" b="0" i="0" u="none" strike="noStrike" kern="0" cap="none" spc="0" normalizeH="0" baseline="0" noProof="0">
              <a:ln>
                <a:noFill/>
              </a:ln>
              <a:solidFill>
                <a:prstClr val="black"/>
              </a:solidFill>
              <a:effectLst/>
              <a:uLnTx/>
              <a:uFillTx/>
              <a:latin typeface="+mn-lt"/>
              <a:ea typeface="+mn-ea"/>
              <a:cs typeface="+mn-cs"/>
            </a:rPr>
            <a:t>Vegard Simonsen</a:t>
          </a:r>
        </a:p>
        <a:p>
          <a:r>
            <a:rPr lang="nb-NO" sz="1400" b="1"/>
            <a:t>Backend</a:t>
          </a:r>
          <a:r>
            <a:rPr lang="nb-NO" sz="1400" b="0"/>
            <a:t>: Martin Mikalsen, Anders Rubach Ese, Adrian-Alexandru Chirita, Vegard Simonsen</a:t>
          </a:r>
        </a:p>
        <a:p>
          <a:r>
            <a:rPr lang="nb-NO" sz="1400" b="1"/>
            <a:t>Frontend</a:t>
          </a:r>
          <a:r>
            <a:rPr lang="nb-NO" sz="1400" b="0"/>
            <a:t>: Joachim Kristensen, Alexander Hansen, Eivind Blom Eriksen</a:t>
          </a:r>
        </a:p>
        <a:p>
          <a:endParaRPr lang="nb-NO" sz="1400" b="1"/>
        </a:p>
        <a:p>
          <a:r>
            <a:rPr lang="nb-NO" sz="1400" b="1"/>
            <a:t>Mandag</a:t>
          </a:r>
          <a:r>
            <a:rPr lang="nb-NO" sz="1400"/>
            <a:t>: </a:t>
          </a:r>
        </a:p>
        <a:p>
          <a:r>
            <a:rPr lang="nb-NO" sz="1400"/>
            <a:t>Her hadde vi Scrum-Meeting og gikk gjennom hva vi har gjort hittil og hva vi gjør videre i uken.</a:t>
          </a:r>
          <a:br>
            <a:rPr lang="nb-NO" sz="1400"/>
          </a:br>
          <a:endParaRPr lang="nb-NO" sz="1400" b="0"/>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Tirsdag</a:t>
          </a:r>
          <a:r>
            <a:rPr kumimoji="0" lang="nb-NO" sz="1400" b="0" i="0" u="none" strike="noStrike" kern="0" cap="none" spc="0" normalizeH="0" baseline="0" noProof="0">
              <a:ln>
                <a:noFill/>
              </a:ln>
              <a:solidFill>
                <a:prstClr val="black"/>
              </a:solidFill>
              <a:effectLst/>
              <a:uLnTx/>
              <a:uFillTx/>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0" i="0" u="none" strike="noStrike" kern="0" cap="none" spc="0" normalizeH="0" baseline="0" noProof="0">
              <a:ln>
                <a:noFill/>
              </a:ln>
              <a:solidFill>
                <a:prstClr val="black"/>
              </a:solidFill>
              <a:effectLst/>
              <a:uLnTx/>
              <a:uFillTx/>
              <a:latin typeface="+mn-lt"/>
              <a:ea typeface="+mn-ea"/>
              <a:cs typeface="+mn-cs"/>
            </a:rPr>
            <a:t>Ryddet opp i kode og skrev dokumentasjon der det er nødvendig. Prøver å sette en standard i koden slik at den er lett leselig.</a:t>
          </a:r>
        </a:p>
        <a:p>
          <a:endParaRPr lang="nb-NO" sz="1400" b="1"/>
        </a:p>
        <a:p>
          <a:r>
            <a:rPr lang="nb-NO" sz="1400" b="1"/>
            <a:t>Onsdag</a:t>
          </a:r>
          <a:r>
            <a:rPr lang="nb-NO" sz="1400"/>
            <a:t>: </a:t>
          </a:r>
        </a:p>
        <a:p>
          <a:r>
            <a:rPr lang="nb-NO" sz="1400"/>
            <a:t>Ryddet videre opp i koden og skrev dokumentasjon. Satte opp manuelle "tester" ved PHP-script slik at databasespørringene testes oversiktelig i en fil. Forkortet funksjoner og slik at vi minsker gjenbruk av kode i spørrings-klassen.</a:t>
          </a:r>
        </a:p>
        <a:p>
          <a:endParaRPr lang="nb-NO" sz="1400" b="1"/>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Torsdag</a:t>
          </a:r>
          <a:r>
            <a:rPr kumimoji="0" lang="nb-NO" sz="1400" b="0" i="0" u="none" strike="noStrike" kern="0" cap="none" spc="0" normalizeH="0" baseline="0" noProof="0">
              <a:ln>
                <a:noFill/>
              </a:ln>
              <a:solidFill>
                <a:prstClr val="black"/>
              </a:solidFill>
              <a:effectLst/>
              <a:uLnTx/>
              <a:uFillTx/>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0" i="0" u="none" strike="noStrike" kern="0" cap="none" spc="0" normalizeH="0" baseline="0" noProof="0">
              <a:ln>
                <a:noFill/>
              </a:ln>
              <a:solidFill>
                <a:prstClr val="black"/>
              </a:solidFill>
              <a:effectLst/>
              <a:uLnTx/>
              <a:uFillTx/>
              <a:latin typeface="+mn-lt"/>
              <a:ea typeface="+mn-ea"/>
              <a:cs typeface="+mn-cs"/>
            </a:rPr>
            <a:t>Her startet vi med Scrum-Meeting og diskuterte hvordan arbeidet har gått. Det gikk fint. Etter møtet diskuterte jeg og Alexander om noe frontend-kode som skulle kobles til backend. Videre ryddet jeg opp og skrev mer dokumentasjon i koden.</a:t>
          </a:r>
        </a:p>
        <a:p>
          <a:endParaRPr lang="nb-NO" sz="1400" b="1"/>
        </a:p>
        <a:p>
          <a:pPr marL="0" marR="0" lvl="0" indent="0" defTabSz="914400" eaLnBrk="1" fontAlgn="auto" latinLnBrk="0" hangingPunct="1">
            <a:lnSpc>
              <a:spcPct val="100000"/>
            </a:lnSpc>
            <a:spcBef>
              <a:spcPts val="0"/>
            </a:spcBef>
            <a:spcAft>
              <a:spcPts val="0"/>
            </a:spcAft>
            <a:buClrTx/>
            <a:buSzTx/>
            <a:buFontTx/>
            <a:buNone/>
            <a:tabLst/>
            <a:defRPr/>
          </a:pPr>
          <a:r>
            <a:rPr lang="nb-NO" sz="1400" b="1">
              <a:solidFill>
                <a:schemeClr val="tx1"/>
              </a:solidFill>
              <a:effectLst/>
              <a:latin typeface="+mn-lt"/>
              <a:ea typeface="+mn-ea"/>
              <a:cs typeface="+mn-cs"/>
            </a:rPr>
            <a:t>Lørdag:</a:t>
          </a:r>
        </a:p>
        <a:p>
          <a:pPr marL="0" marR="0" lvl="0" indent="0" defTabSz="914400" eaLnBrk="1" fontAlgn="auto" latinLnBrk="0" hangingPunct="1">
            <a:lnSpc>
              <a:spcPct val="100000"/>
            </a:lnSpc>
            <a:spcBef>
              <a:spcPts val="0"/>
            </a:spcBef>
            <a:spcAft>
              <a:spcPts val="0"/>
            </a:spcAft>
            <a:buClrTx/>
            <a:buSzTx/>
            <a:buFontTx/>
            <a:buNone/>
            <a:tabLst/>
            <a:defRPr/>
          </a:pPr>
          <a:r>
            <a:rPr lang="nb-NO" sz="1400" b="0">
              <a:solidFill>
                <a:schemeClr val="tx1"/>
              </a:solidFill>
              <a:effectLst/>
              <a:latin typeface="+mn-lt"/>
              <a:ea typeface="+mn-ea"/>
              <a:cs typeface="+mn-cs"/>
            </a:rPr>
            <a:t>Vi startet med Scrum-Meeting og viste fram hva vi hadde gjort. Etter møtet gikk jeg sammen med Joachim og diskuterte kategorisering av emner for søking etter emne. Dette gikk fint og vi fikk gjort mye på kort tid.</a:t>
          </a:r>
        </a:p>
        <a:p>
          <a:pPr marL="0" marR="0" lvl="0" indent="0" defTabSz="914400" eaLnBrk="1" fontAlgn="auto" latinLnBrk="0" hangingPunct="1">
            <a:lnSpc>
              <a:spcPct val="100000"/>
            </a:lnSpc>
            <a:spcBef>
              <a:spcPts val="0"/>
            </a:spcBef>
            <a:spcAft>
              <a:spcPts val="0"/>
            </a:spcAft>
            <a:buClrTx/>
            <a:buSzTx/>
            <a:buFontTx/>
            <a:buNone/>
            <a:tabLst/>
            <a:defRPr/>
          </a:pPr>
          <a:r>
            <a:rPr lang="nb-NO" sz="1400" b="0">
              <a:solidFill>
                <a:schemeClr val="tx1"/>
              </a:solidFill>
              <a:effectLst/>
              <a:latin typeface="+mn-lt"/>
              <a:ea typeface="+mn-ea"/>
              <a:cs typeface="+mn-cs"/>
            </a:rPr>
            <a:t>Videre implementerte jeg en knapp i frontend for å kjøre PHP-scriptet mitt som genererer en PDF fil med statistikk over data i databasen vår. Dette gikk fort, fikk også satt inn et valg til høyre for knappen for hvilket språk brukeren ønsker å få PDF-filen på.</a:t>
          </a:r>
        </a:p>
        <a:p>
          <a:pPr marL="0" marR="0" lvl="0" indent="0" defTabSz="914400" eaLnBrk="1" fontAlgn="auto" latinLnBrk="0" hangingPunct="1">
            <a:lnSpc>
              <a:spcPct val="100000"/>
            </a:lnSpc>
            <a:spcBef>
              <a:spcPts val="0"/>
            </a:spcBef>
            <a:spcAft>
              <a:spcPts val="0"/>
            </a:spcAft>
            <a:buClrTx/>
            <a:buSzTx/>
            <a:buFontTx/>
            <a:buNone/>
            <a:tabLst/>
            <a:defRPr/>
          </a:pPr>
          <a:r>
            <a:rPr lang="nb-NO" sz="1400" b="0">
              <a:solidFill>
                <a:schemeClr val="tx1"/>
              </a:solidFill>
              <a:effectLst/>
              <a:latin typeface="+mn-lt"/>
              <a:ea typeface="+mn-ea"/>
              <a:cs typeface="+mn-cs"/>
            </a:rPr>
            <a:t>Etter dette opprettet jeg et dokument for en brukermanual av nettsiden vår, fikk skrevet en mal til denne og forside. Jeg tenker å gi brukeren en mulighet til å laste denne ned på hovedsiden.</a:t>
          </a:r>
        </a:p>
        <a:p>
          <a:pPr marL="0" marR="0" lvl="0" indent="0" defTabSz="914400" eaLnBrk="1" fontAlgn="auto" latinLnBrk="0" hangingPunct="1">
            <a:lnSpc>
              <a:spcPct val="100000"/>
            </a:lnSpc>
            <a:spcBef>
              <a:spcPts val="0"/>
            </a:spcBef>
            <a:spcAft>
              <a:spcPts val="0"/>
            </a:spcAft>
            <a:buClrTx/>
            <a:buSzTx/>
            <a:buFontTx/>
            <a:buNone/>
            <a:tabLst/>
            <a:defRPr/>
          </a:pPr>
          <a:endParaRPr lang="nb-NO" sz="1400" b="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nb-NO" sz="1400" b="0">
              <a:solidFill>
                <a:schemeClr val="tx1"/>
              </a:solidFill>
              <a:effectLst/>
              <a:latin typeface="+mn-lt"/>
              <a:ea typeface="+mn-ea"/>
              <a:cs typeface="+mn-cs"/>
            </a:rPr>
            <a:t>Videre implementerte jeg knapp for arkivering av et emne på emne-visnings siden. Dette gikk kjapt og det fungerte. Satte det opp slik at den er dynamisk, altså at teksten på knappen endrer tekst hvorvidt emnet allerede er arkivert eller ei.</a:t>
          </a:r>
        </a:p>
        <a:p>
          <a:pPr marL="0" marR="0" lvl="0" indent="0" defTabSz="914400" eaLnBrk="1" fontAlgn="auto" latinLnBrk="0" hangingPunct="1">
            <a:lnSpc>
              <a:spcPct val="100000"/>
            </a:lnSpc>
            <a:spcBef>
              <a:spcPts val="0"/>
            </a:spcBef>
            <a:spcAft>
              <a:spcPts val="0"/>
            </a:spcAft>
            <a:buClrTx/>
            <a:buSzTx/>
            <a:buFontTx/>
            <a:buNone/>
            <a:tabLst/>
            <a:defRPr/>
          </a:pPr>
          <a:endParaRPr lang="nb-NO" sz="1400" b="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nb-NO" sz="1400" b="0">
              <a:solidFill>
                <a:schemeClr val="tx1"/>
              </a:solidFill>
              <a:effectLst/>
              <a:latin typeface="+mn-lt"/>
              <a:ea typeface="+mn-ea"/>
              <a:cs typeface="+mn-cs"/>
            </a:rPr>
            <a:t>Etter dette forbedret jeg injection mot databasen for ansvarlige i et emne. Så etter dette på kode sammen med Joachim for uthenting av parametre fra url'en som vi bruker på søkesiden over alle emner. Joachim fant så en liten feil i funksjonen jeg hadde laget for uthenting av alle emner fra databasen, dette fikset jeg kjapt. Var en liten feil som gjorde at MySQL-querien ikke ble bygget opp.</a:t>
          </a:r>
        </a:p>
        <a:p>
          <a:pPr marL="0" marR="0" lvl="0" indent="0" defTabSz="914400" eaLnBrk="1" fontAlgn="auto" latinLnBrk="0" hangingPunct="1">
            <a:lnSpc>
              <a:spcPct val="100000"/>
            </a:lnSpc>
            <a:spcBef>
              <a:spcPts val="0"/>
            </a:spcBef>
            <a:spcAft>
              <a:spcPts val="0"/>
            </a:spcAft>
            <a:buClrTx/>
            <a:buSzTx/>
            <a:buFontTx/>
            <a:buNone/>
            <a:tabLst/>
            <a:defRPr/>
          </a:pPr>
          <a:endParaRPr lang="nb-NO" sz="1400" b="1"/>
        </a:p>
        <a:p>
          <a:r>
            <a:rPr lang="nb-NO" sz="1400" b="1"/>
            <a:t>Søndag: </a:t>
          </a:r>
        </a:p>
        <a:p>
          <a:r>
            <a:rPr lang="nb-NO" sz="1400" b="0"/>
            <a:t>Jobbet videre med brukermanualen, har kommet godt igang med denne. Regner med at jeg straks er ferdig med den. Den ser i min mening bra ut og er lett leselig/forståelig for den som leser.</a:t>
          </a:r>
        </a:p>
      </xdr:txBody>
    </xdr:sp>
    <xdr:clientData/>
  </xdr:oneCellAnchor>
</xdr:wsDr>
</file>

<file path=xl/drawings/drawing16.xml><?xml version="1.0" encoding="utf-8"?>
<xdr:wsDr xmlns:xdr="http://schemas.openxmlformats.org/drawingml/2006/spreadsheetDrawing" xmlns:a="http://schemas.openxmlformats.org/drawingml/2006/main">
  <xdr:oneCellAnchor>
    <xdr:from>
      <xdr:col>0</xdr:col>
      <xdr:colOff>0</xdr:colOff>
      <xdr:row>74</xdr:row>
      <xdr:rowOff>34290</xdr:rowOff>
    </xdr:from>
    <xdr:ext cx="6991349" cy="18814004"/>
    <xdr:sp macro="" textlink="">
      <xdr:nvSpPr>
        <xdr:cNvPr id="2" name="TekstSylinder 1">
          <a:extLst>
            <a:ext uri="{FF2B5EF4-FFF2-40B4-BE49-F238E27FC236}">
              <a16:creationId xmlns:a16="http://schemas.microsoft.com/office/drawing/2014/main" id="{A79425BF-1AC4-4027-A7EB-F12CE48FC1B1}"/>
            </a:ext>
          </a:extLst>
        </xdr:cNvPr>
        <xdr:cNvSpPr txBox="1"/>
      </xdr:nvSpPr>
      <xdr:spPr>
        <a:xfrm>
          <a:off x="0" y="18836640"/>
          <a:ext cx="6991349" cy="18814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b-NO" sz="1400" b="1"/>
            <a:t>Roller:</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SCRUM-master for denne sprint (Sprint 5 f.o.m andre uke): </a:t>
          </a:r>
          <a:r>
            <a:rPr kumimoji="0" lang="nb-NO" sz="1400" b="0" i="0" u="none" strike="noStrike" kern="0" cap="none" spc="0" normalizeH="0" baseline="0" noProof="0">
              <a:ln>
                <a:noFill/>
              </a:ln>
              <a:solidFill>
                <a:prstClr val="black"/>
              </a:solidFill>
              <a:effectLst/>
              <a:uLnTx/>
              <a:uFillTx/>
              <a:latin typeface="+mn-lt"/>
              <a:ea typeface="+mn-ea"/>
              <a:cs typeface="+mn-cs"/>
            </a:rPr>
            <a:t>Vegard Simonsen</a:t>
          </a:r>
        </a:p>
        <a:p>
          <a:r>
            <a:rPr lang="nb-NO" sz="1400" b="1"/>
            <a:t>Backend</a:t>
          </a:r>
          <a:r>
            <a:rPr lang="nb-NO" sz="1400" b="0"/>
            <a:t>: Martin Mikalsen, Anders Rubach Ese, Adrian-Alexandru Chirita, Vegard Simonsen</a:t>
          </a:r>
        </a:p>
        <a:p>
          <a:r>
            <a:rPr lang="nb-NO" sz="1400" b="1"/>
            <a:t>Frontend</a:t>
          </a:r>
          <a:r>
            <a:rPr lang="nb-NO" sz="1400" b="0"/>
            <a:t>: Joachim Kristensen, Alexander Hansen, Eivind Blom Eriksen</a:t>
          </a:r>
        </a:p>
        <a:p>
          <a:endParaRPr lang="nb-NO" sz="1400" b="1"/>
        </a:p>
        <a:p>
          <a:r>
            <a:rPr lang="nb-NO" sz="1400" b="1"/>
            <a:t>Mandag</a:t>
          </a:r>
          <a:r>
            <a:rPr lang="nb-NO" sz="1400"/>
            <a:t>: </a:t>
          </a:r>
        </a:p>
        <a:p>
          <a:r>
            <a:rPr lang="nb-NO" sz="1400"/>
            <a:t>Her startet vi med Scrum-meeting</a:t>
          </a:r>
          <a:r>
            <a:rPr lang="nb-NO" sz="1400" baseline="0"/>
            <a:t> og diskuterte hva vi skal gjøre denne uka.</a:t>
          </a:r>
        </a:p>
        <a:p>
          <a:r>
            <a:rPr lang="nb-NO" sz="1400" baseline="0"/>
            <a:t>Videre jobbet jeg med en brukermanual for nettstedet. Etter dette la jeg inn sjekk på emnevisningssiden for om bruker er innlogget. Jobbet så videre med brukermanualen og prøvde å få den lett leselig og oversiktelig for bruker. Videre startet jeg med å implementere støtte for at brukere kan be om nytt passord via epost dersom glemt. Dette gikk fint, fikk til å sende nytt passord til brukers epost.</a:t>
          </a:r>
          <a:br>
            <a:rPr lang="nb-NO" sz="1400"/>
          </a:br>
          <a:endParaRPr lang="nb-NO" sz="1400" b="0"/>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Tirsdag</a:t>
          </a:r>
          <a:r>
            <a:rPr kumimoji="0" lang="nb-NO" sz="1400" b="0" i="0" u="none" strike="noStrike" kern="0" cap="none" spc="0" normalizeH="0" baseline="0" noProof="0">
              <a:ln>
                <a:noFill/>
              </a:ln>
              <a:solidFill>
                <a:prstClr val="black"/>
              </a:solidFill>
              <a:effectLst/>
              <a:uLnTx/>
              <a:uFillTx/>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0" i="0" u="none" strike="noStrike" kern="0" cap="none" spc="0" normalizeH="0" baseline="0" noProof="0">
              <a:ln>
                <a:noFill/>
              </a:ln>
              <a:solidFill>
                <a:prstClr val="black"/>
              </a:solidFill>
              <a:effectLst/>
              <a:uLnTx/>
              <a:uFillTx/>
              <a:latin typeface="+mn-lt"/>
              <a:ea typeface="+mn-ea"/>
              <a:cs typeface="+mn-cs"/>
            </a:rPr>
            <a:t>Her fullførte jeg og testet funksjonalitet for glemt passord og knapp med redirigering til nettstedets innloggings-side. Videre opprettet jeg et script som tar i bruk SMTP-protokollen for sending av eposter til epost-kontoer ved hjelp av Gmail. Dette gikk fint, brukte PHPMailer-biblioteket for dette. Videre endret jeg utseendet på eposten bruker mottar slik at det ser pent og profesjonelt ut. Fikset det slik at funksjonen kan ta i mot egendefinert tekst som legges inn i HTML-scriptet som sendes i eposten. Etter dette opprettet jeg en knapp i eposten som sendes som om ønskelig redigeres med ønskelig tekst og link. </a:t>
          </a:r>
        </a:p>
        <a:p>
          <a:endParaRPr lang="nb-NO" sz="1400" b="1"/>
        </a:p>
        <a:p>
          <a:r>
            <a:rPr lang="nb-NO" sz="1400" b="1"/>
            <a:t>Onsdag</a:t>
          </a:r>
          <a:r>
            <a:rPr lang="nb-NO" sz="1400"/>
            <a:t>: </a:t>
          </a:r>
        </a:p>
        <a:p>
          <a:r>
            <a:rPr lang="nb-NO" sz="1400"/>
            <a:t>Her opprettet jeg et PHP</a:t>
          </a:r>
          <a:r>
            <a:rPr lang="nb-NO" sz="1400" baseline="0"/>
            <a:t> script som genererer en tilfeldig nøkkel for passordet og link for verifikasjon av brukerkonto sendes til brukers epost. Ved klikk på linken verifiseres kontoen i databasen og bruker kan logge inn.</a:t>
          </a:r>
        </a:p>
        <a:p>
          <a:r>
            <a:rPr lang="nb-NO" sz="1400" baseline="0"/>
            <a:t>Videre testet jeg epostverifikasjonen og forbedret noe funksjoner i spørringsklassen og fikset noe bugs.</a:t>
          </a:r>
          <a:endParaRPr lang="nb-NO" sz="1400"/>
        </a:p>
        <a:p>
          <a:endParaRPr lang="nb-NO" sz="1400" b="1"/>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Torsdag</a:t>
          </a:r>
          <a:r>
            <a:rPr kumimoji="0" lang="nb-NO" sz="1400" b="0" i="0" u="none" strike="noStrike" kern="0" cap="none" spc="0" normalizeH="0" baseline="0" noProof="0">
              <a:ln>
                <a:noFill/>
              </a:ln>
              <a:solidFill>
                <a:prstClr val="black"/>
              </a:solidFill>
              <a:effectLst/>
              <a:uLnTx/>
              <a:uFillTx/>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0" i="0" u="none" strike="noStrike" kern="0" cap="none" spc="0" normalizeH="0" baseline="0" noProof="0">
              <a:ln>
                <a:noFill/>
              </a:ln>
              <a:solidFill>
                <a:prstClr val="black"/>
              </a:solidFill>
              <a:effectLst/>
              <a:uLnTx/>
              <a:uFillTx/>
              <a:latin typeface="+mn-lt"/>
              <a:ea typeface="+mn-ea"/>
              <a:cs typeface="+mn-cs"/>
            </a:rPr>
            <a:t>Her utviklet jeg et PHP script som endrer godkjenningsstatus på et emne ved hjelp av headere i URL-en som bruker med rettigheter redirigeres til. Fikset videre noe småfeil i spørrings-klassen.</a:t>
          </a:r>
        </a:p>
        <a:p>
          <a:endParaRPr lang="nb-NO" sz="1400" b="1"/>
        </a:p>
        <a:p>
          <a:r>
            <a:rPr lang="nb-NO" sz="1400" b="1"/>
            <a:t>Fredag: </a:t>
          </a:r>
        </a:p>
        <a:p>
          <a:r>
            <a:rPr lang="nb-NO" sz="1400" b="0"/>
            <a:t>Her</a:t>
          </a:r>
          <a:r>
            <a:rPr lang="nb-NO" sz="1400" b="0" baseline="0"/>
            <a:t> hadde vi Scrum-Meeting og vi gikk sammen og merget en god del kode fra foskjellige brancher i Git.</a:t>
          </a:r>
          <a:endParaRPr lang="nb-NO" sz="1400" b="0"/>
        </a:p>
        <a:p>
          <a:pPr marL="0" marR="0" lvl="0" indent="0" defTabSz="914400" eaLnBrk="1" fontAlgn="auto" latinLnBrk="0" hangingPunct="1">
            <a:lnSpc>
              <a:spcPct val="100000"/>
            </a:lnSpc>
            <a:spcBef>
              <a:spcPts val="0"/>
            </a:spcBef>
            <a:spcAft>
              <a:spcPts val="0"/>
            </a:spcAft>
            <a:buClrTx/>
            <a:buSzTx/>
            <a:buFontTx/>
            <a:buNone/>
            <a:tabLst/>
            <a:defRPr/>
          </a:pPr>
          <a:endParaRPr lang="nb-NO" sz="1100" b="1">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nb-NO" sz="1400" b="1">
              <a:solidFill>
                <a:schemeClr val="tx1"/>
              </a:solidFill>
              <a:effectLst/>
              <a:latin typeface="+mn-lt"/>
              <a:ea typeface="+mn-ea"/>
              <a:cs typeface="+mn-cs"/>
            </a:rPr>
            <a:t>Lørdag:</a:t>
          </a:r>
        </a:p>
        <a:p>
          <a:pPr marL="0" marR="0" lvl="0" indent="0" defTabSz="914400" eaLnBrk="1" fontAlgn="auto" latinLnBrk="0" hangingPunct="1">
            <a:lnSpc>
              <a:spcPct val="100000"/>
            </a:lnSpc>
            <a:spcBef>
              <a:spcPts val="0"/>
            </a:spcBef>
            <a:spcAft>
              <a:spcPts val="0"/>
            </a:spcAft>
            <a:buClrTx/>
            <a:buSzTx/>
            <a:buFontTx/>
            <a:buNone/>
            <a:tabLst/>
            <a:defRPr/>
          </a:pPr>
          <a:r>
            <a:rPr lang="nb-NO" sz="1400" b="0">
              <a:solidFill>
                <a:schemeClr val="tx1"/>
              </a:solidFill>
              <a:effectLst/>
              <a:latin typeface="+mn-lt"/>
              <a:ea typeface="+mn-ea"/>
              <a:cs typeface="+mn-cs"/>
            </a:rPr>
            <a:t>Jobbet</a:t>
          </a:r>
          <a:r>
            <a:rPr lang="nb-NO" sz="1400" b="0" baseline="0">
              <a:solidFill>
                <a:schemeClr val="tx1"/>
              </a:solidFill>
              <a:effectLst/>
              <a:latin typeface="+mn-lt"/>
              <a:ea typeface="+mn-ea"/>
              <a:cs typeface="+mn-cs"/>
            </a:rPr>
            <a:t> med Adrian med sending av array til backend ved hjelp av json-dekoding og assosierende arrays i PHP</a:t>
          </a:r>
          <a:endParaRPr lang="nb-NO" sz="1400" b="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nb-NO" sz="1400" b="1"/>
        </a:p>
        <a:p>
          <a:r>
            <a:rPr lang="nb-NO" sz="1400" b="1"/>
            <a:t>Søndag: </a:t>
          </a:r>
        </a:p>
        <a:p>
          <a:r>
            <a:rPr lang="nb-NO" sz="1400" b="0"/>
            <a:t>Her merget</a:t>
          </a:r>
          <a:r>
            <a:rPr lang="nb-NO" sz="1400" b="0" baseline="0"/>
            <a:t> og forbedret noe kode med Eivind og hans epost-sending script.</a:t>
          </a:r>
        </a:p>
        <a:p>
          <a:r>
            <a:rPr lang="nb-NO" sz="1400" b="0" baseline="0"/>
            <a:t>Implementerte sjekk av brukertype der det manglet i administerende side.</a:t>
          </a:r>
        </a:p>
        <a:p>
          <a:r>
            <a:rPr lang="nb-NO" sz="1400" b="0" baseline="0"/>
            <a:t>Videreutviklet epostklienten slik at den nå kan ta imot både en String og et array. Det gjøre den n-antall raskere når flere eposter sendes ved at adresser legges til i 'To' headeren i SMTP-protokollen slik at vi slipper å åpne/lukke gmail-klientens servertilkobling for sending av flere eposter</a:t>
          </a:r>
        </a:p>
        <a:p>
          <a:endParaRPr lang="nb-NO" sz="1400" b="0" baseline="0"/>
        </a:p>
        <a:p>
          <a:r>
            <a:rPr lang="nb-NO" sz="1400" b="0"/>
            <a:t>Videre jobbet vi i gruppa</a:t>
          </a:r>
          <a:r>
            <a:rPr lang="nb-NO" sz="1400" b="0" baseline="0"/>
            <a:t> sammen med innleveringen som skal inn i kveld samtidig som vi så over nettstedet for å påse at det ser bra ut.</a:t>
          </a:r>
          <a:endParaRPr lang="nb-NO" sz="1400" b="0"/>
        </a:p>
      </xdr:txBody>
    </xdr:sp>
    <xdr:clientData/>
  </xdr:oneCellAnchor>
</xdr:wsDr>
</file>

<file path=xl/drawings/drawing17.xml><?xml version="1.0" encoding="utf-8"?>
<xdr:wsDr xmlns:xdr="http://schemas.openxmlformats.org/drawingml/2006/spreadsheetDrawing" xmlns:a="http://schemas.openxmlformats.org/drawingml/2006/main">
  <xdr:oneCellAnchor>
    <xdr:from>
      <xdr:col>0</xdr:col>
      <xdr:colOff>0</xdr:colOff>
      <xdr:row>30</xdr:row>
      <xdr:rowOff>34290</xdr:rowOff>
    </xdr:from>
    <xdr:ext cx="6991349" cy="18814004"/>
    <xdr:sp macro="" textlink="">
      <xdr:nvSpPr>
        <xdr:cNvPr id="2" name="TekstSylinder 1">
          <a:extLst>
            <a:ext uri="{FF2B5EF4-FFF2-40B4-BE49-F238E27FC236}">
              <a16:creationId xmlns:a16="http://schemas.microsoft.com/office/drawing/2014/main" id="{8E1BF973-B7E4-453D-B3D7-10DE4166286E}"/>
            </a:ext>
          </a:extLst>
        </xdr:cNvPr>
        <xdr:cNvSpPr txBox="1"/>
      </xdr:nvSpPr>
      <xdr:spPr>
        <a:xfrm>
          <a:off x="0" y="23189565"/>
          <a:ext cx="6991349" cy="18814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b-NO" sz="1400" b="1"/>
            <a:t>Roller:</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SCRUM-master for Sprint 5 (f.o.m andre uke): </a:t>
          </a:r>
          <a:r>
            <a:rPr kumimoji="0" lang="nb-NO" sz="1400" b="0" i="0" u="none" strike="noStrike" kern="0" cap="none" spc="0" normalizeH="0" baseline="0" noProof="0">
              <a:ln>
                <a:noFill/>
              </a:ln>
              <a:solidFill>
                <a:prstClr val="black"/>
              </a:solidFill>
              <a:effectLst/>
              <a:uLnTx/>
              <a:uFillTx/>
              <a:latin typeface="+mn-lt"/>
              <a:ea typeface="+mn-ea"/>
              <a:cs typeface="+mn-cs"/>
            </a:rPr>
            <a:t>Vegard Simonsen</a:t>
          </a:r>
        </a:p>
        <a:p>
          <a:r>
            <a:rPr lang="nb-NO" sz="1400" b="1"/>
            <a:t>Backend</a:t>
          </a:r>
          <a:r>
            <a:rPr lang="nb-NO" sz="1400" b="0"/>
            <a:t>: Martin Mikalsen, Anders Rubach Ese, Adrian-Alexandru Chirita, Vegard Simonsen</a:t>
          </a:r>
        </a:p>
        <a:p>
          <a:r>
            <a:rPr lang="nb-NO" sz="1400" b="1"/>
            <a:t>Frontend</a:t>
          </a:r>
          <a:r>
            <a:rPr lang="nb-NO" sz="1400" b="0"/>
            <a:t>: Joachim Kristensen, Alexander Hansen, Eivind Blom Eriksen</a:t>
          </a:r>
        </a:p>
        <a:p>
          <a:endParaRPr lang="nb-NO" sz="1400" b="1"/>
        </a:p>
        <a:p>
          <a:r>
            <a:rPr lang="nb-NO" sz="1400" b="1"/>
            <a:t>Mandag</a:t>
          </a:r>
          <a:r>
            <a:rPr lang="nb-NO" sz="1400"/>
            <a:t>: </a:t>
          </a:r>
        </a:p>
        <a:p>
          <a:r>
            <a:rPr lang="nb-NO" sz="1400"/>
            <a:t>Rettet</a:t>
          </a:r>
          <a:r>
            <a:rPr lang="nb-NO" sz="1400" baseline="0"/>
            <a:t> opp en feil i innleveringen rett etter jeg leverte første versjon</a:t>
          </a:r>
          <a:endParaRPr lang="nb-NO" sz="1400"/>
        </a:p>
        <a:p>
          <a:pPr marL="0" marR="0" lvl="0" indent="0" defTabSz="914400" eaLnBrk="1" fontAlgn="auto" latinLnBrk="0" hangingPunct="1">
            <a:lnSpc>
              <a:spcPct val="100000"/>
            </a:lnSpc>
            <a:spcBef>
              <a:spcPts val="0"/>
            </a:spcBef>
            <a:spcAft>
              <a:spcPts val="0"/>
            </a:spcAft>
            <a:buClrTx/>
            <a:buSzTx/>
            <a:buFontTx/>
            <a:buNone/>
            <a:tabLst/>
            <a:defRPr/>
          </a:pPr>
          <a:endParaRPr kumimoji="0" lang="nb-NO" sz="1400" b="1"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Tirsdag</a:t>
          </a:r>
          <a:r>
            <a:rPr kumimoji="0" lang="nb-NO" sz="1400" b="0" i="0" u="none" strike="noStrike" kern="0" cap="none" spc="0" normalizeH="0" baseline="0" noProof="0">
              <a:ln>
                <a:noFill/>
              </a:ln>
              <a:solidFill>
                <a:prstClr val="black"/>
              </a:solidFill>
              <a:effectLst/>
              <a:uLnTx/>
              <a:uFillTx/>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0" i="0" u="none" strike="noStrike" kern="0" cap="none" spc="0" normalizeH="0" baseline="0" noProof="0">
              <a:ln>
                <a:noFill/>
              </a:ln>
              <a:solidFill>
                <a:prstClr val="black"/>
              </a:solidFill>
              <a:effectLst/>
              <a:uLnTx/>
              <a:uFillTx/>
              <a:latin typeface="+mn-lt"/>
              <a:ea typeface="+mn-ea"/>
              <a:cs typeface="+mn-cs"/>
            </a:rPr>
            <a:t>Her hadde vi Scrum-Meeting hvor vi gikk gjennom hva vi skulle vise fram til Sprint-Review i dag klokken 14:00. Vi diskuterte hva hver av oss skulle si og forberedte oss til møte på Teams. Videre diskuterte jeg med enkelte i gruppen hvordan vi skal gjøre det med presentasjonen til neste uke.</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0" i="0" u="none" strike="noStrike" kern="0" cap="none" spc="0" normalizeH="0" baseline="0" noProof="0">
              <a:ln>
                <a:noFill/>
              </a:ln>
              <a:solidFill>
                <a:prstClr val="black"/>
              </a:solidFill>
              <a:effectLst/>
              <a:uLnTx/>
              <a:uFillTx/>
              <a:latin typeface="+mn-lt"/>
              <a:ea typeface="+mn-ea"/>
              <a:cs typeface="+mn-cs"/>
            </a:rPr>
            <a:t>Etter det ferdigstillte jeg innleveringen som skulle inn i kveld</a:t>
          </a:r>
        </a:p>
        <a:p>
          <a:endParaRPr lang="nb-NO" sz="1400" b="1"/>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Torsdag</a:t>
          </a:r>
          <a:r>
            <a:rPr kumimoji="0" lang="nb-NO" sz="1400" b="0" i="0" u="none" strike="noStrike" kern="0" cap="none" spc="0" normalizeH="0" baseline="0" noProof="0">
              <a:ln>
                <a:noFill/>
              </a:ln>
              <a:solidFill>
                <a:prstClr val="black"/>
              </a:solidFill>
              <a:effectLst/>
              <a:uLnTx/>
              <a:uFillTx/>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0" i="0" u="none" strike="noStrike" kern="0" cap="none" spc="0" normalizeH="0" baseline="0" noProof="0">
              <a:ln>
                <a:noFill/>
              </a:ln>
              <a:solidFill>
                <a:prstClr val="black"/>
              </a:solidFill>
              <a:effectLst/>
              <a:uLnTx/>
              <a:uFillTx/>
              <a:latin typeface="+mn-lt"/>
              <a:ea typeface="+mn-ea"/>
              <a:cs typeface="+mn-cs"/>
            </a:rPr>
            <a:t>Her så jeg over prosjektet og rettet blant annet opp en feil i database-klassen. Videre diskuterte jeg med et par andre i gruppa om hva vi tenker å gjøre innen presentasjonen til neste uke.</a:t>
          </a:r>
        </a:p>
        <a:p>
          <a:pPr marL="0" marR="0" lvl="0" indent="0" defTabSz="914400" eaLnBrk="1" fontAlgn="auto" latinLnBrk="0" hangingPunct="1">
            <a:lnSpc>
              <a:spcPct val="100000"/>
            </a:lnSpc>
            <a:spcBef>
              <a:spcPts val="0"/>
            </a:spcBef>
            <a:spcAft>
              <a:spcPts val="0"/>
            </a:spcAft>
            <a:buClrTx/>
            <a:buSzTx/>
            <a:buFontTx/>
            <a:buNone/>
            <a:tabLst/>
            <a:defRPr/>
          </a:pPr>
          <a:endParaRPr lang="nb-NO" sz="1400" b="1"/>
        </a:p>
        <a:p>
          <a:r>
            <a:rPr lang="nb-NO" sz="1400" b="1"/>
            <a:t>Søndag: </a:t>
          </a:r>
        </a:p>
        <a:p>
          <a:r>
            <a:rPr lang="nb-NO" sz="1400" b="0"/>
            <a:t>Her</a:t>
          </a:r>
          <a:r>
            <a:rPr lang="nb-NO" sz="1400" b="0" baseline="0"/>
            <a:t> gikk jeg og enkelte andre i gruppa sammen og diskuterte presentasjonen som vi skal ha førstkommende uke. Vi gikk over hvordan vi tenker å gjøre den.</a:t>
          </a:r>
        </a:p>
        <a:p>
          <a:r>
            <a:rPr lang="nb-NO" sz="1400" b="0" baseline="0"/>
            <a:t>Videre gikk jeg og Alexander sammen og fikset noe småtteri på brukerprofil-siden hvor brukeren har mulighet til å endre sin profil (epost, navn og nytt passord). Jeg la også til en såkalt 'favicon' (ikonet i nettleser-fanen) til nettstedet som jeg laget fra UiT-logoen.</a:t>
          </a:r>
        </a:p>
        <a:p>
          <a:endParaRPr lang="nb-NO" sz="1400" b="0" baseline="0"/>
        </a:p>
        <a:p>
          <a:r>
            <a:rPr lang="nb-NO" sz="1400" b="1" baseline="0"/>
            <a:t>Ellers:</a:t>
          </a:r>
        </a:p>
        <a:p>
          <a:r>
            <a:rPr lang="nb-NO" sz="1400" b="0" baseline="0"/>
            <a:t>Har ikke fått jobbet så mye denne uken, har blant annet nylig fått utlevert et større prosjekt i faget Programmering for mobil (Android) som har tatt en del av tiden min. Ellers synes jeg det har gått fint.</a:t>
          </a:r>
          <a:endParaRPr lang="nb-NO" sz="1400" b="0"/>
        </a:p>
      </xdr:txBody>
    </xdr:sp>
    <xdr:clientData/>
  </xdr:oneCellAnchor>
</xdr:wsDr>
</file>

<file path=xl/drawings/drawing18.xml><?xml version="1.0" encoding="utf-8"?>
<xdr:wsDr xmlns:xdr="http://schemas.openxmlformats.org/drawingml/2006/spreadsheetDrawing" xmlns:a="http://schemas.openxmlformats.org/drawingml/2006/main">
  <xdr:oneCellAnchor>
    <xdr:from>
      <xdr:col>0</xdr:col>
      <xdr:colOff>0</xdr:colOff>
      <xdr:row>74</xdr:row>
      <xdr:rowOff>34290</xdr:rowOff>
    </xdr:from>
    <xdr:ext cx="6991349" cy="18814004"/>
    <xdr:sp macro="" textlink="">
      <xdr:nvSpPr>
        <xdr:cNvPr id="2" name="TekstSylinder 1">
          <a:extLst>
            <a:ext uri="{FF2B5EF4-FFF2-40B4-BE49-F238E27FC236}">
              <a16:creationId xmlns:a16="http://schemas.microsoft.com/office/drawing/2014/main" id="{F8CD4D84-DD97-4BC8-99D8-96DCE618C680}"/>
            </a:ext>
          </a:extLst>
        </xdr:cNvPr>
        <xdr:cNvSpPr txBox="1"/>
      </xdr:nvSpPr>
      <xdr:spPr>
        <a:xfrm>
          <a:off x="0" y="15560040"/>
          <a:ext cx="6991349" cy="18814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b-NO" sz="1400" b="1"/>
            <a:t>Roller:</a:t>
          </a: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SCRUM-master for Sprint 5 (f.o.m andre uke): </a:t>
          </a:r>
          <a:r>
            <a:rPr kumimoji="0" lang="nb-NO" sz="1400" b="0" i="0" u="none" strike="noStrike" kern="0" cap="none" spc="0" normalizeH="0" baseline="0" noProof="0">
              <a:ln>
                <a:noFill/>
              </a:ln>
              <a:solidFill>
                <a:prstClr val="black"/>
              </a:solidFill>
              <a:effectLst/>
              <a:uLnTx/>
              <a:uFillTx/>
              <a:latin typeface="+mn-lt"/>
              <a:ea typeface="+mn-ea"/>
              <a:cs typeface="+mn-cs"/>
            </a:rPr>
            <a:t>Vegard Simonsen</a:t>
          </a:r>
        </a:p>
        <a:p>
          <a:r>
            <a:rPr lang="nb-NO" sz="1400" b="1"/>
            <a:t>Backend</a:t>
          </a:r>
          <a:r>
            <a:rPr lang="nb-NO" sz="1400" b="0"/>
            <a:t>: Martin Mikalsen, Anders Rubach Ese, Adrian-Alexandru Chirita, Vegard Simonsen</a:t>
          </a:r>
        </a:p>
        <a:p>
          <a:r>
            <a:rPr lang="nb-NO" sz="1400" b="1"/>
            <a:t>Frontend</a:t>
          </a:r>
          <a:r>
            <a:rPr lang="nb-NO" sz="1400" b="0"/>
            <a:t>: Joachim Kristensen, Alexander Hansen, Eivind Blom Eriksen</a:t>
          </a:r>
        </a:p>
        <a:p>
          <a:endParaRPr lang="nb-NO" sz="1400" b="1"/>
        </a:p>
        <a:p>
          <a:r>
            <a:rPr lang="nb-NO" sz="1400" b="1"/>
            <a:t>Mandag</a:t>
          </a:r>
          <a:r>
            <a:rPr lang="nb-NO" sz="1400"/>
            <a:t>: </a:t>
          </a:r>
        </a:p>
        <a:p>
          <a:pPr marL="0" marR="0" lvl="0" indent="0" defTabSz="914400" eaLnBrk="1" fontAlgn="auto" latinLnBrk="0" hangingPunct="1">
            <a:lnSpc>
              <a:spcPct val="100000"/>
            </a:lnSpc>
            <a:spcBef>
              <a:spcPts val="0"/>
            </a:spcBef>
            <a:spcAft>
              <a:spcPts val="0"/>
            </a:spcAft>
            <a:buClrTx/>
            <a:buSzTx/>
            <a:buFontTx/>
            <a:buNone/>
            <a:tabLst/>
            <a:defRPr/>
          </a:pPr>
          <a:endParaRPr kumimoji="0" lang="nb-NO" sz="1400" b="1"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Tirsdag</a:t>
          </a:r>
          <a:r>
            <a:rPr kumimoji="0" lang="nb-NO" sz="1400" b="0" i="0" u="none" strike="noStrike" kern="0" cap="none" spc="0" normalizeH="0" baseline="0" noProof="0">
              <a:ln>
                <a:noFill/>
              </a:ln>
              <a:solidFill>
                <a:prstClr val="black"/>
              </a:solidFill>
              <a:effectLst/>
              <a:uLnTx/>
              <a:uFillTx/>
              <a:latin typeface="+mn-lt"/>
              <a:ea typeface="+mn-ea"/>
              <a:cs typeface="+mn-cs"/>
            </a:rPr>
            <a:t>: </a:t>
          </a:r>
        </a:p>
        <a:p>
          <a:endParaRPr lang="nb-NO" sz="1400" b="1"/>
        </a:p>
        <a:p>
          <a:r>
            <a:rPr lang="nb-NO" sz="1400" b="1"/>
            <a:t>Onsdag</a:t>
          </a:r>
          <a:r>
            <a:rPr lang="nb-NO" sz="1400"/>
            <a:t>: </a:t>
          </a:r>
        </a:p>
        <a:p>
          <a:endParaRPr lang="nb-NO" sz="1400" b="1"/>
        </a:p>
        <a:p>
          <a:pPr marL="0" marR="0" lvl="0" indent="0" defTabSz="914400" eaLnBrk="1" fontAlgn="auto" latinLnBrk="0" hangingPunct="1">
            <a:lnSpc>
              <a:spcPct val="100000"/>
            </a:lnSpc>
            <a:spcBef>
              <a:spcPts val="0"/>
            </a:spcBef>
            <a:spcAft>
              <a:spcPts val="0"/>
            </a:spcAft>
            <a:buClrTx/>
            <a:buSzTx/>
            <a:buFontTx/>
            <a:buNone/>
            <a:tabLst/>
            <a:defRPr/>
          </a:pPr>
          <a:r>
            <a:rPr kumimoji="0" lang="nb-NO" sz="1400" b="1" i="0" u="none" strike="noStrike" kern="0" cap="none" spc="0" normalizeH="0" baseline="0" noProof="0">
              <a:ln>
                <a:noFill/>
              </a:ln>
              <a:solidFill>
                <a:prstClr val="black"/>
              </a:solidFill>
              <a:effectLst/>
              <a:uLnTx/>
              <a:uFillTx/>
              <a:latin typeface="+mn-lt"/>
              <a:ea typeface="+mn-ea"/>
              <a:cs typeface="+mn-cs"/>
            </a:rPr>
            <a:t>Torsdag</a:t>
          </a:r>
          <a:r>
            <a:rPr kumimoji="0" lang="nb-NO" sz="1400" b="0" i="0" u="none" strike="noStrike" kern="0" cap="none" spc="0" normalizeH="0" baseline="0" noProof="0">
              <a:ln>
                <a:noFill/>
              </a:ln>
              <a:solidFill>
                <a:prstClr val="black"/>
              </a:solidFill>
              <a:effectLst/>
              <a:uLnTx/>
              <a:uFillTx/>
              <a:latin typeface="+mn-lt"/>
              <a:ea typeface="+mn-ea"/>
              <a:cs typeface="+mn-cs"/>
            </a:rPr>
            <a:t>: </a:t>
          </a:r>
        </a:p>
        <a:p>
          <a:endParaRPr lang="nb-NO" sz="1400" b="1"/>
        </a:p>
        <a:p>
          <a:r>
            <a:rPr lang="nb-NO" sz="1400" b="1"/>
            <a:t>Fredag: </a:t>
          </a:r>
        </a:p>
        <a:p>
          <a:pPr marL="0" marR="0" lvl="0" indent="0" defTabSz="914400" eaLnBrk="1" fontAlgn="auto" latinLnBrk="0" hangingPunct="1">
            <a:lnSpc>
              <a:spcPct val="100000"/>
            </a:lnSpc>
            <a:spcBef>
              <a:spcPts val="0"/>
            </a:spcBef>
            <a:spcAft>
              <a:spcPts val="0"/>
            </a:spcAft>
            <a:buClrTx/>
            <a:buSzTx/>
            <a:buFontTx/>
            <a:buNone/>
            <a:tabLst/>
            <a:defRPr/>
          </a:pPr>
          <a:endParaRPr lang="nb-NO" sz="1100" b="1">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nb-NO" sz="1400" b="1">
              <a:solidFill>
                <a:schemeClr val="tx1"/>
              </a:solidFill>
              <a:effectLst/>
              <a:latin typeface="+mn-lt"/>
              <a:ea typeface="+mn-ea"/>
              <a:cs typeface="+mn-cs"/>
            </a:rPr>
            <a:t>Lørdag:</a:t>
          </a:r>
        </a:p>
        <a:p>
          <a:pPr marL="0" marR="0" lvl="0" indent="0" defTabSz="914400" eaLnBrk="1" fontAlgn="auto" latinLnBrk="0" hangingPunct="1">
            <a:lnSpc>
              <a:spcPct val="100000"/>
            </a:lnSpc>
            <a:spcBef>
              <a:spcPts val="0"/>
            </a:spcBef>
            <a:spcAft>
              <a:spcPts val="0"/>
            </a:spcAft>
            <a:buClrTx/>
            <a:buSzTx/>
            <a:buFontTx/>
            <a:buNone/>
            <a:tabLst/>
            <a:defRPr/>
          </a:pPr>
          <a:endParaRPr lang="nb-NO" sz="1400" b="1"/>
        </a:p>
        <a:p>
          <a:r>
            <a:rPr lang="nb-NO" sz="1400" b="1"/>
            <a:t>Søndag: </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B8D5C-F80C-45B2-8793-D61BC5C202ED}">
  <sheetPr codeName="Sheet2"/>
  <dimension ref="A6"/>
  <sheetViews>
    <sheetView workbookViewId="0">
      <selection activeCell="B6" sqref="B6"/>
    </sheetView>
  </sheetViews>
  <sheetFormatPr baseColWidth="10" defaultColWidth="9" defaultRowHeight="12.75" x14ac:dyDescent="0.2"/>
  <sheetData>
    <row r="6" spans="1:1" x14ac:dyDescent="0.2">
      <c r="A6" s="21">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6796F-B119-488D-A12F-AEAFC77733A2}">
  <sheetPr codeName="Sheet8"/>
  <dimension ref="A1:K36"/>
  <sheetViews>
    <sheetView showGridLines="0" zoomScaleNormal="100" workbookViewId="0">
      <selection activeCell="E16" sqref="E16:E17"/>
    </sheetView>
  </sheetViews>
  <sheetFormatPr baseColWidth="10" defaultColWidth="9" defaultRowHeight="12.75" x14ac:dyDescent="0.2"/>
  <cols>
    <col min="1" max="1" width="13.5" bestFit="1" customWidth="1"/>
    <col min="2" max="2" width="14.25" customWidth="1"/>
    <col min="3" max="3" width="13.125" bestFit="1" customWidth="1"/>
    <col min="4" max="4" width="11.62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x14ac:dyDescent="0.4">
      <c r="A1" s="301" t="s">
        <v>0</v>
      </c>
      <c r="B1" s="301"/>
      <c r="C1" s="301"/>
      <c r="D1" s="301"/>
      <c r="E1" s="55">
        <f>WEEKNUM(A10)</f>
        <v>0</v>
      </c>
      <c r="F1" s="56"/>
      <c r="G1" s="57"/>
      <c r="H1" s="26"/>
      <c r="J1" s="1"/>
    </row>
    <row r="2" spans="1:10" s="1" customFormat="1" ht="14.25" customHeight="1" x14ac:dyDescent="0.25">
      <c r="A2" s="49" t="s">
        <v>1</v>
      </c>
      <c r="B2" s="49"/>
      <c r="C2" s="49" t="s">
        <v>2</v>
      </c>
      <c r="D2" s="49"/>
      <c r="E2" s="54" t="s">
        <v>3</v>
      </c>
      <c r="F2" s="54" t="s">
        <v>4</v>
      </c>
      <c r="G2" s="54" t="s">
        <v>5</v>
      </c>
      <c r="H2" s="20"/>
      <c r="I2" s="13"/>
      <c r="J2" s="6"/>
    </row>
    <row r="3" spans="1:10" ht="16.5" thickBot="1" x14ac:dyDescent="0.25">
      <c r="A3" s="53">
        <f>A10</f>
        <v>0</v>
      </c>
      <c r="B3" s="188"/>
      <c r="C3" s="53">
        <f>A19</f>
        <v>0</v>
      </c>
      <c r="D3" s="188"/>
      <c r="E3" s="42" t="s">
        <v>6</v>
      </c>
      <c r="F3" s="46">
        <f>Sumcolor(E3,D10:D19)</f>
        <v>0</v>
      </c>
      <c r="G3" s="47">
        <f>SUM(Først:Sist!F3)</f>
        <v>1.0381944444444446</v>
      </c>
      <c r="H3" s="22"/>
      <c r="I3" s="7"/>
      <c r="J3" s="7"/>
    </row>
    <row r="4" spans="1:10" ht="15" customHeight="1" x14ac:dyDescent="0.2">
      <c r="A4" s="293" t="s">
        <v>7</v>
      </c>
      <c r="B4" s="293"/>
      <c r="C4" s="302" t="s">
        <v>8</v>
      </c>
      <c r="D4" s="302"/>
      <c r="E4" s="43" t="s">
        <v>9</v>
      </c>
      <c r="F4" s="46">
        <f>Sumcolor(E4,D10:D19)</f>
        <v>0</v>
      </c>
      <c r="G4" s="47">
        <f>SUM(Først:Sist!F4)</f>
        <v>8.03125</v>
      </c>
      <c r="H4" s="22"/>
      <c r="I4" s="7"/>
      <c r="J4" s="291"/>
    </row>
    <row r="5" spans="1:10" ht="15.75" x14ac:dyDescent="0.2">
      <c r="A5" s="302"/>
      <c r="B5" s="302"/>
      <c r="C5" s="302"/>
      <c r="D5" s="302"/>
      <c r="E5" s="44" t="s">
        <v>10</v>
      </c>
      <c r="F5" s="46">
        <f>Sumcolor(E5,D10:D19)</f>
        <v>0</v>
      </c>
      <c r="G5" s="47">
        <f>SUM(Først:Sist!F5)</f>
        <v>1.8090277777777768</v>
      </c>
      <c r="H5" s="22"/>
      <c r="I5" s="7"/>
      <c r="J5" s="291"/>
    </row>
    <row r="6" spans="1:10" ht="18.75" customHeight="1" thickBot="1" x14ac:dyDescent="0.25">
      <c r="A6" s="50">
        <f>SUM(D10:D19)</f>
        <v>0</v>
      </c>
      <c r="B6" s="51"/>
      <c r="C6" s="82">
        <f>SUM(Først:Sist!A6)</f>
        <v>12.965277777777779</v>
      </c>
      <c r="D6" s="52"/>
      <c r="E6" s="45" t="s">
        <v>11</v>
      </c>
      <c r="F6" s="48">
        <f>Sumcolor(E6,D10:D19)</f>
        <v>0</v>
      </c>
      <c r="G6" s="48">
        <f>SUM(Først:Sist!F6)</f>
        <v>1.9895833333333335</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5.75" x14ac:dyDescent="0.25">
      <c r="A9" s="41" t="s">
        <v>12</v>
      </c>
      <c r="B9" s="41" t="s">
        <v>13</v>
      </c>
      <c r="C9" s="41" t="s">
        <v>14</v>
      </c>
      <c r="D9" s="41" t="s">
        <v>15</v>
      </c>
      <c r="E9" s="41" t="s">
        <v>16</v>
      </c>
      <c r="F9" s="68" t="s">
        <v>17</v>
      </c>
      <c r="H9" s="25"/>
    </row>
    <row r="10" spans="1:10" ht="15.75" x14ac:dyDescent="0.25">
      <c r="A10" s="33"/>
      <c r="B10" s="34"/>
      <c r="C10" s="34"/>
      <c r="D10" s="58">
        <f t="shared" ref="D10" si="0">(C10-B10)</f>
        <v>0</v>
      </c>
      <c r="E10" s="303"/>
      <c r="F10" s="65"/>
      <c r="H10" s="25"/>
    </row>
    <row r="11" spans="1:10" ht="15.75" x14ac:dyDescent="0.25">
      <c r="A11" s="35"/>
      <c r="B11" s="36"/>
      <c r="C11" s="36"/>
      <c r="D11" s="59"/>
      <c r="E11" s="304"/>
      <c r="F11" s="66"/>
      <c r="H11" s="25"/>
    </row>
    <row r="12" spans="1:10" ht="15.75" x14ac:dyDescent="0.25">
      <c r="A12" s="63"/>
      <c r="B12" s="64"/>
      <c r="C12" s="64"/>
      <c r="D12" s="60">
        <f>(C12-B12)</f>
        <v>0</v>
      </c>
      <c r="E12" s="305"/>
      <c r="F12" s="66"/>
    </row>
    <row r="13" spans="1:10" ht="15.75" x14ac:dyDescent="0.25">
      <c r="A13" s="37"/>
      <c r="B13" s="38"/>
      <c r="C13" s="38"/>
      <c r="D13" s="60"/>
      <c r="E13" s="305"/>
      <c r="F13" s="66"/>
    </row>
    <row r="14" spans="1:10" ht="15.75" x14ac:dyDescent="0.25">
      <c r="A14" s="31"/>
      <c r="B14" s="32"/>
      <c r="C14" s="32"/>
      <c r="D14" s="60">
        <f>(C14-B14)</f>
        <v>0</v>
      </c>
      <c r="E14" s="306"/>
      <c r="F14" s="66"/>
    </row>
    <row r="15" spans="1:10" ht="15.75" x14ac:dyDescent="0.25">
      <c r="A15" s="35"/>
      <c r="B15" s="36"/>
      <c r="C15" s="36"/>
      <c r="D15" s="60"/>
      <c r="E15" s="306"/>
      <c r="F15" s="66"/>
    </row>
    <row r="16" spans="1:10" ht="15.75" x14ac:dyDescent="0.25">
      <c r="A16" s="63"/>
      <c r="B16" s="64"/>
      <c r="C16" s="64"/>
      <c r="D16" s="61">
        <f>(C16-B16)</f>
        <v>0</v>
      </c>
      <c r="E16" s="306"/>
      <c r="F16" s="66"/>
    </row>
    <row r="17" spans="1:11" ht="15.75" x14ac:dyDescent="0.25">
      <c r="A17" s="37"/>
      <c r="B17" s="38"/>
      <c r="C17" s="38"/>
      <c r="D17" s="61"/>
      <c r="E17" s="306"/>
      <c r="F17" s="66"/>
      <c r="G17" s="12"/>
    </row>
    <row r="18" spans="1:11" ht="15.75" x14ac:dyDescent="0.25">
      <c r="A18" s="31"/>
      <c r="B18" s="32"/>
      <c r="C18" s="32"/>
      <c r="D18" s="61">
        <f>(C18-B18)</f>
        <v>0</v>
      </c>
      <c r="E18" s="307"/>
      <c r="F18" s="66"/>
      <c r="G18" s="12"/>
    </row>
    <row r="19" spans="1:11" ht="15.75" x14ac:dyDescent="0.25">
      <c r="A19" s="39"/>
      <c r="B19" s="40"/>
      <c r="C19" s="40"/>
      <c r="D19" s="62"/>
      <c r="E19" s="308"/>
      <c r="F19" s="67"/>
      <c r="I19" s="8"/>
      <c r="K19" s="8"/>
    </row>
    <row r="20" spans="1:11" x14ac:dyDescent="0.2">
      <c r="H20" s="8"/>
      <c r="I20" s="8"/>
      <c r="K20" s="8"/>
    </row>
    <row r="21" spans="1:11" ht="24" thickBot="1" x14ac:dyDescent="0.4">
      <c r="A21" s="28" t="s">
        <v>18</v>
      </c>
      <c r="B21" s="28"/>
      <c r="C21" s="27"/>
      <c r="D21" s="27"/>
      <c r="E21" s="27"/>
      <c r="H21" s="8"/>
      <c r="I21" s="8"/>
      <c r="K21" s="8"/>
    </row>
    <row r="22" spans="1:11" ht="13.5" thickBot="1" x14ac:dyDescent="0.25">
      <c r="A22" s="5"/>
      <c r="B22" s="15"/>
      <c r="C22" s="16"/>
      <c r="D22" s="17"/>
      <c r="E22" s="18"/>
      <c r="F22" s="5"/>
      <c r="G22" s="5"/>
      <c r="H22" s="9"/>
      <c r="I22" s="9"/>
      <c r="K22" s="8"/>
    </row>
    <row r="23" spans="1:11" ht="15.75" customHeight="1" x14ac:dyDescent="0.2">
      <c r="A23" s="292"/>
      <c r="B23" s="293"/>
      <c r="C23" s="293"/>
      <c r="D23" s="293"/>
      <c r="E23" s="294"/>
      <c r="H23" s="10"/>
      <c r="I23" s="10"/>
      <c r="K23" s="8"/>
    </row>
    <row r="24" spans="1:11" ht="12.75" customHeight="1" x14ac:dyDescent="0.2">
      <c r="A24" s="295"/>
      <c r="B24" s="296"/>
      <c r="C24" s="296"/>
      <c r="D24" s="296"/>
      <c r="E24" s="297"/>
      <c r="F24" s="30"/>
      <c r="G24" s="30"/>
      <c r="H24" s="29"/>
      <c r="K24" s="8"/>
    </row>
    <row r="25" spans="1:11" ht="12.75" customHeight="1" x14ac:dyDescent="0.2">
      <c r="A25" s="295"/>
      <c r="B25" s="296"/>
      <c r="C25" s="296"/>
      <c r="D25" s="296"/>
      <c r="E25" s="297"/>
      <c r="F25" s="30"/>
      <c r="G25" s="30"/>
      <c r="H25" s="29"/>
      <c r="K25" s="9"/>
    </row>
    <row r="26" spans="1:11" ht="12.75" customHeight="1" x14ac:dyDescent="0.2">
      <c r="A26" s="295"/>
      <c r="B26" s="296"/>
      <c r="C26" s="296"/>
      <c r="D26" s="296"/>
      <c r="E26" s="297"/>
      <c r="F26" s="30"/>
      <c r="G26" s="30"/>
      <c r="H26" s="29"/>
      <c r="K26" s="11"/>
    </row>
    <row r="27" spans="1:11" ht="12.75" customHeight="1" x14ac:dyDescent="0.2">
      <c r="A27" s="295"/>
      <c r="B27" s="296"/>
      <c r="C27" s="296"/>
      <c r="D27" s="296"/>
      <c r="E27" s="297"/>
      <c r="F27" s="30"/>
      <c r="G27" s="30"/>
      <c r="H27" s="29"/>
      <c r="K27" s="7"/>
    </row>
    <row r="28" spans="1:11" ht="12.75" customHeight="1" x14ac:dyDescent="0.2">
      <c r="A28" s="295"/>
      <c r="B28" s="296"/>
      <c r="C28" s="296"/>
      <c r="D28" s="296"/>
      <c r="E28" s="297"/>
      <c r="F28" s="30"/>
      <c r="G28" s="30"/>
      <c r="H28" s="29"/>
    </row>
    <row r="29" spans="1:11" ht="12.75" customHeight="1" x14ac:dyDescent="0.2">
      <c r="A29" s="295"/>
      <c r="B29" s="296"/>
      <c r="C29" s="296"/>
      <c r="D29" s="296"/>
      <c r="E29" s="297"/>
      <c r="F29" s="30"/>
      <c r="G29" s="30"/>
      <c r="H29" s="29"/>
    </row>
    <row r="30" spans="1:11" ht="12.75" customHeight="1" x14ac:dyDescent="0.2">
      <c r="A30" s="295"/>
      <c r="B30" s="296"/>
      <c r="C30" s="296"/>
      <c r="D30" s="296"/>
      <c r="E30" s="297"/>
      <c r="F30" s="30"/>
      <c r="G30" s="30"/>
      <c r="H30" s="29"/>
    </row>
    <row r="31" spans="1:11" ht="12.75" customHeight="1" x14ac:dyDescent="0.2">
      <c r="A31" s="295"/>
      <c r="B31" s="296"/>
      <c r="C31" s="296"/>
      <c r="D31" s="296"/>
      <c r="E31" s="297"/>
      <c r="F31" s="30"/>
      <c r="G31" s="30"/>
      <c r="H31" s="29"/>
    </row>
    <row r="32" spans="1:11" ht="12.75" customHeight="1" x14ac:dyDescent="0.2">
      <c r="A32" s="295"/>
      <c r="B32" s="296"/>
      <c r="C32" s="296"/>
      <c r="D32" s="296"/>
      <c r="E32" s="297"/>
      <c r="F32" s="30"/>
      <c r="G32" s="30"/>
      <c r="H32" s="29"/>
    </row>
    <row r="33" spans="1:8" ht="12.75" customHeight="1" x14ac:dyDescent="0.2">
      <c r="A33" s="295"/>
      <c r="B33" s="296"/>
      <c r="C33" s="296"/>
      <c r="D33" s="296"/>
      <c r="E33" s="297"/>
      <c r="F33" s="30"/>
      <c r="G33" s="30"/>
      <c r="H33" s="29"/>
    </row>
    <row r="34" spans="1:8" ht="12.75" customHeight="1" x14ac:dyDescent="0.2">
      <c r="A34" s="295"/>
      <c r="B34" s="296"/>
      <c r="C34" s="296"/>
      <c r="D34" s="296"/>
      <c r="E34" s="297"/>
      <c r="F34" s="30"/>
      <c r="G34" s="30"/>
      <c r="H34" s="29"/>
    </row>
    <row r="35" spans="1:8" ht="13.5" customHeight="1" x14ac:dyDescent="0.2">
      <c r="A35" s="295"/>
      <c r="B35" s="296"/>
      <c r="C35" s="296"/>
      <c r="D35" s="296"/>
      <c r="E35" s="297"/>
    </row>
    <row r="36" spans="1:8" ht="13.5" thickBot="1" x14ac:dyDescent="0.25">
      <c r="A36" s="298"/>
      <c r="B36" s="299"/>
      <c r="C36" s="299"/>
      <c r="D36" s="299"/>
      <c r="E36" s="300"/>
    </row>
  </sheetData>
  <mergeCells count="10">
    <mergeCell ref="J4:J5"/>
    <mergeCell ref="A23:E36"/>
    <mergeCell ref="A1:D1"/>
    <mergeCell ref="A4:B5"/>
    <mergeCell ref="C4:D5"/>
    <mergeCell ref="E10:E11"/>
    <mergeCell ref="E12:E13"/>
    <mergeCell ref="E14:E15"/>
    <mergeCell ref="E16:E17"/>
    <mergeCell ref="E18:E19"/>
  </mergeCells>
  <conditionalFormatting sqref="G17:G18">
    <cfRule type="expression" dxfId="941" priority="5">
      <formula>ISNUMBER(SEARCH(TEXT(#REF!,"ddd"),#REF!))</formula>
    </cfRule>
  </conditionalFormatting>
  <conditionalFormatting sqref="H20:I21 I19">
    <cfRule type="expression" dxfId="940" priority="6">
      <formula>ISNUMBER(SEARCH(TEXT(#REF!,"ddd"),#REF!))</formula>
    </cfRule>
  </conditionalFormatting>
  <conditionalFormatting sqref="A10:D12 A16:D17 A18:C18">
    <cfRule type="expression" dxfId="939" priority="7">
      <formula>ISNUMBER(SEARCH(TEXT(#REF!,"ddd"),#REF!))</formula>
    </cfRule>
  </conditionalFormatting>
  <conditionalFormatting sqref="K19:K24">
    <cfRule type="expression" dxfId="938" priority="8">
      <formula>ISNUMBER(SEARCH(TEXT(#REF!,"ddd"),#REF!))</formula>
    </cfRule>
  </conditionalFormatting>
  <conditionalFormatting sqref="D14">
    <cfRule type="expression" dxfId="937" priority="4">
      <formula>ISNUMBER(SEARCH(TEXT(#REF!,"ddd"),#REF!))</formula>
    </cfRule>
  </conditionalFormatting>
  <conditionalFormatting sqref="A14:C14">
    <cfRule type="expression" dxfId="936" priority="1">
      <formula>ISNUMBER(SEARCH(TEXT(#REF!,"ddd"),#REF!))</formula>
    </cfRule>
  </conditionalFormatting>
  <conditionalFormatting sqref="A13:D13">
    <cfRule type="expression" dxfId="935" priority="3">
      <formula>ISNUMBER(SEARCH(TEXT(#REF!,"ddd"),#REF!))</formula>
    </cfRule>
  </conditionalFormatting>
  <conditionalFormatting sqref="A15:D15">
    <cfRule type="expression" dxfId="934" priority="2">
      <formula>ISNUMBER(SEARCH(TEXT(#REF!,"ddd"),#REF!))</formula>
    </cfRule>
  </conditionalFormatting>
  <dataValidations count="3">
    <dataValidation type="custom" allowBlank="1" showInputMessage="1" showErrorMessage="1" sqref="C10 C17" xr:uid="{2264F8A4-9B24-4DAA-BC96-07B70F271F28}">
      <formula1>AND($C10&lt;=1,ISNUMBER($C10),($C10&gt;=$B10))</formula1>
    </dataValidation>
    <dataValidation type="custom" allowBlank="1" showInputMessage="1" showErrorMessage="1" sqref="G17:G18" xr:uid="{8FAEBDEF-1AE6-403F-A6CC-D0A6ACC3E23C}">
      <formula1>AND($B15&lt;=1,ISNUMBER($B15))</formula1>
    </dataValidation>
    <dataValidation type="custom" allowBlank="1" showInputMessage="1" showErrorMessage="1" sqref="C18 B10:B18 C11:C16" xr:uid="{3ECDF657-8BF6-4E9E-86E1-7915E665494E}">
      <formula1>AND($B10&lt;=1,ISNUMBER($B10))</formula1>
    </dataValidation>
  </dataValidations>
  <pageMargins left="0.25" right="0.25"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BBFD6-80DA-4E6C-B57E-4B6B1A3EF0BA}">
  <sheetPr codeName="Sheet9"/>
  <dimension ref="A1:K40"/>
  <sheetViews>
    <sheetView showGridLines="0" zoomScaleNormal="100" workbookViewId="0">
      <selection activeCell="G3" sqref="G3"/>
    </sheetView>
  </sheetViews>
  <sheetFormatPr baseColWidth="10" defaultColWidth="9" defaultRowHeight="12.75" x14ac:dyDescent="0.2"/>
  <cols>
    <col min="1" max="1" width="13.5" bestFit="1" customWidth="1"/>
    <col min="2" max="2" width="14.25" customWidth="1"/>
    <col min="3" max="3" width="13.125" bestFit="1" customWidth="1"/>
    <col min="4" max="4" width="11.62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x14ac:dyDescent="0.4">
      <c r="A1" s="301" t="s">
        <v>19</v>
      </c>
      <c r="B1" s="301"/>
      <c r="C1" s="301"/>
      <c r="D1" s="301"/>
      <c r="E1" s="55">
        <f>WEEKNUM(A10)</f>
        <v>3</v>
      </c>
      <c r="F1" s="56"/>
      <c r="G1" s="57"/>
      <c r="H1" s="26"/>
      <c r="J1" s="1"/>
    </row>
    <row r="2" spans="1:10" s="1" customFormat="1" ht="14.25" customHeight="1" x14ac:dyDescent="0.25">
      <c r="A2" s="49" t="s">
        <v>1</v>
      </c>
      <c r="B2" s="49"/>
      <c r="C2" s="49" t="s">
        <v>2</v>
      </c>
      <c r="D2" s="49"/>
      <c r="E2" s="54" t="s">
        <v>3</v>
      </c>
      <c r="F2" s="54" t="s">
        <v>4</v>
      </c>
      <c r="G2" s="54" t="s">
        <v>5</v>
      </c>
      <c r="H2" s="20"/>
      <c r="I2" s="13"/>
      <c r="J2" s="6"/>
    </row>
    <row r="3" spans="1:10" ht="16.5" thickBot="1" x14ac:dyDescent="0.25">
      <c r="A3" s="53">
        <f>A10</f>
        <v>43843</v>
      </c>
      <c r="B3" s="188"/>
      <c r="C3" s="53">
        <f>A15</f>
        <v>43849</v>
      </c>
      <c r="D3" s="188"/>
      <c r="E3" s="42" t="s">
        <v>6</v>
      </c>
      <c r="F3" s="46">
        <f>Sumcolor(E3,D10:D19)</f>
        <v>0.1875</v>
      </c>
      <c r="G3" s="47">
        <f>SUM(Først:Sist!F3)</f>
        <v>1.0381944444444446</v>
      </c>
      <c r="H3" s="22"/>
      <c r="I3" s="7"/>
      <c r="J3" s="7"/>
    </row>
    <row r="4" spans="1:10" ht="15" customHeight="1" x14ac:dyDescent="0.2">
      <c r="A4" s="293" t="s">
        <v>7</v>
      </c>
      <c r="B4" s="293"/>
      <c r="C4" s="302" t="s">
        <v>8</v>
      </c>
      <c r="D4" s="302"/>
      <c r="E4" s="43" t="s">
        <v>9</v>
      </c>
      <c r="F4" s="46">
        <f>Sumcolor(E4,D10:D19)</f>
        <v>0</v>
      </c>
      <c r="G4" s="47">
        <f>SUM(Først:Sist!F4)</f>
        <v>8.03125</v>
      </c>
      <c r="H4" s="22"/>
      <c r="I4" s="7"/>
      <c r="J4" s="291"/>
    </row>
    <row r="5" spans="1:10" ht="15.75" x14ac:dyDescent="0.2">
      <c r="A5" s="302"/>
      <c r="B5" s="302"/>
      <c r="C5" s="302"/>
      <c r="D5" s="302"/>
      <c r="E5" s="44" t="s">
        <v>10</v>
      </c>
      <c r="F5" s="46">
        <f>Sumcolor(E5,D10:D19)</f>
        <v>0</v>
      </c>
      <c r="G5" s="47">
        <f>SUM(Først:Sist!F5)</f>
        <v>1.8090277777777768</v>
      </c>
      <c r="H5" s="22"/>
      <c r="I5" s="7"/>
      <c r="J5" s="291"/>
    </row>
    <row r="6" spans="1:10" ht="18.75" customHeight="1" thickBot="1" x14ac:dyDescent="0.25">
      <c r="A6" s="50">
        <f>SUM(D10:D19)</f>
        <v>0.24305555555555547</v>
      </c>
      <c r="B6" s="51"/>
      <c r="C6" s="82">
        <f>SUM(Først:Sist!A6)</f>
        <v>12.965277777777779</v>
      </c>
      <c r="D6" s="52"/>
      <c r="E6" s="45" t="s">
        <v>11</v>
      </c>
      <c r="F6" s="48">
        <f>Sumcolor(E6,D10:D19)</f>
        <v>5.5555555555555469E-2</v>
      </c>
      <c r="G6" s="48">
        <f>SUM(Først:Sist!F6)</f>
        <v>1.9895833333333335</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41" t="s">
        <v>12</v>
      </c>
      <c r="B9" s="41" t="s">
        <v>13</v>
      </c>
      <c r="C9" s="41" t="s">
        <v>14</v>
      </c>
      <c r="D9" s="41" t="s">
        <v>15</v>
      </c>
      <c r="E9" s="41" t="s">
        <v>16</v>
      </c>
      <c r="F9" s="68" t="s">
        <v>17</v>
      </c>
      <c r="H9" s="25"/>
    </row>
    <row r="10" spans="1:10" ht="15.75" x14ac:dyDescent="0.25">
      <c r="A10" s="33">
        <f>DATE(2020,1,13)</f>
        <v>43843</v>
      </c>
      <c r="B10" s="34">
        <v>0.47916666666666669</v>
      </c>
      <c r="C10" s="34">
        <v>0.51041666666666663</v>
      </c>
      <c r="D10" s="69">
        <f t="shared" ref="D10" si="0">(C10-B10)</f>
        <v>3.1249999999999944E-2</v>
      </c>
      <c r="E10" s="288" t="s">
        <v>11</v>
      </c>
      <c r="F10" s="65"/>
      <c r="H10" s="25"/>
    </row>
    <row r="11" spans="1:10" ht="15.75" x14ac:dyDescent="0.25">
      <c r="A11" s="35">
        <f>DATE(2020,1,13)</f>
        <v>43843</v>
      </c>
      <c r="B11" s="36">
        <v>0.58333333333333337</v>
      </c>
      <c r="C11" s="36">
        <v>0.64583333333333337</v>
      </c>
      <c r="D11" s="70">
        <f>(C11-B11)</f>
        <v>6.25E-2</v>
      </c>
      <c r="E11" s="289" t="s">
        <v>6</v>
      </c>
      <c r="F11" s="66"/>
      <c r="H11" s="25"/>
    </row>
    <row r="12" spans="1:10" ht="15.75" x14ac:dyDescent="0.25">
      <c r="A12" s="31">
        <f>DATE(2020,1,15)</f>
        <v>43845</v>
      </c>
      <c r="B12" s="32">
        <v>0.41666666666666669</v>
      </c>
      <c r="C12" s="32">
        <v>0.47916666666666669</v>
      </c>
      <c r="D12" s="70">
        <f>(C12-B12)</f>
        <v>6.25E-2</v>
      </c>
      <c r="E12" s="289" t="s">
        <v>6</v>
      </c>
      <c r="F12" s="66"/>
    </row>
    <row r="13" spans="1:10" ht="16.5" thickBot="1" x14ac:dyDescent="0.3">
      <c r="A13" s="37">
        <f>DATE(2020,1,16)</f>
        <v>43846</v>
      </c>
      <c r="B13" s="38">
        <v>0.41666666666666669</v>
      </c>
      <c r="C13" s="38">
        <v>0.47916666666666669</v>
      </c>
      <c r="D13" s="70">
        <f t="shared" ref="D13:D16" si="1">(C13-B13)</f>
        <v>6.25E-2</v>
      </c>
      <c r="E13" s="289" t="s">
        <v>6</v>
      </c>
      <c r="F13" s="66"/>
    </row>
    <row r="14" spans="1:10" ht="16.5" thickBot="1" x14ac:dyDescent="0.3">
      <c r="A14" s="31">
        <f>DATE(2020,1,16)</f>
        <v>43846</v>
      </c>
      <c r="B14" s="32">
        <v>0.4826388888888889</v>
      </c>
      <c r="C14" s="32">
        <v>0.49305555555555558</v>
      </c>
      <c r="D14" s="71">
        <f t="shared" si="1"/>
        <v>1.0416666666666685E-2</v>
      </c>
      <c r="E14" s="288" t="s">
        <v>11</v>
      </c>
      <c r="F14" s="66"/>
    </row>
    <row r="15" spans="1:10" ht="15.75" x14ac:dyDescent="0.25">
      <c r="A15" s="35">
        <f>DATE(2020,1,19)</f>
        <v>43849</v>
      </c>
      <c r="B15" s="36">
        <v>0.6875</v>
      </c>
      <c r="C15" s="36">
        <v>0.70138888888888884</v>
      </c>
      <c r="D15" s="71">
        <f t="shared" si="1"/>
        <v>1.388888888888884E-2</v>
      </c>
      <c r="E15" s="288" t="s">
        <v>11</v>
      </c>
      <c r="F15" s="66"/>
    </row>
    <row r="16" spans="1:10" ht="15.75" x14ac:dyDescent="0.25">
      <c r="A16" s="31"/>
      <c r="B16" s="32"/>
      <c r="C16" s="32"/>
      <c r="D16" s="60">
        <f t="shared" si="1"/>
        <v>0</v>
      </c>
      <c r="E16" s="190"/>
      <c r="F16" s="66"/>
    </row>
    <row r="17" spans="1:11" ht="15.75" x14ac:dyDescent="0.25">
      <c r="A17" s="37"/>
      <c r="B17" s="38"/>
      <c r="C17" s="38"/>
      <c r="D17" s="60">
        <f>(C17-B17)</f>
        <v>0</v>
      </c>
      <c r="E17" s="190"/>
      <c r="F17" s="66"/>
      <c r="G17" s="12"/>
    </row>
    <row r="18" spans="1:11" ht="15.75" x14ac:dyDescent="0.25">
      <c r="A18" s="31"/>
      <c r="B18" s="32"/>
      <c r="C18" s="32"/>
      <c r="D18" s="61">
        <f>(C18-B18)</f>
        <v>0</v>
      </c>
      <c r="E18" s="191"/>
      <c r="F18" s="66"/>
      <c r="G18" s="12"/>
    </row>
    <row r="19" spans="1:11" ht="16.5" thickBot="1" x14ac:dyDescent="0.3">
      <c r="A19" s="39"/>
      <c r="B19" s="40"/>
      <c r="C19" s="40"/>
      <c r="D19" s="62">
        <f>(C19-B19)</f>
        <v>0</v>
      </c>
      <c r="E19" s="192"/>
      <c r="F19" s="67"/>
      <c r="I19" s="8"/>
      <c r="K19" s="8"/>
    </row>
    <row r="20" spans="1:11" x14ac:dyDescent="0.2">
      <c r="H20" s="8"/>
      <c r="I20" s="8"/>
      <c r="K20" s="8"/>
    </row>
    <row r="21" spans="1:11" x14ac:dyDescent="0.2">
      <c r="H21" s="8"/>
      <c r="I21" s="8"/>
      <c r="K21" s="8"/>
    </row>
    <row r="22" spans="1:11" ht="24" thickBot="1" x14ac:dyDescent="0.4">
      <c r="A22" s="28" t="s">
        <v>18</v>
      </c>
      <c r="B22" s="28"/>
      <c r="C22" s="27"/>
      <c r="D22" s="27"/>
      <c r="E22" s="27"/>
      <c r="G22" s="5"/>
      <c r="H22" s="9"/>
      <c r="I22" s="9"/>
      <c r="K22" s="8"/>
    </row>
    <row r="23" spans="1:11" ht="15.75" customHeight="1" thickBot="1" x14ac:dyDescent="0.25">
      <c r="A23" s="5"/>
      <c r="B23" s="15"/>
      <c r="C23" s="16"/>
      <c r="D23" s="17"/>
      <c r="E23" s="18"/>
      <c r="H23" s="10"/>
      <c r="I23" s="10"/>
      <c r="K23" s="8"/>
    </row>
    <row r="24" spans="1:11" ht="12.75" customHeight="1" x14ac:dyDescent="0.2">
      <c r="A24" s="193"/>
      <c r="B24" s="194"/>
      <c r="C24" s="194"/>
      <c r="D24" s="194"/>
      <c r="E24" s="195"/>
      <c r="G24" s="30"/>
      <c r="H24" s="29"/>
      <c r="K24" s="8"/>
    </row>
    <row r="25" spans="1:11" ht="12.75" customHeight="1" x14ac:dyDescent="0.2">
      <c r="A25" s="196"/>
      <c r="B25" s="197"/>
      <c r="C25" s="197"/>
      <c r="D25" s="197"/>
      <c r="E25" s="198"/>
      <c r="G25" s="30"/>
      <c r="H25" s="29"/>
      <c r="K25" s="9"/>
    </row>
    <row r="26" spans="1:11" ht="12.75" customHeight="1" x14ac:dyDescent="0.2">
      <c r="A26" s="196"/>
      <c r="B26" s="197"/>
      <c r="C26" s="197"/>
      <c r="D26" s="197"/>
      <c r="E26" s="198"/>
      <c r="G26" s="30"/>
      <c r="H26" s="29"/>
      <c r="K26" s="11"/>
    </row>
    <row r="27" spans="1:11" ht="24" customHeight="1" x14ac:dyDescent="0.2">
      <c r="A27" s="196"/>
      <c r="B27" s="197"/>
      <c r="C27" s="197"/>
      <c r="D27" s="197"/>
      <c r="E27" s="198"/>
      <c r="G27" s="30"/>
      <c r="H27" s="29"/>
      <c r="K27" s="7"/>
    </row>
    <row r="28" spans="1:11" ht="12.75" customHeight="1" x14ac:dyDescent="0.2">
      <c r="A28" s="196"/>
      <c r="B28" s="197"/>
      <c r="C28" s="197"/>
      <c r="D28" s="197"/>
      <c r="E28" s="198"/>
      <c r="F28" s="5"/>
      <c r="G28" s="30"/>
      <c r="H28" s="29"/>
    </row>
    <row r="29" spans="1:11" ht="12.75" customHeight="1" x14ac:dyDescent="0.2">
      <c r="A29" s="196"/>
      <c r="B29" s="197"/>
      <c r="C29" s="197"/>
      <c r="D29" s="197"/>
      <c r="E29" s="198"/>
      <c r="G29" s="30"/>
      <c r="H29" s="29"/>
    </row>
    <row r="30" spans="1:11" ht="12.75" customHeight="1" x14ac:dyDescent="0.2">
      <c r="A30" s="196"/>
      <c r="B30" s="197"/>
      <c r="C30" s="197"/>
      <c r="D30" s="197"/>
      <c r="E30" s="198"/>
      <c r="F30" s="30"/>
      <c r="G30" s="30"/>
      <c r="H30" s="29"/>
    </row>
    <row r="31" spans="1:11" ht="12.75" customHeight="1" x14ac:dyDescent="0.2">
      <c r="A31" s="196"/>
      <c r="B31" s="197"/>
      <c r="C31" s="197"/>
      <c r="D31" s="197"/>
      <c r="E31" s="198"/>
      <c r="F31" s="30"/>
      <c r="G31" s="30"/>
      <c r="H31" s="29"/>
    </row>
    <row r="32" spans="1:11" ht="12.75" customHeight="1" x14ac:dyDescent="0.2">
      <c r="A32" s="196"/>
      <c r="B32" s="197"/>
      <c r="C32" s="197"/>
      <c r="D32" s="197"/>
      <c r="E32" s="198"/>
      <c r="F32" s="30"/>
      <c r="G32" s="30"/>
      <c r="H32" s="29"/>
    </row>
    <row r="33" spans="1:8" ht="12.75" customHeight="1" x14ac:dyDescent="0.2">
      <c r="A33" s="196"/>
      <c r="B33" s="197"/>
      <c r="C33" s="197"/>
      <c r="D33" s="197"/>
      <c r="E33" s="198"/>
      <c r="F33" s="30"/>
      <c r="G33" s="30"/>
      <c r="H33" s="29"/>
    </row>
    <row r="34" spans="1:8" ht="12.75" customHeight="1" x14ac:dyDescent="0.2">
      <c r="A34" s="196"/>
      <c r="B34" s="197"/>
      <c r="C34" s="197"/>
      <c r="D34" s="197"/>
      <c r="E34" s="198"/>
      <c r="F34" s="30"/>
      <c r="G34" s="30"/>
      <c r="H34" s="29"/>
    </row>
    <row r="35" spans="1:8" ht="13.5" customHeight="1" x14ac:dyDescent="0.2">
      <c r="A35" s="196"/>
      <c r="B35" s="197"/>
      <c r="C35" s="197"/>
      <c r="D35" s="197"/>
      <c r="E35" s="198"/>
      <c r="F35" s="30"/>
    </row>
    <row r="36" spans="1:8" ht="13.5" customHeight="1" x14ac:dyDescent="0.2">
      <c r="A36" s="196"/>
      <c r="B36" s="197"/>
      <c r="C36" s="197"/>
      <c r="D36" s="197"/>
      <c r="E36" s="198"/>
      <c r="F36" s="30"/>
    </row>
    <row r="37" spans="1:8" ht="15.75" thickBot="1" x14ac:dyDescent="0.25">
      <c r="A37" s="199"/>
      <c r="B37" s="200"/>
      <c r="C37" s="200"/>
      <c r="D37" s="200"/>
      <c r="E37" s="201"/>
      <c r="F37" s="30"/>
    </row>
    <row r="38" spans="1:8" x14ac:dyDescent="0.2">
      <c r="F38" s="30"/>
    </row>
    <row r="39" spans="1:8" x14ac:dyDescent="0.2">
      <c r="F39" s="30"/>
    </row>
    <row r="40" spans="1:8" x14ac:dyDescent="0.2">
      <c r="F40" s="30"/>
    </row>
  </sheetData>
  <mergeCells count="4">
    <mergeCell ref="A1:D1"/>
    <mergeCell ref="A4:B5"/>
    <mergeCell ref="C4:D5"/>
    <mergeCell ref="J4:J5"/>
  </mergeCells>
  <conditionalFormatting sqref="G17:G18">
    <cfRule type="expression" dxfId="933" priority="5">
      <formula>ISNUMBER(SEARCH(TEXT(#REF!,"ddd"),#REF!))</formula>
    </cfRule>
  </conditionalFormatting>
  <conditionalFormatting sqref="H20:I21 I19">
    <cfRule type="expression" dxfId="932" priority="6">
      <formula>ISNUMBER(SEARCH(TEXT(#REF!,"ddd"),#REF!))</formula>
    </cfRule>
  </conditionalFormatting>
  <conditionalFormatting sqref="A10:D12 A16:C18 D13:D17">
    <cfRule type="expression" dxfId="931" priority="7">
      <formula>ISNUMBER(SEARCH(TEXT(#REF!,"ddd"),#REF!))</formula>
    </cfRule>
  </conditionalFormatting>
  <conditionalFormatting sqref="K19:K24">
    <cfRule type="expression" dxfId="930" priority="8">
      <formula>ISNUMBER(SEARCH(TEXT(#REF!,"ddd"),#REF!))</formula>
    </cfRule>
  </conditionalFormatting>
  <conditionalFormatting sqref="A14:C14">
    <cfRule type="expression" dxfId="929" priority="1">
      <formula>ISNUMBER(SEARCH(TEXT(#REF!,"ddd"),#REF!))</formula>
    </cfRule>
  </conditionalFormatting>
  <conditionalFormatting sqref="A13:C13">
    <cfRule type="expression" dxfId="928" priority="3">
      <formula>ISNUMBER(SEARCH(TEXT(#REF!,"ddd"),#REF!))</formula>
    </cfRule>
  </conditionalFormatting>
  <conditionalFormatting sqref="A15:C15">
    <cfRule type="expression" dxfId="927" priority="2">
      <formula>ISNUMBER(SEARCH(TEXT(#REF!,"ddd"),#REF!))</formula>
    </cfRule>
  </conditionalFormatting>
  <dataValidations count="3">
    <dataValidation type="custom" allowBlank="1" showInputMessage="1" showErrorMessage="1" sqref="C18 B10:B18 C11:C16" xr:uid="{D8520E8D-6D89-4726-B3F9-CDCDEC964D37}">
      <formula1>AND($B10&lt;=1,ISNUMBER($B10))</formula1>
    </dataValidation>
    <dataValidation type="custom" allowBlank="1" showInputMessage="1" showErrorMessage="1" sqref="G17:G18" xr:uid="{E031EAF6-49B7-4032-9DE2-41208321FDAD}">
      <formula1>AND($B15&lt;=1,ISNUMBER($B15))</formula1>
    </dataValidation>
    <dataValidation type="custom" allowBlank="1" showInputMessage="1" showErrorMessage="1" sqref="C10 C17" xr:uid="{1FF1B503-C874-4FAC-B944-713CD07DE8FD}">
      <formula1>AND($C10&lt;=1,ISNUMBER($C10),($C10&gt;=$B10))</formula1>
    </dataValidation>
  </dataValidations>
  <pageMargins left="0.25" right="0.25" top="0.75" bottom="0.75" header="0.3" footer="0.3"/>
  <pageSetup paperSize="9" orientation="portrait" horizontalDpi="4294967293" verticalDpi="4294967293"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C99DF-9242-4EED-8761-D29722BEDC57}">
  <sheetPr codeName="Sheet10"/>
  <dimension ref="A1:K40"/>
  <sheetViews>
    <sheetView showGridLines="0" zoomScaleNormal="100" workbookViewId="0">
      <selection activeCell="F3" sqref="F3"/>
    </sheetView>
  </sheetViews>
  <sheetFormatPr baseColWidth="10" defaultColWidth="9" defaultRowHeight="12.75" x14ac:dyDescent="0.2"/>
  <cols>
    <col min="1" max="1" width="13.5" bestFit="1" customWidth="1"/>
    <col min="2" max="2" width="14.25" customWidth="1"/>
    <col min="3" max="3" width="13.125" bestFit="1" customWidth="1"/>
    <col min="4" max="4" width="11.62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x14ac:dyDescent="0.4">
      <c r="A1" s="301" t="s">
        <v>19</v>
      </c>
      <c r="B1" s="301"/>
      <c r="C1" s="301"/>
      <c r="D1" s="301"/>
      <c r="E1" s="55">
        <f>WEEKNUM(A10)</f>
        <v>4</v>
      </c>
      <c r="F1" s="56"/>
      <c r="G1" s="57"/>
      <c r="H1" s="26"/>
      <c r="J1" s="1"/>
    </row>
    <row r="2" spans="1:10" s="1" customFormat="1" ht="14.25" customHeight="1" x14ac:dyDescent="0.25">
      <c r="A2" s="49" t="s">
        <v>1</v>
      </c>
      <c r="B2" s="49"/>
      <c r="C2" s="49" t="s">
        <v>2</v>
      </c>
      <c r="D2" s="49"/>
      <c r="E2" s="54" t="s">
        <v>3</v>
      </c>
      <c r="F2" s="54" t="s">
        <v>4</v>
      </c>
      <c r="G2" s="54" t="s">
        <v>5</v>
      </c>
      <c r="H2" s="20"/>
      <c r="I2" s="13"/>
      <c r="J2" s="6"/>
    </row>
    <row r="3" spans="1:10" ht="16.5" thickBot="1" x14ac:dyDescent="0.25">
      <c r="A3" s="53">
        <f>A10</f>
        <v>43850</v>
      </c>
      <c r="B3" s="188"/>
      <c r="C3" s="53">
        <f>A12</f>
        <v>43853</v>
      </c>
      <c r="D3" s="188"/>
      <c r="E3" s="42" t="s">
        <v>6</v>
      </c>
      <c r="F3" s="46">
        <f>Sumcolor(E3,D10:D19)</f>
        <v>0.1875</v>
      </c>
      <c r="G3" s="47">
        <f>SUM(Først:Sist!F3)</f>
        <v>1.0381944444444446</v>
      </c>
      <c r="H3" s="22"/>
      <c r="I3" s="7"/>
      <c r="J3" s="7"/>
    </row>
    <row r="4" spans="1:10" ht="15" customHeight="1" x14ac:dyDescent="0.2">
      <c r="A4" s="293" t="s">
        <v>7</v>
      </c>
      <c r="B4" s="293"/>
      <c r="C4" s="302" t="s">
        <v>8</v>
      </c>
      <c r="D4" s="302"/>
      <c r="E4" s="43" t="s">
        <v>9</v>
      </c>
      <c r="F4" s="46">
        <f>Sumcolor(E4,D10:D19)</f>
        <v>0</v>
      </c>
      <c r="G4" s="47">
        <f>SUM(Først:Sist!F4)</f>
        <v>8.03125</v>
      </c>
      <c r="H4" s="22"/>
      <c r="I4" s="7"/>
      <c r="J4" s="291"/>
    </row>
    <row r="5" spans="1:10" ht="15.75" x14ac:dyDescent="0.2">
      <c r="A5" s="302"/>
      <c r="B5" s="302"/>
      <c r="C5" s="302"/>
      <c r="D5" s="302"/>
      <c r="E5" s="44" t="s">
        <v>10</v>
      </c>
      <c r="F5" s="46">
        <f>Sumcolor(E5,D10:D19)</f>
        <v>0</v>
      </c>
      <c r="G5" s="47">
        <f>SUM(Først:Sist!F5)</f>
        <v>1.8090277777777768</v>
      </c>
      <c r="H5" s="22"/>
      <c r="I5" s="7"/>
      <c r="J5" s="291"/>
    </row>
    <row r="6" spans="1:10" ht="18.75" customHeight="1" thickBot="1" x14ac:dyDescent="0.25">
      <c r="A6" s="50">
        <f>SUM(D10:D19)</f>
        <v>0.1875</v>
      </c>
      <c r="B6" s="51"/>
      <c r="C6" s="82">
        <f>SUM(Først:Sist!A6)</f>
        <v>12.965277777777779</v>
      </c>
      <c r="D6" s="52"/>
      <c r="E6" s="45" t="s">
        <v>11</v>
      </c>
      <c r="F6" s="48">
        <f>Sumcolor(E6,D10:D19)</f>
        <v>0</v>
      </c>
      <c r="G6" s="48">
        <f>SUM(Først:Sist!F6)</f>
        <v>1.9895833333333335</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41" t="s">
        <v>12</v>
      </c>
      <c r="B9" s="41" t="s">
        <v>13</v>
      </c>
      <c r="C9" s="41" t="s">
        <v>14</v>
      </c>
      <c r="D9" s="41" t="s">
        <v>15</v>
      </c>
      <c r="E9" s="41" t="s">
        <v>16</v>
      </c>
      <c r="F9" s="68" t="s">
        <v>17</v>
      </c>
      <c r="H9" s="25"/>
    </row>
    <row r="10" spans="1:10" ht="16.5" thickBot="1" x14ac:dyDescent="0.3">
      <c r="A10" s="33">
        <f>DATE(2020,1,20)</f>
        <v>43850</v>
      </c>
      <c r="B10" s="34">
        <v>0.58333333333333337</v>
      </c>
      <c r="C10" s="34">
        <v>0.64583333333333337</v>
      </c>
      <c r="D10" s="75">
        <f t="shared" ref="D10" si="0">(C10-B10)</f>
        <v>6.25E-2</v>
      </c>
      <c r="E10" s="288" t="s">
        <v>6</v>
      </c>
      <c r="F10" s="65"/>
      <c r="H10" s="25"/>
    </row>
    <row r="11" spans="1:10" ht="16.5" thickBot="1" x14ac:dyDescent="0.3">
      <c r="A11" s="35">
        <f>DATE(2020,1,22)</f>
        <v>43852</v>
      </c>
      <c r="B11" s="36">
        <v>0.41666666666666669</v>
      </c>
      <c r="C11" s="36">
        <v>0.47916666666666669</v>
      </c>
      <c r="D11" s="72">
        <f>(C11-B11)</f>
        <v>6.25E-2</v>
      </c>
      <c r="E11" s="288" t="s">
        <v>6</v>
      </c>
      <c r="F11" s="66"/>
      <c r="H11" s="25"/>
    </row>
    <row r="12" spans="1:10" ht="15.75" x14ac:dyDescent="0.25">
      <c r="A12" s="31">
        <f>DATE(2020,1,23)</f>
        <v>43853</v>
      </c>
      <c r="B12" s="32">
        <v>0.41666666666666669</v>
      </c>
      <c r="C12" s="32">
        <v>0.47916666666666669</v>
      </c>
      <c r="D12" s="72">
        <f>(C12-B12)</f>
        <v>6.25E-2</v>
      </c>
      <c r="E12" s="288" t="s">
        <v>6</v>
      </c>
      <c r="F12" s="66"/>
    </row>
    <row r="13" spans="1:10" ht="15.75" x14ac:dyDescent="0.25">
      <c r="A13" s="37"/>
      <c r="B13" s="38"/>
      <c r="C13" s="38"/>
      <c r="D13" s="73">
        <f t="shared" ref="D13:D16" si="1">(C13-B13)</f>
        <v>0</v>
      </c>
      <c r="E13" s="189"/>
      <c r="F13" s="66"/>
    </row>
    <row r="14" spans="1:10" ht="15.75" x14ac:dyDescent="0.25">
      <c r="A14" s="31"/>
      <c r="B14" s="32"/>
      <c r="C14" s="32"/>
      <c r="D14" s="74">
        <f t="shared" si="1"/>
        <v>0</v>
      </c>
      <c r="E14" s="190"/>
      <c r="F14" s="66"/>
    </row>
    <row r="15" spans="1:10" ht="15.75" x14ac:dyDescent="0.25">
      <c r="A15" s="35"/>
      <c r="B15" s="36"/>
      <c r="C15" s="36"/>
      <c r="D15" s="74">
        <f t="shared" si="1"/>
        <v>0</v>
      </c>
      <c r="E15" s="190"/>
      <c r="F15" s="66"/>
    </row>
    <row r="16" spans="1:10" ht="15.75" x14ac:dyDescent="0.25">
      <c r="A16" s="31"/>
      <c r="B16" s="32"/>
      <c r="C16" s="32"/>
      <c r="D16" s="60">
        <f t="shared" si="1"/>
        <v>0</v>
      </c>
      <c r="E16" s="190"/>
      <c r="F16" s="66"/>
    </row>
    <row r="17" spans="1:11" ht="15.75" x14ac:dyDescent="0.25">
      <c r="A17" s="37"/>
      <c r="B17" s="38"/>
      <c r="C17" s="38"/>
      <c r="D17" s="60">
        <f>(C17-B17)</f>
        <v>0</v>
      </c>
      <c r="E17" s="190"/>
      <c r="F17" s="66"/>
      <c r="G17" s="12"/>
    </row>
    <row r="18" spans="1:11" ht="15.75" x14ac:dyDescent="0.25">
      <c r="A18" s="31"/>
      <c r="B18" s="32"/>
      <c r="C18" s="32"/>
      <c r="D18" s="61">
        <f>(C18-B18)</f>
        <v>0</v>
      </c>
      <c r="E18" s="191"/>
      <c r="F18" s="66"/>
      <c r="G18" s="12"/>
    </row>
    <row r="19" spans="1:11" ht="16.5" thickBot="1" x14ac:dyDescent="0.3">
      <c r="A19" s="39"/>
      <c r="B19" s="40"/>
      <c r="C19" s="40"/>
      <c r="D19" s="62">
        <f>(C19-B19)</f>
        <v>0</v>
      </c>
      <c r="E19" s="192"/>
      <c r="F19" s="67"/>
      <c r="I19" s="8"/>
      <c r="K19" s="8"/>
    </row>
    <row r="20" spans="1:11" x14ac:dyDescent="0.2">
      <c r="H20" s="8"/>
      <c r="I20" s="8"/>
      <c r="K20" s="8"/>
    </row>
    <row r="21" spans="1:11" x14ac:dyDescent="0.2">
      <c r="H21" s="8"/>
      <c r="I21" s="8"/>
      <c r="K21" s="8"/>
    </row>
    <row r="22" spans="1:11" ht="24" thickBot="1" x14ac:dyDescent="0.4">
      <c r="A22" s="28" t="s">
        <v>18</v>
      </c>
      <c r="B22" s="28"/>
      <c r="C22" s="27"/>
      <c r="D22" s="27"/>
      <c r="E22" s="27"/>
      <c r="G22" s="5"/>
      <c r="H22" s="9"/>
      <c r="I22" s="9"/>
      <c r="K22" s="8"/>
    </row>
    <row r="23" spans="1:11" ht="15.75" customHeight="1" thickBot="1" x14ac:dyDescent="0.25">
      <c r="A23" s="5"/>
      <c r="B23" s="15"/>
      <c r="C23" s="16"/>
      <c r="D23" s="17"/>
      <c r="E23" s="18"/>
      <c r="H23" s="10"/>
      <c r="I23" s="10"/>
      <c r="K23" s="8"/>
    </row>
    <row r="24" spans="1:11" ht="12.75" customHeight="1" x14ac:dyDescent="0.2">
      <c r="A24" s="193"/>
      <c r="B24" s="194"/>
      <c r="C24" s="194"/>
      <c r="D24" s="194"/>
      <c r="E24" s="195"/>
      <c r="G24" s="30"/>
      <c r="H24" s="29"/>
      <c r="K24" s="8"/>
    </row>
    <row r="25" spans="1:11" ht="12.75" customHeight="1" x14ac:dyDescent="0.2">
      <c r="A25" s="196"/>
      <c r="B25" s="197"/>
      <c r="C25" s="197"/>
      <c r="D25" s="197"/>
      <c r="E25" s="198"/>
      <c r="G25" s="30"/>
      <c r="H25" s="29"/>
      <c r="K25" s="9"/>
    </row>
    <row r="26" spans="1:11" ht="12.75" customHeight="1" x14ac:dyDescent="0.2">
      <c r="A26" s="196"/>
      <c r="B26" s="197"/>
      <c r="C26" s="197"/>
      <c r="D26" s="197"/>
      <c r="E26" s="198"/>
      <c r="G26" s="30"/>
      <c r="H26" s="29"/>
      <c r="K26" s="11"/>
    </row>
    <row r="27" spans="1:11" ht="24" customHeight="1" x14ac:dyDescent="0.2">
      <c r="A27" s="196"/>
      <c r="B27" s="197"/>
      <c r="C27" s="197"/>
      <c r="D27" s="197"/>
      <c r="E27" s="198"/>
      <c r="G27" s="30"/>
      <c r="H27" s="29"/>
      <c r="K27" s="7"/>
    </row>
    <row r="28" spans="1:11" ht="12.75" customHeight="1" x14ac:dyDescent="0.2">
      <c r="A28" s="196"/>
      <c r="B28" s="197"/>
      <c r="C28" s="197"/>
      <c r="D28" s="197"/>
      <c r="E28" s="198"/>
      <c r="F28" s="5"/>
      <c r="G28" s="30"/>
      <c r="H28" s="29"/>
    </row>
    <row r="29" spans="1:11" ht="12.75" customHeight="1" x14ac:dyDescent="0.2">
      <c r="A29" s="196"/>
      <c r="B29" s="197"/>
      <c r="C29" s="197"/>
      <c r="D29" s="197"/>
      <c r="E29" s="198"/>
      <c r="G29" s="30"/>
      <c r="H29" s="29"/>
    </row>
    <row r="30" spans="1:11" ht="12.75" customHeight="1" x14ac:dyDescent="0.2">
      <c r="A30" s="196"/>
      <c r="B30" s="197"/>
      <c r="C30" s="197"/>
      <c r="D30" s="197"/>
      <c r="E30" s="198"/>
      <c r="F30" s="30"/>
      <c r="G30" s="30"/>
      <c r="H30" s="29"/>
    </row>
    <row r="31" spans="1:11" ht="12.75" customHeight="1" x14ac:dyDescent="0.2">
      <c r="A31" s="196"/>
      <c r="B31" s="197"/>
      <c r="C31" s="197"/>
      <c r="D31" s="197"/>
      <c r="E31" s="198"/>
      <c r="F31" s="30"/>
      <c r="G31" s="30"/>
      <c r="H31" s="29"/>
    </row>
    <row r="32" spans="1:11" ht="12.75" customHeight="1" x14ac:dyDescent="0.2">
      <c r="A32" s="196"/>
      <c r="B32" s="197"/>
      <c r="C32" s="197"/>
      <c r="D32" s="197"/>
      <c r="E32" s="198"/>
      <c r="F32" s="30"/>
      <c r="G32" s="30"/>
      <c r="H32" s="29"/>
    </row>
    <row r="33" spans="1:8" ht="12.75" customHeight="1" x14ac:dyDescent="0.2">
      <c r="A33" s="196"/>
      <c r="B33" s="197"/>
      <c r="C33" s="197"/>
      <c r="D33" s="197"/>
      <c r="E33" s="198"/>
      <c r="F33" s="30"/>
      <c r="G33" s="30"/>
      <c r="H33" s="29"/>
    </row>
    <row r="34" spans="1:8" ht="12.75" customHeight="1" x14ac:dyDescent="0.2">
      <c r="A34" s="196"/>
      <c r="B34" s="197"/>
      <c r="C34" s="197"/>
      <c r="D34" s="197"/>
      <c r="E34" s="198"/>
      <c r="F34" s="30"/>
      <c r="G34" s="30"/>
      <c r="H34" s="29"/>
    </row>
    <row r="35" spans="1:8" ht="13.5" customHeight="1" x14ac:dyDescent="0.2">
      <c r="A35" s="196"/>
      <c r="B35" s="197"/>
      <c r="C35" s="197"/>
      <c r="D35" s="197"/>
      <c r="E35" s="198"/>
      <c r="F35" s="30"/>
    </row>
    <row r="36" spans="1:8" ht="13.5" customHeight="1" x14ac:dyDescent="0.2">
      <c r="A36" s="196"/>
      <c r="B36" s="197"/>
      <c r="C36" s="197"/>
      <c r="D36" s="197"/>
      <c r="E36" s="198"/>
      <c r="F36" s="30"/>
    </row>
    <row r="37" spans="1:8" x14ac:dyDescent="0.2">
      <c r="E37" s="76"/>
      <c r="F37" s="30"/>
    </row>
    <row r="38" spans="1:8" x14ac:dyDescent="0.2">
      <c r="E38" s="76"/>
      <c r="F38" s="30"/>
    </row>
    <row r="39" spans="1:8" x14ac:dyDescent="0.2">
      <c r="E39" s="76"/>
      <c r="F39" s="30"/>
    </row>
    <row r="40" spans="1:8" ht="15.75" thickBot="1" x14ac:dyDescent="0.25">
      <c r="A40" s="199"/>
      <c r="B40" s="200"/>
      <c r="C40" s="200"/>
      <c r="D40" s="200"/>
      <c r="E40" s="201"/>
      <c r="F40" s="30"/>
    </row>
  </sheetData>
  <mergeCells count="4">
    <mergeCell ref="A1:D1"/>
    <mergeCell ref="A4:B5"/>
    <mergeCell ref="C4:D5"/>
    <mergeCell ref="J4:J5"/>
  </mergeCells>
  <conditionalFormatting sqref="G17:G18">
    <cfRule type="expression" dxfId="926" priority="4">
      <formula>ISNUMBER(SEARCH(TEXT(#REF!,"ddd"),#REF!))</formula>
    </cfRule>
  </conditionalFormatting>
  <conditionalFormatting sqref="H20:I21 I19">
    <cfRule type="expression" dxfId="925" priority="5">
      <formula>ISNUMBER(SEARCH(TEXT(#REF!,"ddd"),#REF!))</formula>
    </cfRule>
  </conditionalFormatting>
  <conditionalFormatting sqref="A10:D12 A16:C18 D13:D17">
    <cfRule type="expression" dxfId="924" priority="6">
      <formula>ISNUMBER(SEARCH(TEXT(#REF!,"ddd"),#REF!))</formula>
    </cfRule>
  </conditionalFormatting>
  <conditionalFormatting sqref="K19:K24">
    <cfRule type="expression" dxfId="923" priority="7">
      <formula>ISNUMBER(SEARCH(TEXT(#REF!,"ddd"),#REF!))</formula>
    </cfRule>
  </conditionalFormatting>
  <conditionalFormatting sqref="A14:C14">
    <cfRule type="expression" dxfId="922" priority="1">
      <formula>ISNUMBER(SEARCH(TEXT(#REF!,"ddd"),#REF!))</formula>
    </cfRule>
  </conditionalFormatting>
  <conditionalFormatting sqref="A13:C13">
    <cfRule type="expression" dxfId="921" priority="3">
      <formula>ISNUMBER(SEARCH(TEXT(#REF!,"ddd"),#REF!))</formula>
    </cfRule>
  </conditionalFormatting>
  <conditionalFormatting sqref="A15:C15">
    <cfRule type="expression" dxfId="920" priority="2">
      <formula>ISNUMBER(SEARCH(TEXT(#REF!,"ddd"),#REF!))</formula>
    </cfRule>
  </conditionalFormatting>
  <dataValidations count="3">
    <dataValidation type="custom" allowBlank="1" showInputMessage="1" showErrorMessage="1" sqref="C10 C17" xr:uid="{4D83B621-E7CC-414C-A1D5-B262A4A5978B}">
      <formula1>AND($C10&lt;=1,ISNUMBER($C10),($C10&gt;=$B10))</formula1>
    </dataValidation>
    <dataValidation type="custom" allowBlank="1" showInputMessage="1" showErrorMessage="1" sqref="G17:G18" xr:uid="{24890440-A3A1-46CC-A913-3C3B4FD1F466}">
      <formula1>AND($B15&lt;=1,ISNUMBER($B15))</formula1>
    </dataValidation>
    <dataValidation type="custom" allowBlank="1" showInputMessage="1" showErrorMessage="1" sqref="C18 B10:B18 C11:C16" xr:uid="{35C7059D-6D2D-43C6-9DA5-A9EC909A1C0A}">
      <formula1>AND($B10&lt;=1,ISNUMBER($B10))</formula1>
    </dataValidation>
  </dataValidations>
  <pageMargins left="0.25" right="0.25" top="0.75" bottom="0.75" header="0.3" footer="0.3"/>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F132F-23B5-487D-97E7-BAD4B9E50828}">
  <sheetPr codeName="Sheet11"/>
  <dimension ref="A1:K45"/>
  <sheetViews>
    <sheetView showGridLines="0" zoomScaleNormal="100" workbookViewId="0">
      <selection activeCell="G6" sqref="G6"/>
    </sheetView>
  </sheetViews>
  <sheetFormatPr baseColWidth="10" defaultColWidth="9" defaultRowHeight="12.75" x14ac:dyDescent="0.2"/>
  <cols>
    <col min="1" max="1" width="13.5" bestFit="1" customWidth="1"/>
    <col min="2" max="2" width="14.25" customWidth="1"/>
    <col min="3" max="3" width="13.125" bestFit="1" customWidth="1"/>
    <col min="4" max="4" width="11.62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x14ac:dyDescent="0.4">
      <c r="A1" s="301" t="s">
        <v>19</v>
      </c>
      <c r="B1" s="301"/>
      <c r="C1" s="301"/>
      <c r="D1" s="301"/>
      <c r="E1" s="55">
        <f>WEEKNUM(A10)</f>
        <v>5</v>
      </c>
      <c r="F1" s="56"/>
      <c r="G1" s="57"/>
      <c r="H1" s="26"/>
      <c r="J1" s="1"/>
    </row>
    <row r="2" spans="1:10" s="1" customFormat="1" ht="14.25" customHeight="1" x14ac:dyDescent="0.25">
      <c r="A2" s="49" t="s">
        <v>1</v>
      </c>
      <c r="B2" s="49"/>
      <c r="C2" s="49" t="s">
        <v>2</v>
      </c>
      <c r="D2" s="49"/>
      <c r="E2" s="54" t="s">
        <v>3</v>
      </c>
      <c r="F2" s="54" t="s">
        <v>4</v>
      </c>
      <c r="G2" s="54" t="s">
        <v>5</v>
      </c>
      <c r="H2" s="20"/>
      <c r="I2" s="13"/>
      <c r="J2" s="6"/>
    </row>
    <row r="3" spans="1:10" ht="16.5" thickBot="1" x14ac:dyDescent="0.25">
      <c r="A3" s="53">
        <f>A10</f>
        <v>43857</v>
      </c>
      <c r="B3" s="188"/>
      <c r="C3" s="53">
        <f>A13</f>
        <v>43860</v>
      </c>
      <c r="D3" s="188"/>
      <c r="E3" s="42" t="s">
        <v>6</v>
      </c>
      <c r="F3" s="46">
        <f>Sumcolor(E3,D10:D19)</f>
        <v>0.1875</v>
      </c>
      <c r="G3" s="47">
        <f>SUM(Først:Sist!F3)</f>
        <v>1.0381944444444446</v>
      </c>
      <c r="H3" s="22"/>
      <c r="I3" s="7"/>
      <c r="J3" s="7"/>
    </row>
    <row r="4" spans="1:10" ht="15" customHeight="1" x14ac:dyDescent="0.2">
      <c r="A4" s="293" t="s">
        <v>7</v>
      </c>
      <c r="B4" s="293"/>
      <c r="C4" s="302" t="s">
        <v>8</v>
      </c>
      <c r="D4" s="302"/>
      <c r="E4" s="43" t="s">
        <v>9</v>
      </c>
      <c r="F4" s="46">
        <f>Sumcolor(E4,D10:D19)</f>
        <v>0</v>
      </c>
      <c r="G4" s="47">
        <f>SUM(Først:Sist!F4)</f>
        <v>8.03125</v>
      </c>
      <c r="H4" s="22"/>
      <c r="I4" s="7"/>
      <c r="J4" s="291"/>
    </row>
    <row r="5" spans="1:10" ht="15.75" x14ac:dyDescent="0.2">
      <c r="A5" s="302"/>
      <c r="B5" s="302"/>
      <c r="C5" s="302"/>
      <c r="D5" s="302"/>
      <c r="E5" s="44" t="s">
        <v>10</v>
      </c>
      <c r="F5" s="46">
        <f>Sumcolor(E5,D10:D19)</f>
        <v>2.083333333333337E-2</v>
      </c>
      <c r="G5" s="47">
        <f>SUM(Først:Sist!F5)</f>
        <v>1.8090277777777768</v>
      </c>
      <c r="H5" s="22"/>
      <c r="I5" s="7"/>
      <c r="J5" s="291"/>
    </row>
    <row r="6" spans="1:10" ht="18.75" customHeight="1" thickBot="1" x14ac:dyDescent="0.25">
      <c r="A6" s="50">
        <f>SUM(D10:D19)</f>
        <v>0.20833333333333337</v>
      </c>
      <c r="B6" s="51"/>
      <c r="C6" s="82">
        <f>SUM(Først:Sist!A6)</f>
        <v>12.965277777777779</v>
      </c>
      <c r="D6" s="52"/>
      <c r="E6" s="45" t="s">
        <v>11</v>
      </c>
      <c r="F6" s="48">
        <f>Sumcolor(E6,D10:D19)</f>
        <v>0</v>
      </c>
      <c r="G6" s="48">
        <f>SUM(Først:Sist!F6)</f>
        <v>1.9895833333333335</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41" t="s">
        <v>12</v>
      </c>
      <c r="B9" s="41" t="s">
        <v>13</v>
      </c>
      <c r="C9" s="41" t="s">
        <v>14</v>
      </c>
      <c r="D9" s="41" t="s">
        <v>15</v>
      </c>
      <c r="E9" s="41" t="s">
        <v>16</v>
      </c>
      <c r="F9" s="68" t="s">
        <v>17</v>
      </c>
      <c r="H9" s="25"/>
    </row>
    <row r="10" spans="1:10" ht="16.5" thickBot="1" x14ac:dyDescent="0.3">
      <c r="A10" s="33">
        <f>DATE(2020,1,27)</f>
        <v>43857</v>
      </c>
      <c r="B10" s="34">
        <v>0.58333333333333337</v>
      </c>
      <c r="C10" s="34">
        <v>0.64583333333333337</v>
      </c>
      <c r="D10" s="75">
        <f t="shared" ref="D10" si="0">(C10-B10)</f>
        <v>6.25E-2</v>
      </c>
      <c r="E10" s="288" t="s">
        <v>6</v>
      </c>
      <c r="F10" s="65"/>
      <c r="H10" s="25"/>
    </row>
    <row r="11" spans="1:10" ht="15.75" x14ac:dyDescent="0.25">
      <c r="A11" s="35">
        <f>DATE(2020,1,29)</f>
        <v>43859</v>
      </c>
      <c r="B11" s="36">
        <v>0.41666666666666669</v>
      </c>
      <c r="C11" s="36">
        <v>0.47916666666666669</v>
      </c>
      <c r="D11" s="72">
        <f>(C11-B11)</f>
        <v>6.25E-2</v>
      </c>
      <c r="E11" s="288" t="s">
        <v>6</v>
      </c>
      <c r="F11" s="66"/>
      <c r="H11" s="25"/>
    </row>
    <row r="12" spans="1:10" ht="16.5" thickBot="1" x14ac:dyDescent="0.3">
      <c r="A12" s="31">
        <f>DATE(2020,1,29)</f>
        <v>43859</v>
      </c>
      <c r="B12" s="32">
        <v>0.5</v>
      </c>
      <c r="C12" s="32">
        <v>0.52083333333333337</v>
      </c>
      <c r="D12" s="77">
        <f>(C12-B12)</f>
        <v>2.083333333333337E-2</v>
      </c>
      <c r="E12" s="290" t="s">
        <v>10</v>
      </c>
      <c r="F12" s="66"/>
    </row>
    <row r="13" spans="1:10" ht="15.75" x14ac:dyDescent="0.25">
      <c r="A13" s="37">
        <f>DATE(2020,1,30)</f>
        <v>43860</v>
      </c>
      <c r="B13" s="38">
        <v>0.41666666666666669</v>
      </c>
      <c r="C13" s="38">
        <v>0.47916666666666669</v>
      </c>
      <c r="D13" s="78">
        <f t="shared" ref="D13:D16" si="1">(C13-B13)</f>
        <v>6.25E-2</v>
      </c>
      <c r="E13" s="288" t="s">
        <v>6</v>
      </c>
      <c r="F13" s="66"/>
    </row>
    <row r="14" spans="1:10" ht="15.75" x14ac:dyDescent="0.25">
      <c r="A14" s="31"/>
      <c r="B14" s="32"/>
      <c r="C14" s="32"/>
      <c r="D14" s="74">
        <f t="shared" si="1"/>
        <v>0</v>
      </c>
      <c r="E14" s="190"/>
      <c r="F14" s="66"/>
    </row>
    <row r="15" spans="1:10" ht="15.75" x14ac:dyDescent="0.25">
      <c r="A15" s="35"/>
      <c r="B15" s="36"/>
      <c r="C15" s="36"/>
      <c r="D15" s="74">
        <f t="shared" si="1"/>
        <v>0</v>
      </c>
      <c r="E15" s="190"/>
      <c r="F15" s="66"/>
    </row>
    <row r="16" spans="1:10" ht="15.75" x14ac:dyDescent="0.25">
      <c r="A16" s="31"/>
      <c r="B16" s="32"/>
      <c r="C16" s="32"/>
      <c r="D16" s="60">
        <f t="shared" si="1"/>
        <v>0</v>
      </c>
      <c r="E16" s="190"/>
      <c r="F16" s="66"/>
    </row>
    <row r="17" spans="1:11" ht="15.75" x14ac:dyDescent="0.25">
      <c r="A17" s="37"/>
      <c r="B17" s="38"/>
      <c r="C17" s="38"/>
      <c r="D17" s="60">
        <f>(C17-B17)</f>
        <v>0</v>
      </c>
      <c r="E17" s="190"/>
      <c r="F17" s="66"/>
      <c r="G17" s="12"/>
    </row>
    <row r="18" spans="1:11" ht="15.75" x14ac:dyDescent="0.25">
      <c r="A18" s="31"/>
      <c r="B18" s="32"/>
      <c r="C18" s="32"/>
      <c r="D18" s="61">
        <f>(C18-B18)</f>
        <v>0</v>
      </c>
      <c r="E18" s="191"/>
      <c r="F18" s="66"/>
      <c r="G18" s="12"/>
    </row>
    <row r="19" spans="1:11" ht="16.5" thickBot="1" x14ac:dyDescent="0.3">
      <c r="A19" s="39"/>
      <c r="B19" s="40"/>
      <c r="C19" s="40"/>
      <c r="D19" s="62">
        <f>(C19-B19)</f>
        <v>0</v>
      </c>
      <c r="E19" s="192"/>
      <c r="F19" s="67"/>
      <c r="I19" s="8"/>
      <c r="K19" s="8"/>
    </row>
    <row r="20" spans="1:11" x14ac:dyDescent="0.2">
      <c r="H20" s="8"/>
      <c r="I20" s="8"/>
      <c r="K20" s="8"/>
    </row>
    <row r="21" spans="1:11" x14ac:dyDescent="0.2">
      <c r="H21" s="8"/>
      <c r="I21" s="8"/>
      <c r="K21" s="8"/>
    </row>
    <row r="22" spans="1:11" ht="24" thickBot="1" x14ac:dyDescent="0.4">
      <c r="A22" s="28" t="s">
        <v>18</v>
      </c>
      <c r="B22" s="28"/>
      <c r="C22" s="27"/>
      <c r="D22" s="27"/>
      <c r="E22" s="27"/>
      <c r="G22" s="5"/>
      <c r="H22" s="9"/>
      <c r="I22" s="9"/>
      <c r="K22" s="8"/>
    </row>
    <row r="23" spans="1:11" ht="15.75" customHeight="1" thickBot="1" x14ac:dyDescent="0.25">
      <c r="A23" s="5"/>
      <c r="B23" s="15"/>
      <c r="C23" s="16"/>
      <c r="D23" s="17"/>
      <c r="E23" s="18"/>
      <c r="H23" s="10"/>
      <c r="I23" s="10"/>
      <c r="K23" s="8"/>
    </row>
    <row r="24" spans="1:11" ht="12.75" customHeight="1" x14ac:dyDescent="0.2">
      <c r="A24" s="193"/>
      <c r="B24" s="194"/>
      <c r="C24" s="194"/>
      <c r="D24" s="194"/>
      <c r="E24" s="195"/>
      <c r="G24" s="30"/>
      <c r="H24" s="29"/>
      <c r="K24" s="8"/>
    </row>
    <row r="25" spans="1:11" ht="12.75" customHeight="1" x14ac:dyDescent="0.2">
      <c r="A25" s="196"/>
      <c r="B25" s="197"/>
      <c r="C25" s="197"/>
      <c r="D25" s="197"/>
      <c r="E25" s="198"/>
      <c r="G25" s="30"/>
      <c r="H25" s="29"/>
      <c r="K25" s="9"/>
    </row>
    <row r="26" spans="1:11" ht="12.75" customHeight="1" x14ac:dyDescent="0.2">
      <c r="A26" s="196"/>
      <c r="B26" s="197"/>
      <c r="C26" s="197"/>
      <c r="D26" s="197"/>
      <c r="E26" s="198"/>
      <c r="G26" s="30"/>
      <c r="H26" s="29"/>
      <c r="K26" s="11"/>
    </row>
    <row r="27" spans="1:11" ht="24" customHeight="1" x14ac:dyDescent="0.2">
      <c r="A27" s="196"/>
      <c r="B27" s="197"/>
      <c r="C27" s="197"/>
      <c r="D27" s="197"/>
      <c r="E27" s="198"/>
      <c r="G27" s="30"/>
      <c r="H27" s="29"/>
      <c r="K27" s="7"/>
    </row>
    <row r="28" spans="1:11" ht="12.75" customHeight="1" x14ac:dyDescent="0.2">
      <c r="A28" s="196"/>
      <c r="B28" s="197"/>
      <c r="C28" s="197"/>
      <c r="D28" s="197"/>
      <c r="E28" s="198"/>
      <c r="F28" s="5"/>
      <c r="G28" s="30"/>
      <c r="H28" s="29"/>
    </row>
    <row r="29" spans="1:11" ht="12.75" customHeight="1" x14ac:dyDescent="0.2">
      <c r="A29" s="196"/>
      <c r="B29" s="197"/>
      <c r="C29" s="197"/>
      <c r="D29" s="197"/>
      <c r="E29" s="198"/>
      <c r="G29" s="30"/>
      <c r="H29" s="29"/>
    </row>
    <row r="30" spans="1:11" ht="12.75" customHeight="1" x14ac:dyDescent="0.2">
      <c r="A30" s="196"/>
      <c r="B30" s="197"/>
      <c r="C30" s="197"/>
      <c r="D30" s="197"/>
      <c r="E30" s="198"/>
      <c r="F30" s="30"/>
      <c r="G30" s="30"/>
      <c r="H30" s="29"/>
    </row>
    <row r="31" spans="1:11" ht="12.75" customHeight="1" x14ac:dyDescent="0.2">
      <c r="A31" s="196"/>
      <c r="B31" s="197"/>
      <c r="C31" s="197"/>
      <c r="D31" s="197"/>
      <c r="E31" s="198"/>
      <c r="F31" s="30"/>
      <c r="G31" s="30"/>
      <c r="H31" s="29"/>
    </row>
    <row r="32" spans="1:11" ht="12.75" customHeight="1" x14ac:dyDescent="0.2">
      <c r="A32" s="196"/>
      <c r="B32" s="197"/>
      <c r="C32" s="197"/>
      <c r="D32" s="197"/>
      <c r="E32" s="198"/>
      <c r="F32" s="30"/>
      <c r="G32" s="30"/>
      <c r="H32" s="29"/>
    </row>
    <row r="33" spans="1:8" ht="12.75" customHeight="1" x14ac:dyDescent="0.2">
      <c r="A33" s="196"/>
      <c r="B33" s="197"/>
      <c r="C33" s="197"/>
      <c r="D33" s="197"/>
      <c r="E33" s="198"/>
      <c r="F33" s="30"/>
      <c r="G33" s="30"/>
      <c r="H33" s="29"/>
    </row>
    <row r="34" spans="1:8" ht="12.75" customHeight="1" x14ac:dyDescent="0.2">
      <c r="A34" s="196"/>
      <c r="B34" s="197"/>
      <c r="C34" s="197"/>
      <c r="D34" s="197"/>
      <c r="E34" s="198"/>
      <c r="F34" s="30"/>
      <c r="G34" s="30"/>
      <c r="H34" s="29"/>
    </row>
    <row r="35" spans="1:8" ht="13.5" customHeight="1" x14ac:dyDescent="0.2">
      <c r="A35" s="196"/>
      <c r="B35" s="197"/>
      <c r="C35" s="197"/>
      <c r="D35" s="197"/>
      <c r="E35" s="198"/>
      <c r="F35" s="30"/>
    </row>
    <row r="36" spans="1:8" ht="13.5" customHeight="1" x14ac:dyDescent="0.2">
      <c r="A36" s="196"/>
      <c r="B36" s="197"/>
      <c r="C36" s="197"/>
      <c r="D36" s="197"/>
      <c r="E36" s="198"/>
      <c r="F36" s="30"/>
    </row>
    <row r="37" spans="1:8" x14ac:dyDescent="0.2">
      <c r="E37" s="76"/>
      <c r="F37" s="30"/>
    </row>
    <row r="38" spans="1:8" x14ac:dyDescent="0.2">
      <c r="E38" s="76"/>
      <c r="F38" s="30"/>
    </row>
    <row r="39" spans="1:8" x14ac:dyDescent="0.2">
      <c r="E39" s="76"/>
      <c r="F39" s="30"/>
    </row>
    <row r="40" spans="1:8" x14ac:dyDescent="0.2">
      <c r="E40" s="76"/>
      <c r="F40" s="30"/>
    </row>
    <row r="41" spans="1:8" x14ac:dyDescent="0.2">
      <c r="E41" s="76"/>
    </row>
    <row r="42" spans="1:8" x14ac:dyDescent="0.2">
      <c r="E42" s="76"/>
    </row>
    <row r="43" spans="1:8" x14ac:dyDescent="0.2">
      <c r="E43" s="76"/>
    </row>
    <row r="44" spans="1:8" x14ac:dyDescent="0.2">
      <c r="E44" s="76"/>
    </row>
    <row r="45" spans="1:8" ht="15.75" thickBot="1" x14ac:dyDescent="0.25">
      <c r="A45" s="199"/>
      <c r="B45" s="200"/>
      <c r="C45" s="200"/>
      <c r="D45" s="200"/>
      <c r="E45" s="201"/>
    </row>
  </sheetData>
  <mergeCells count="4">
    <mergeCell ref="A1:D1"/>
    <mergeCell ref="A4:B5"/>
    <mergeCell ref="C4:D5"/>
    <mergeCell ref="J4:J5"/>
  </mergeCells>
  <conditionalFormatting sqref="G17:G18">
    <cfRule type="expression" dxfId="919" priority="4">
      <formula>ISNUMBER(SEARCH(TEXT(#REF!,"ddd"),#REF!))</formula>
    </cfRule>
  </conditionalFormatting>
  <conditionalFormatting sqref="H20:I21 I19">
    <cfRule type="expression" dxfId="918" priority="5">
      <formula>ISNUMBER(SEARCH(TEXT(#REF!,"ddd"),#REF!))</formula>
    </cfRule>
  </conditionalFormatting>
  <conditionalFormatting sqref="A10:D12 A16:C18 D13:D17">
    <cfRule type="expression" dxfId="917" priority="6">
      <formula>ISNUMBER(SEARCH(TEXT(#REF!,"ddd"),#REF!))</formula>
    </cfRule>
  </conditionalFormatting>
  <conditionalFormatting sqref="K19:K24">
    <cfRule type="expression" dxfId="916" priority="7">
      <formula>ISNUMBER(SEARCH(TEXT(#REF!,"ddd"),#REF!))</formula>
    </cfRule>
  </conditionalFormatting>
  <conditionalFormatting sqref="A14:C14">
    <cfRule type="expression" dxfId="915" priority="1">
      <formula>ISNUMBER(SEARCH(TEXT(#REF!,"ddd"),#REF!))</formula>
    </cfRule>
  </conditionalFormatting>
  <conditionalFormatting sqref="A13:C13">
    <cfRule type="expression" dxfId="914" priority="3">
      <formula>ISNUMBER(SEARCH(TEXT(#REF!,"ddd"),#REF!))</formula>
    </cfRule>
  </conditionalFormatting>
  <conditionalFormatting sqref="A15:C15">
    <cfRule type="expression" dxfId="913" priority="2">
      <formula>ISNUMBER(SEARCH(TEXT(#REF!,"ddd"),#REF!))</formula>
    </cfRule>
  </conditionalFormatting>
  <dataValidations count="3">
    <dataValidation type="custom" allowBlank="1" showInputMessage="1" showErrorMessage="1" sqref="C18 B10:B18 C11:C16" xr:uid="{07053D96-3C7C-486C-8D49-0328B28A0EA2}">
      <formula1>AND($B10&lt;=1,ISNUMBER($B10))</formula1>
    </dataValidation>
    <dataValidation type="custom" allowBlank="1" showInputMessage="1" showErrorMessage="1" sqref="G17:G18" xr:uid="{D467BD30-ED2B-4119-9744-118231D9A4A8}">
      <formula1>AND($B15&lt;=1,ISNUMBER($B15))</formula1>
    </dataValidation>
    <dataValidation type="custom" allowBlank="1" showInputMessage="1" showErrorMessage="1" sqref="C10 C17" xr:uid="{3CB3B352-F7C9-49FD-B208-40FC6AA6D00B}">
      <formula1>AND($C10&lt;=1,ISNUMBER($C10),($C10&gt;=$B10))</formula1>
    </dataValidation>
  </dataValidations>
  <pageMargins left="0.25" right="0.25" top="0.75" bottom="0.75" header="0.3" footer="0.3"/>
  <pageSetup paperSize="9" orientation="portrait" horizontalDpi="4294967293" verticalDpi="4294967293"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9D979-F8D0-44FC-B7F4-2652ECA2F96E}">
  <sheetPr codeName="Sheet12">
    <pageSetUpPr fitToPage="1"/>
  </sheetPr>
  <dimension ref="A1:K48"/>
  <sheetViews>
    <sheetView showGridLines="0" zoomScaleNormal="100" workbookViewId="0">
      <selection activeCell="E14" sqref="E14"/>
    </sheetView>
  </sheetViews>
  <sheetFormatPr baseColWidth="10" defaultColWidth="9" defaultRowHeight="12.75" x14ac:dyDescent="0.2"/>
  <cols>
    <col min="1" max="1" width="13.5" bestFit="1" customWidth="1"/>
    <col min="2" max="2" width="14.25" customWidth="1"/>
    <col min="3" max="3" width="13.125" bestFit="1" customWidth="1"/>
    <col min="4" max="4" width="11.62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x14ac:dyDescent="0.4">
      <c r="A1" s="301" t="s">
        <v>19</v>
      </c>
      <c r="B1" s="301"/>
      <c r="C1" s="301"/>
      <c r="D1" s="301"/>
      <c r="E1" s="55">
        <f>WEEKNUM(A10)</f>
        <v>6</v>
      </c>
      <c r="F1" s="56"/>
      <c r="G1" s="57"/>
      <c r="H1" s="26"/>
      <c r="J1" s="1"/>
    </row>
    <row r="2" spans="1:10" s="1" customFormat="1" ht="14.25" customHeight="1" x14ac:dyDescent="0.25">
      <c r="A2" s="49" t="s">
        <v>1</v>
      </c>
      <c r="B2" s="49"/>
      <c r="C2" s="49" t="s">
        <v>2</v>
      </c>
      <c r="D2" s="49"/>
      <c r="E2" s="54" t="s">
        <v>3</v>
      </c>
      <c r="F2" s="54" t="s">
        <v>4</v>
      </c>
      <c r="G2" s="54" t="s">
        <v>5</v>
      </c>
      <c r="H2" s="20"/>
      <c r="I2" s="13"/>
      <c r="J2" s="6"/>
    </row>
    <row r="3" spans="1:10" ht="16.5" thickBot="1" x14ac:dyDescent="0.25">
      <c r="A3" s="53">
        <f>A10</f>
        <v>43866</v>
      </c>
      <c r="B3" s="188"/>
      <c r="C3" s="53">
        <f>A13</f>
        <v>43867</v>
      </c>
      <c r="D3" s="188"/>
      <c r="E3" s="42" t="s">
        <v>6</v>
      </c>
      <c r="F3" s="46">
        <f>Sumcolor(E3,D10:D19)</f>
        <v>6.25E-2</v>
      </c>
      <c r="G3" s="47">
        <f>SUM(Først:Sist!F3)</f>
        <v>1.0381944444444446</v>
      </c>
      <c r="H3" s="22"/>
      <c r="I3" s="7"/>
      <c r="J3" s="7"/>
    </row>
    <row r="4" spans="1:10" ht="15" customHeight="1" x14ac:dyDescent="0.2">
      <c r="A4" s="293" t="s">
        <v>7</v>
      </c>
      <c r="B4" s="293"/>
      <c r="C4" s="302" t="s">
        <v>8</v>
      </c>
      <c r="D4" s="302"/>
      <c r="E4" s="43" t="s">
        <v>9</v>
      </c>
      <c r="F4" s="46">
        <f>Sumcolor(E4,D10:D19)</f>
        <v>3.125E-2</v>
      </c>
      <c r="G4" s="47">
        <f>SUM(Først:Sist!F4)</f>
        <v>8.03125</v>
      </c>
      <c r="H4" s="22"/>
      <c r="I4" s="7"/>
      <c r="J4" s="291"/>
    </row>
    <row r="5" spans="1:10" ht="15.75" x14ac:dyDescent="0.2">
      <c r="A5" s="302"/>
      <c r="B5" s="302"/>
      <c r="C5" s="302"/>
      <c r="D5" s="302"/>
      <c r="E5" s="44" t="s">
        <v>10</v>
      </c>
      <c r="F5" s="46">
        <f>Sumcolor(E5,D10:D19)</f>
        <v>6.25E-2</v>
      </c>
      <c r="G5" s="47">
        <f>SUM(Først:Sist!F5)</f>
        <v>1.8090277777777768</v>
      </c>
      <c r="H5" s="22"/>
      <c r="I5" s="7"/>
      <c r="J5" s="291"/>
    </row>
    <row r="6" spans="1:10" ht="18.75" customHeight="1" thickBot="1" x14ac:dyDescent="0.25">
      <c r="A6" s="50">
        <f>SUM(D10:D19)</f>
        <v>0.15625</v>
      </c>
      <c r="B6" s="51"/>
      <c r="C6" s="82">
        <f>SUM(Først:Sist!A6)</f>
        <v>12.965277777777779</v>
      </c>
      <c r="D6" s="52"/>
      <c r="E6" s="45" t="s">
        <v>11</v>
      </c>
      <c r="F6" s="48">
        <f>Sumcolor(E6,D10:D19)</f>
        <v>0</v>
      </c>
      <c r="G6" s="48">
        <f>SUM(Først:Sist!F6)</f>
        <v>1.9895833333333335</v>
      </c>
      <c r="H6" s="22"/>
      <c r="I6" s="7"/>
      <c r="J6" s="7"/>
    </row>
    <row r="7" spans="1:10" ht="12.75" customHeight="1" x14ac:dyDescent="0.2">
      <c r="A7" s="19"/>
      <c r="B7" s="23"/>
      <c r="C7" s="24"/>
      <c r="D7" s="14"/>
      <c r="E7" s="23"/>
      <c r="F7" s="23"/>
      <c r="G7" s="25"/>
      <c r="H7" s="25"/>
    </row>
    <row r="8" spans="1:10" x14ac:dyDescent="0.2">
      <c r="A8" s="23"/>
      <c r="B8" s="25"/>
      <c r="C8" s="14"/>
      <c r="D8" s="25"/>
      <c r="E8" s="23"/>
      <c r="F8" s="23"/>
      <c r="G8" s="25"/>
      <c r="H8" s="25"/>
    </row>
    <row r="9" spans="1:10" ht="16.5" thickBot="1" x14ac:dyDescent="0.3">
      <c r="A9" s="41" t="s">
        <v>12</v>
      </c>
      <c r="B9" s="41" t="s">
        <v>13</v>
      </c>
      <c r="C9" s="41" t="s">
        <v>14</v>
      </c>
      <c r="D9" s="41" t="s">
        <v>15</v>
      </c>
      <c r="E9" s="41" t="s">
        <v>16</v>
      </c>
      <c r="F9" s="68" t="s">
        <v>17</v>
      </c>
      <c r="H9" s="25"/>
    </row>
    <row r="10" spans="1:10" ht="15.75" x14ac:dyDescent="0.25">
      <c r="A10" s="33">
        <f>DATE(2020,2,5)</f>
        <v>43866</v>
      </c>
      <c r="B10" s="34">
        <v>0.41666666666666669</v>
      </c>
      <c r="C10" s="34">
        <v>0.47916666666666669</v>
      </c>
      <c r="D10" s="75">
        <f t="shared" ref="D10" si="0">(C10-B10)</f>
        <v>6.25E-2</v>
      </c>
      <c r="E10" s="288" t="s">
        <v>279</v>
      </c>
      <c r="F10" s="65"/>
      <c r="H10" s="25"/>
    </row>
    <row r="11" spans="1:10" ht="15.75" x14ac:dyDescent="0.25">
      <c r="A11" s="35">
        <f>DATE(2020,2,5)</f>
        <v>43866</v>
      </c>
      <c r="B11" s="36">
        <v>0.5</v>
      </c>
      <c r="C11" s="36">
        <v>0.53125</v>
      </c>
      <c r="D11" s="77">
        <f>(C11-B11)</f>
        <v>3.125E-2</v>
      </c>
      <c r="E11" s="289" t="s">
        <v>280</v>
      </c>
      <c r="F11" s="66"/>
      <c r="H11" s="25"/>
    </row>
    <row r="12" spans="1:10" ht="15.75" x14ac:dyDescent="0.25">
      <c r="A12" s="31">
        <f>DATE(2020,2,6)</f>
        <v>43867</v>
      </c>
      <c r="B12" s="32">
        <v>0.41666666666666669</v>
      </c>
      <c r="C12" s="32">
        <v>0.44791666666666669</v>
      </c>
      <c r="D12" s="77">
        <f>(C12-B12)</f>
        <v>3.125E-2</v>
      </c>
      <c r="E12" s="289" t="s">
        <v>280</v>
      </c>
      <c r="F12" s="66"/>
    </row>
    <row r="13" spans="1:10" ht="15.75" x14ac:dyDescent="0.25">
      <c r="A13" s="37">
        <f>DATE(2020,2,6)</f>
        <v>43867</v>
      </c>
      <c r="B13" s="38">
        <v>0.44791666666666669</v>
      </c>
      <c r="C13" s="38">
        <v>0.47916666666666669</v>
      </c>
      <c r="D13" s="79">
        <f t="shared" ref="D13:D16" si="1">(C13-B13)</f>
        <v>3.125E-2</v>
      </c>
      <c r="E13" s="290" t="s">
        <v>281</v>
      </c>
      <c r="F13" s="66"/>
    </row>
    <row r="14" spans="1:10" ht="15.75" x14ac:dyDescent="0.25">
      <c r="A14" s="31"/>
      <c r="B14" s="32"/>
      <c r="C14" s="32"/>
      <c r="D14" s="74">
        <f t="shared" si="1"/>
        <v>0</v>
      </c>
      <c r="E14" s="190"/>
      <c r="F14" s="66"/>
    </row>
    <row r="15" spans="1:10" ht="15.75" x14ac:dyDescent="0.25">
      <c r="A15" s="35"/>
      <c r="B15" s="36"/>
      <c r="C15" s="36"/>
      <c r="D15" s="74">
        <f t="shared" si="1"/>
        <v>0</v>
      </c>
      <c r="E15" s="190"/>
      <c r="F15" s="66"/>
    </row>
    <row r="16" spans="1:10" ht="15.75" x14ac:dyDescent="0.25">
      <c r="A16" s="31"/>
      <c r="B16" s="32"/>
      <c r="C16" s="32"/>
      <c r="D16" s="60">
        <f t="shared" si="1"/>
        <v>0</v>
      </c>
      <c r="E16" s="190"/>
      <c r="F16" s="66"/>
    </row>
    <row r="17" spans="1:11" ht="15.75" x14ac:dyDescent="0.25">
      <c r="A17" s="37"/>
      <c r="B17" s="38"/>
      <c r="C17" s="38"/>
      <c r="D17" s="60">
        <f>(C17-B17)</f>
        <v>0</v>
      </c>
      <c r="E17" s="190"/>
      <c r="F17" s="66"/>
      <c r="G17" s="12"/>
    </row>
    <row r="18" spans="1:11" ht="15.75" x14ac:dyDescent="0.25">
      <c r="A18" s="31"/>
      <c r="B18" s="32"/>
      <c r="C18" s="32"/>
      <c r="D18" s="61">
        <f>(C18-B18)</f>
        <v>0</v>
      </c>
      <c r="E18" s="191"/>
      <c r="F18" s="66"/>
      <c r="G18" s="12"/>
    </row>
    <row r="19" spans="1:11" ht="16.5" thickBot="1" x14ac:dyDescent="0.3">
      <c r="A19" s="39"/>
      <c r="B19" s="40"/>
      <c r="C19" s="40"/>
      <c r="D19" s="62">
        <f>(C19-B19)</f>
        <v>0</v>
      </c>
      <c r="E19" s="192"/>
      <c r="F19" s="67"/>
      <c r="I19" s="8"/>
      <c r="K19" s="8"/>
    </row>
    <row r="20" spans="1:11" x14ac:dyDescent="0.2">
      <c r="H20" s="8"/>
      <c r="I20" s="8"/>
      <c r="K20" s="8"/>
    </row>
    <row r="21" spans="1:11" x14ac:dyDescent="0.2">
      <c r="H21" s="8"/>
      <c r="I21" s="8"/>
      <c r="K21" s="8"/>
    </row>
    <row r="22" spans="1:11" ht="24" thickBot="1" x14ac:dyDescent="0.4">
      <c r="A22" s="28" t="s">
        <v>18</v>
      </c>
      <c r="B22" s="28"/>
      <c r="C22" s="27"/>
      <c r="D22" s="27"/>
      <c r="E22" s="27"/>
      <c r="G22" s="5"/>
      <c r="H22" s="9"/>
      <c r="I22" s="9"/>
      <c r="K22" s="8"/>
    </row>
    <row r="23" spans="1:11" ht="15.75" customHeight="1" thickBot="1" x14ac:dyDescent="0.25">
      <c r="A23" s="80"/>
      <c r="B23" s="15"/>
      <c r="C23" s="16"/>
      <c r="D23" s="17"/>
      <c r="E23" s="18"/>
      <c r="H23" s="10"/>
      <c r="I23" s="10"/>
      <c r="K23" s="8"/>
    </row>
    <row r="24" spans="1:11" ht="12.75" customHeight="1" x14ac:dyDescent="0.2">
      <c r="A24" s="193"/>
      <c r="B24" s="194"/>
      <c r="C24" s="194"/>
      <c r="D24" s="194"/>
      <c r="E24" s="195"/>
      <c r="G24" s="30"/>
      <c r="H24" s="29"/>
      <c r="K24" s="8"/>
    </row>
    <row r="25" spans="1:11" ht="12.75" customHeight="1" x14ac:dyDescent="0.2">
      <c r="A25" s="196"/>
      <c r="B25" s="197"/>
      <c r="C25" s="197"/>
      <c r="D25" s="197"/>
      <c r="E25" s="198"/>
      <c r="G25" s="30"/>
      <c r="H25" s="29"/>
      <c r="K25" s="9"/>
    </row>
    <row r="26" spans="1:11" ht="12.75" customHeight="1" x14ac:dyDescent="0.2">
      <c r="A26" s="196"/>
      <c r="B26" s="197"/>
      <c r="C26" s="197"/>
      <c r="D26" s="197"/>
      <c r="E26" s="198"/>
      <c r="G26" s="30"/>
      <c r="H26" s="29"/>
      <c r="K26" s="11"/>
    </row>
    <row r="27" spans="1:11" ht="24" customHeight="1" x14ac:dyDescent="0.2">
      <c r="A27" s="196"/>
      <c r="B27" s="197"/>
      <c r="C27" s="197"/>
      <c r="D27" s="197"/>
      <c r="E27" s="198"/>
      <c r="G27" s="30"/>
      <c r="H27" s="29"/>
      <c r="K27" s="7"/>
    </row>
    <row r="28" spans="1:11" ht="12.75" customHeight="1" x14ac:dyDescent="0.2">
      <c r="A28" s="196"/>
      <c r="B28" s="197"/>
      <c r="C28" s="197"/>
      <c r="D28" s="197"/>
      <c r="E28" s="198"/>
      <c r="F28" s="5"/>
      <c r="G28" s="30"/>
      <c r="H28" s="29"/>
    </row>
    <row r="29" spans="1:11" ht="12.75" customHeight="1" x14ac:dyDescent="0.2">
      <c r="A29" s="196"/>
      <c r="B29" s="197"/>
      <c r="C29" s="197"/>
      <c r="D29" s="197"/>
      <c r="E29" s="198"/>
      <c r="G29" s="30"/>
      <c r="H29" s="29"/>
    </row>
    <row r="30" spans="1:11" ht="12.75" customHeight="1" x14ac:dyDescent="0.2">
      <c r="A30" s="196"/>
      <c r="B30" s="197"/>
      <c r="C30" s="197"/>
      <c r="D30" s="197"/>
      <c r="E30" s="198"/>
      <c r="F30" s="30"/>
      <c r="G30" s="30"/>
      <c r="H30" s="29"/>
    </row>
    <row r="31" spans="1:11" ht="12.75" customHeight="1" x14ac:dyDescent="0.2">
      <c r="A31" s="196"/>
      <c r="B31" s="197"/>
      <c r="C31" s="197"/>
      <c r="D31" s="197"/>
      <c r="E31" s="198"/>
      <c r="F31" s="30"/>
      <c r="G31" s="30"/>
      <c r="H31" s="29"/>
    </row>
    <row r="32" spans="1:11" ht="12.75" customHeight="1" x14ac:dyDescent="0.2">
      <c r="A32" s="196"/>
      <c r="B32" s="197"/>
      <c r="C32" s="197"/>
      <c r="D32" s="197"/>
      <c r="E32" s="198"/>
      <c r="F32" s="30"/>
      <c r="G32" s="30"/>
      <c r="H32" s="29"/>
    </row>
    <row r="33" spans="1:8" ht="12.75" customHeight="1" x14ac:dyDescent="0.2">
      <c r="A33" s="196"/>
      <c r="B33" s="197"/>
      <c r="C33" s="197"/>
      <c r="D33" s="197"/>
      <c r="E33" s="198"/>
      <c r="F33" s="30"/>
      <c r="G33" s="30"/>
      <c r="H33" s="29"/>
    </row>
    <row r="34" spans="1:8" ht="12.75" customHeight="1" x14ac:dyDescent="0.2">
      <c r="A34" s="196"/>
      <c r="B34" s="197"/>
      <c r="C34" s="197"/>
      <c r="D34" s="197"/>
      <c r="E34" s="198"/>
      <c r="F34" s="30"/>
      <c r="G34" s="30"/>
      <c r="H34" s="29"/>
    </row>
    <row r="35" spans="1:8" ht="13.5" customHeight="1" x14ac:dyDescent="0.2">
      <c r="A35" s="196"/>
      <c r="B35" s="197"/>
      <c r="C35" s="197"/>
      <c r="D35" s="197"/>
      <c r="E35" s="198"/>
      <c r="F35" s="30"/>
    </row>
    <row r="36" spans="1:8" ht="13.5" customHeight="1" x14ac:dyDescent="0.2">
      <c r="A36" s="196"/>
      <c r="B36" s="197"/>
      <c r="C36" s="197"/>
      <c r="D36" s="197"/>
      <c r="E36" s="198"/>
      <c r="F36" s="30"/>
    </row>
    <row r="37" spans="1:8" x14ac:dyDescent="0.2">
      <c r="A37" s="81"/>
      <c r="E37" s="76"/>
      <c r="F37" s="30"/>
    </row>
    <row r="38" spans="1:8" x14ac:dyDescent="0.2">
      <c r="A38" s="81"/>
      <c r="E38" s="76"/>
      <c r="F38" s="30"/>
    </row>
    <row r="39" spans="1:8" x14ac:dyDescent="0.2">
      <c r="A39" s="81"/>
      <c r="E39" s="76"/>
      <c r="F39" s="30"/>
    </row>
    <row r="40" spans="1:8" x14ac:dyDescent="0.2">
      <c r="A40" s="81"/>
      <c r="E40" s="76"/>
      <c r="F40" s="30"/>
    </row>
    <row r="41" spans="1:8" x14ac:dyDescent="0.2">
      <c r="A41" s="81"/>
      <c r="E41" s="76"/>
    </row>
    <row r="42" spans="1:8" x14ac:dyDescent="0.2">
      <c r="A42" s="81"/>
      <c r="E42" s="76"/>
    </row>
    <row r="43" spans="1:8" x14ac:dyDescent="0.2">
      <c r="A43" s="81"/>
      <c r="E43" s="76"/>
    </row>
    <row r="44" spans="1:8" x14ac:dyDescent="0.2">
      <c r="A44" s="81"/>
      <c r="E44" s="76"/>
    </row>
    <row r="45" spans="1:8" ht="15.75" thickBot="1" x14ac:dyDescent="0.25">
      <c r="A45" s="199"/>
      <c r="B45" s="200"/>
      <c r="C45" s="200"/>
      <c r="D45" s="200"/>
      <c r="E45" s="201"/>
    </row>
    <row r="46" spans="1:8" x14ac:dyDescent="0.2">
      <c r="A46" s="5"/>
    </row>
    <row r="47" spans="1:8" x14ac:dyDescent="0.2">
      <c r="A47" s="5"/>
    </row>
    <row r="48" spans="1:8" x14ac:dyDescent="0.2">
      <c r="A48" s="5"/>
    </row>
  </sheetData>
  <mergeCells count="4">
    <mergeCell ref="A1:D1"/>
    <mergeCell ref="A4:B5"/>
    <mergeCell ref="C4:D5"/>
    <mergeCell ref="J4:J5"/>
  </mergeCells>
  <conditionalFormatting sqref="G17:G18">
    <cfRule type="expression" dxfId="912" priority="4">
      <formula>ISNUMBER(SEARCH(TEXT(#REF!,"ddd"),#REF!))</formula>
    </cfRule>
  </conditionalFormatting>
  <conditionalFormatting sqref="H20:I21 I19">
    <cfRule type="expression" dxfId="911" priority="5">
      <formula>ISNUMBER(SEARCH(TEXT(#REF!,"ddd"),#REF!))</formula>
    </cfRule>
  </conditionalFormatting>
  <conditionalFormatting sqref="A10:D12 A16:C18 D13:D17">
    <cfRule type="expression" dxfId="910" priority="6">
      <formula>ISNUMBER(SEARCH(TEXT(#REF!,"ddd"),#REF!))</formula>
    </cfRule>
  </conditionalFormatting>
  <conditionalFormatting sqref="K19:K24">
    <cfRule type="expression" dxfId="909" priority="7">
      <formula>ISNUMBER(SEARCH(TEXT(#REF!,"ddd"),#REF!))</formula>
    </cfRule>
  </conditionalFormatting>
  <conditionalFormatting sqref="A14:C14">
    <cfRule type="expression" dxfId="908" priority="1">
      <formula>ISNUMBER(SEARCH(TEXT(#REF!,"ddd"),#REF!))</formula>
    </cfRule>
  </conditionalFormatting>
  <conditionalFormatting sqref="A13:C13">
    <cfRule type="expression" dxfId="907" priority="3">
      <formula>ISNUMBER(SEARCH(TEXT(#REF!,"ddd"),#REF!))</formula>
    </cfRule>
  </conditionalFormatting>
  <conditionalFormatting sqref="A15:C15">
    <cfRule type="expression" dxfId="906" priority="2">
      <formula>ISNUMBER(SEARCH(TEXT(#REF!,"ddd"),#REF!))</formula>
    </cfRule>
  </conditionalFormatting>
  <dataValidations count="3">
    <dataValidation type="custom" allowBlank="1" showInputMessage="1" showErrorMessage="1" sqref="C10 C17" xr:uid="{10C5F4C6-E142-4C75-B07F-74D354AD4C7E}">
      <formula1>AND($C10&lt;=1,ISNUMBER($C10),($C10&gt;=$B10))</formula1>
    </dataValidation>
    <dataValidation type="custom" allowBlank="1" showInputMessage="1" showErrorMessage="1" sqref="G17:G18" xr:uid="{BA5973F9-5493-4ED5-B3AA-1E8E2C4F1E68}">
      <formula1>AND($B15&lt;=1,ISNUMBER($B15))</formula1>
    </dataValidation>
    <dataValidation type="custom" allowBlank="1" showInputMessage="1" showErrorMessage="1" sqref="C18 B10:B18 C11:C16" xr:uid="{B07982F1-CF9A-4C22-BB24-7AFCBE9A6698}">
      <formula1>AND($B10&lt;=1,ISNUMBER($B10))</formula1>
    </dataValidation>
  </dataValidations>
  <pageMargins left="0.25" right="0.25" top="0.75" bottom="0.75" header="0.3" footer="0.3"/>
  <pageSetup paperSize="9" scale="45" fitToHeight="0" orientation="portrait" horizontalDpi="4294967293" vertic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85DA4-C067-452A-8695-EC2C82C14C6B}">
  <sheetPr codeName="Sheet14">
    <pageSetUpPr fitToPage="1"/>
  </sheetPr>
  <dimension ref="A1:M67"/>
  <sheetViews>
    <sheetView showGridLines="0" zoomScaleNormal="100" workbookViewId="0">
      <selection activeCell="G3" sqref="G3"/>
    </sheetView>
  </sheetViews>
  <sheetFormatPr baseColWidth="10" defaultColWidth="9" defaultRowHeight="12.75" x14ac:dyDescent="0.2"/>
  <cols>
    <col min="1" max="1" width="14.5" customWidth="1"/>
    <col min="2" max="2" width="8.875" customWidth="1"/>
    <col min="3" max="3" width="10" customWidth="1"/>
    <col min="4" max="4" width="11.5" customWidth="1"/>
    <col min="5" max="5" width="22.125" bestFit="1" customWidth="1"/>
    <col min="6" max="7" width="18" bestFit="1" customWidth="1"/>
    <col min="8" max="8" width="8.875" customWidth="1"/>
    <col min="9" max="9" width="11.625" customWidth="1"/>
    <col min="10" max="10" width="9.5" customWidth="1"/>
    <col min="11" max="11" width="12.375" customWidth="1"/>
    <col min="12" max="12" width="17.875" bestFit="1" customWidth="1"/>
    <col min="13" max="13" width="19.25" bestFit="1" customWidth="1"/>
  </cols>
  <sheetData>
    <row r="1" spans="1:13" ht="27" thickTop="1" x14ac:dyDescent="0.4">
      <c r="A1" s="301" t="s">
        <v>20</v>
      </c>
      <c r="B1" s="301"/>
      <c r="C1" s="301"/>
      <c r="D1" s="301"/>
      <c r="E1" s="55">
        <f>WEEKNUM(A10)</f>
        <v>7</v>
      </c>
      <c r="F1" s="83"/>
      <c r="G1" s="57"/>
      <c r="H1" s="84"/>
      <c r="J1" s="1"/>
    </row>
    <row r="2" spans="1:13" s="1" customFormat="1" ht="14.25" customHeight="1" x14ac:dyDescent="0.25">
      <c r="A2" s="49" t="s">
        <v>1</v>
      </c>
      <c r="B2" s="49"/>
      <c r="C2" s="49" t="s">
        <v>2</v>
      </c>
      <c r="D2" s="49"/>
      <c r="E2" s="85" t="s">
        <v>3</v>
      </c>
      <c r="F2" s="54" t="s">
        <v>4</v>
      </c>
      <c r="G2" s="54" t="s">
        <v>5</v>
      </c>
      <c r="H2" s="20"/>
      <c r="I2" s="86"/>
      <c r="J2" s="87"/>
      <c r="M2" s="1" t="s">
        <v>21</v>
      </c>
    </row>
    <row r="3" spans="1:13" ht="16.5" thickBot="1" x14ac:dyDescent="0.25">
      <c r="A3" s="136">
        <f>MIN(A10:A100)</f>
        <v>43871</v>
      </c>
      <c r="B3" s="202"/>
      <c r="C3" s="136">
        <f>MAXA(A10:A100)</f>
        <v>43876</v>
      </c>
      <c r="D3" s="188"/>
      <c r="E3" s="88" t="s">
        <v>6</v>
      </c>
      <c r="F3" s="46">
        <f>Sumcolor(E3,D10:D100)</f>
        <v>0.14930555555555558</v>
      </c>
      <c r="G3" s="46">
        <f>SUM(Først:Sist!F3)</f>
        <v>1.0381944444444446</v>
      </c>
      <c r="H3" s="89"/>
      <c r="I3" s="90"/>
      <c r="J3" s="90"/>
      <c r="M3" t="s">
        <v>22</v>
      </c>
    </row>
    <row r="4" spans="1:13" ht="15" customHeight="1" x14ac:dyDescent="0.2">
      <c r="A4" s="293" t="s">
        <v>23</v>
      </c>
      <c r="B4" s="194"/>
      <c r="C4" s="293" t="s">
        <v>24</v>
      </c>
      <c r="D4" s="203"/>
      <c r="E4" s="91" t="s">
        <v>9</v>
      </c>
      <c r="F4" s="46">
        <f>Sumcolor(E4,D10:D100)</f>
        <v>9.7222222222222265E-2</v>
      </c>
      <c r="G4" s="46">
        <f>SUM(Først:Sist!F4)</f>
        <v>8.03125</v>
      </c>
      <c r="H4" s="89"/>
      <c r="I4" s="90"/>
      <c r="J4" s="309"/>
    </row>
    <row r="5" spans="1:13" ht="15.75" x14ac:dyDescent="0.2">
      <c r="A5" s="302"/>
      <c r="B5" s="203"/>
      <c r="C5" s="302"/>
      <c r="D5" s="203"/>
      <c r="E5" s="159" t="s">
        <v>10</v>
      </c>
      <c r="F5" s="46">
        <f>Sumcolor(E5,D10:D100)</f>
        <v>0.41319444444444448</v>
      </c>
      <c r="G5" s="46">
        <f>SUM(Først:Sist!F5)</f>
        <v>1.8090277777777768</v>
      </c>
      <c r="H5" s="89"/>
      <c r="I5" s="90"/>
      <c r="J5" s="309"/>
      <c r="M5" t="s">
        <v>25</v>
      </c>
    </row>
    <row r="6" spans="1:13" ht="18.75" customHeight="1" thickBot="1" x14ac:dyDescent="0.25">
      <c r="A6" s="50">
        <f>SUM(D10:D100)</f>
        <v>0.78819444444444486</v>
      </c>
      <c r="B6" s="51"/>
      <c r="C6" s="82">
        <f>SUM(Først:Sist!A6)</f>
        <v>12.965277777777779</v>
      </c>
      <c r="D6" s="52"/>
      <c r="E6" s="92" t="s">
        <v>11</v>
      </c>
      <c r="F6" s="48">
        <f>Sumcolor(E6,D10:D100)</f>
        <v>0.12847222222222254</v>
      </c>
      <c r="G6" s="48">
        <f>SUM(Først:Sist!F6)</f>
        <v>1.9895833333333335</v>
      </c>
      <c r="H6" s="89"/>
      <c r="I6" s="90"/>
      <c r="J6" s="90"/>
      <c r="M6" t="s">
        <v>26</v>
      </c>
    </row>
    <row r="7" spans="1:13" ht="12.75" customHeight="1" x14ac:dyDescent="0.2">
      <c r="A7" s="19"/>
      <c r="B7" s="23"/>
      <c r="C7" s="24"/>
      <c r="D7" s="93"/>
      <c r="E7" s="23"/>
      <c r="F7" s="23"/>
      <c r="G7" s="25"/>
      <c r="H7" s="25"/>
    </row>
    <row r="8" spans="1:13" x14ac:dyDescent="0.2">
      <c r="A8" s="23"/>
      <c r="B8" s="25"/>
      <c r="C8" s="93"/>
      <c r="D8" s="25"/>
      <c r="E8" s="23"/>
      <c r="F8" s="23"/>
      <c r="G8" s="25"/>
      <c r="H8" s="25"/>
      <c r="M8" t="s">
        <v>27</v>
      </c>
    </row>
    <row r="9" spans="1:13" ht="16.5" thickBot="1" x14ac:dyDescent="0.3">
      <c r="A9" s="49" t="s">
        <v>12</v>
      </c>
      <c r="B9" s="49" t="s">
        <v>13</v>
      </c>
      <c r="C9" s="49" t="s">
        <v>14</v>
      </c>
      <c r="D9" s="49" t="s">
        <v>15</v>
      </c>
      <c r="E9" s="107" t="s">
        <v>16</v>
      </c>
      <c r="F9" s="102"/>
      <c r="G9" s="49" t="s">
        <v>17</v>
      </c>
      <c r="H9" s="25"/>
      <c r="M9" t="s">
        <v>28</v>
      </c>
    </row>
    <row r="10" spans="1:13" ht="15.75" x14ac:dyDescent="0.2">
      <c r="A10" s="125">
        <f>DATE(2020,2,10)</f>
        <v>43871</v>
      </c>
      <c r="B10" s="160">
        <v>0.58333333333333337</v>
      </c>
      <c r="C10" s="160">
        <v>0.64583333333333337</v>
      </c>
      <c r="D10" s="160">
        <f t="shared" ref="D10" si="0">(C10-B10)</f>
        <v>6.25E-2</v>
      </c>
      <c r="E10" s="319" t="s">
        <v>29</v>
      </c>
      <c r="F10" s="320"/>
      <c r="G10" s="94"/>
      <c r="H10" s="25"/>
    </row>
    <row r="11" spans="1:13" ht="15.75" thickBot="1" x14ac:dyDescent="0.3">
      <c r="A11" s="126"/>
      <c r="B11" s="161"/>
      <c r="C11" s="161"/>
      <c r="D11" s="161"/>
      <c r="E11" s="321"/>
      <c r="F11" s="322"/>
      <c r="G11" s="95"/>
      <c r="H11" s="25"/>
      <c r="M11" t="s">
        <v>30</v>
      </c>
    </row>
    <row r="12" spans="1:13" ht="15.75" x14ac:dyDescent="0.2">
      <c r="A12" s="127">
        <v>43871</v>
      </c>
      <c r="B12" s="108">
        <v>0.88541666666666663</v>
      </c>
      <c r="C12" s="108">
        <v>0.95833333333333337</v>
      </c>
      <c r="D12" s="109">
        <f>(C12-B12)</f>
        <v>7.2916666666666741E-2</v>
      </c>
      <c r="E12" s="323" t="s">
        <v>31</v>
      </c>
      <c r="F12" s="324"/>
      <c r="G12" s="95"/>
      <c r="M12" t="s">
        <v>32</v>
      </c>
    </row>
    <row r="13" spans="1:13" ht="13.5" thickBot="1" x14ac:dyDescent="0.25">
      <c r="A13" s="128"/>
      <c r="B13" s="110"/>
      <c r="C13" s="110"/>
      <c r="D13" s="110"/>
      <c r="E13" s="325"/>
      <c r="F13" s="326"/>
      <c r="G13" s="95"/>
    </row>
    <row r="14" spans="1:13" ht="15.75" x14ac:dyDescent="0.25">
      <c r="A14" s="162">
        <f>DATE(2020,2,12)</f>
        <v>43873</v>
      </c>
      <c r="B14" s="163">
        <v>0.41666666666666669</v>
      </c>
      <c r="C14" s="163">
        <v>0.4826388888888889</v>
      </c>
      <c r="D14" s="160">
        <f>(C14-B14)</f>
        <v>6.597222222222221E-2</v>
      </c>
      <c r="E14" s="319" t="s">
        <v>33</v>
      </c>
      <c r="F14" s="320"/>
      <c r="G14" s="95"/>
    </row>
    <row r="15" spans="1:13" ht="15.75" thickBot="1" x14ac:dyDescent="0.3">
      <c r="A15" s="126"/>
      <c r="B15" s="161"/>
      <c r="C15" s="161"/>
      <c r="D15" s="161"/>
      <c r="E15" s="321"/>
      <c r="F15" s="322"/>
      <c r="G15" s="95"/>
    </row>
    <row r="16" spans="1:13" ht="15.75" x14ac:dyDescent="0.2">
      <c r="A16" s="134">
        <f>DATE(2020,2,12)</f>
        <v>43873</v>
      </c>
      <c r="B16" s="123">
        <v>0.4826388888888889</v>
      </c>
      <c r="C16" s="123">
        <v>0.50347222222222221</v>
      </c>
      <c r="D16" s="123">
        <f>(C16-B16)</f>
        <v>2.0833333333333315E-2</v>
      </c>
      <c r="E16" s="327" t="s">
        <v>34</v>
      </c>
      <c r="F16" s="328"/>
      <c r="G16" s="95"/>
    </row>
    <row r="17" spans="1:11" ht="15.75" thickBot="1" x14ac:dyDescent="0.3">
      <c r="A17" s="137"/>
      <c r="B17" s="138"/>
      <c r="C17" s="138"/>
      <c r="D17" s="138"/>
      <c r="E17" s="329"/>
      <c r="F17" s="330"/>
      <c r="G17" s="95"/>
    </row>
    <row r="18" spans="1:11" ht="15.75" x14ac:dyDescent="0.2">
      <c r="A18" s="134">
        <f>DATE(2020,2,12)</f>
        <v>43873</v>
      </c>
      <c r="B18" s="123">
        <v>0.50694444444444442</v>
      </c>
      <c r="C18" s="123">
        <v>0.54166666666666663</v>
      </c>
      <c r="D18" s="123">
        <f>(C18-B18)</f>
        <v>3.472222222222221E-2</v>
      </c>
      <c r="E18" s="327" t="s">
        <v>35</v>
      </c>
      <c r="F18" s="328"/>
      <c r="G18" s="95"/>
    </row>
    <row r="19" spans="1:11" ht="13.5" thickBot="1" x14ac:dyDescent="0.25">
      <c r="A19" s="139"/>
      <c r="B19" s="140"/>
      <c r="C19" s="140"/>
      <c r="D19" s="140"/>
      <c r="E19" s="329"/>
      <c r="F19" s="330"/>
      <c r="G19" s="95"/>
      <c r="I19" s="96"/>
      <c r="K19" s="96"/>
    </row>
    <row r="20" spans="1:11" ht="15.75" x14ac:dyDescent="0.2">
      <c r="A20" s="125">
        <f>DATE(2020,2,13)</f>
        <v>43874</v>
      </c>
      <c r="B20" s="164">
        <v>0.42708333333333331</v>
      </c>
      <c r="C20" s="164">
        <v>0.47916666666666669</v>
      </c>
      <c r="D20" s="160">
        <f>(C20-B20)</f>
        <v>5.208333333333337E-2</v>
      </c>
      <c r="E20" s="319" t="s">
        <v>36</v>
      </c>
      <c r="F20" s="320"/>
      <c r="G20" s="95"/>
      <c r="H20" s="96"/>
      <c r="I20" s="96"/>
      <c r="K20" s="96"/>
    </row>
    <row r="21" spans="1:11" ht="15.75" thickBot="1" x14ac:dyDescent="0.3">
      <c r="A21" s="126"/>
      <c r="B21" s="161"/>
      <c r="C21" s="161"/>
      <c r="D21" s="161"/>
      <c r="E21" s="321"/>
      <c r="F21" s="322"/>
      <c r="G21" s="95"/>
      <c r="I21" s="96"/>
      <c r="K21" s="96"/>
    </row>
    <row r="22" spans="1:11" ht="15.75" x14ac:dyDescent="0.2">
      <c r="A22" s="129">
        <f>DATE(2020,2,13)</f>
        <v>43874</v>
      </c>
      <c r="B22" s="111">
        <v>0.77777777777777779</v>
      </c>
      <c r="C22" s="111">
        <v>0.85416666666666663</v>
      </c>
      <c r="D22" s="112">
        <f>(C22-B22)</f>
        <v>7.638888888888884E-2</v>
      </c>
      <c r="E22" s="331" t="s">
        <v>31</v>
      </c>
      <c r="F22" s="332"/>
      <c r="G22" s="95"/>
      <c r="I22" s="97"/>
      <c r="K22" s="96"/>
    </row>
    <row r="23" spans="1:11" ht="16.5" thickBot="1" x14ac:dyDescent="0.3">
      <c r="A23" s="130"/>
      <c r="B23" s="113"/>
      <c r="C23" s="113"/>
      <c r="D23" s="113"/>
      <c r="E23" s="331"/>
      <c r="F23" s="332"/>
      <c r="G23" s="95"/>
      <c r="I23" s="98"/>
      <c r="K23" s="96"/>
    </row>
    <row r="24" spans="1:11" ht="15.75" x14ac:dyDescent="0.2">
      <c r="A24" s="125">
        <f>DATE(2020,2,14)</f>
        <v>43875</v>
      </c>
      <c r="B24" s="164">
        <v>0.4236111111111111</v>
      </c>
      <c r="C24" s="164">
        <v>0.49305555555555558</v>
      </c>
      <c r="D24" s="160">
        <f>(C24-B24)</f>
        <v>6.9444444444444475E-2</v>
      </c>
      <c r="E24" s="319" t="s">
        <v>37</v>
      </c>
      <c r="F24" s="320"/>
      <c r="G24" s="95"/>
      <c r="H24" s="96"/>
      <c r="K24" s="96"/>
    </row>
    <row r="25" spans="1:11" ht="16.5" thickBot="1" x14ac:dyDescent="0.3">
      <c r="A25" s="131"/>
      <c r="B25" s="165"/>
      <c r="C25" s="165"/>
      <c r="D25" s="165"/>
      <c r="E25" s="321"/>
      <c r="F25" s="322"/>
      <c r="G25" s="95"/>
      <c r="H25" s="97"/>
      <c r="K25" s="97"/>
    </row>
    <row r="26" spans="1:11" ht="15.75" x14ac:dyDescent="0.2">
      <c r="A26" s="125">
        <f>DATE(2020,2,14)</f>
        <v>43875</v>
      </c>
      <c r="B26" s="164">
        <v>0.51388888888888895</v>
      </c>
      <c r="C26" s="164">
        <v>0.54166666666666663</v>
      </c>
      <c r="D26" s="160">
        <f>(C26-B26)</f>
        <v>2.7777777777777679E-2</v>
      </c>
      <c r="E26" s="319" t="s">
        <v>38</v>
      </c>
      <c r="F26" s="320"/>
      <c r="G26" s="95"/>
      <c r="H26" s="98"/>
      <c r="K26" s="99"/>
    </row>
    <row r="27" spans="1:11" ht="16.5" thickBot="1" x14ac:dyDescent="0.3">
      <c r="A27" s="131"/>
      <c r="B27" s="165"/>
      <c r="C27" s="165"/>
      <c r="D27" s="165"/>
      <c r="E27" s="321"/>
      <c r="F27" s="322"/>
      <c r="G27" s="95"/>
      <c r="H27" s="100"/>
      <c r="K27" s="90"/>
    </row>
    <row r="28" spans="1:11" ht="15.75" x14ac:dyDescent="0.2">
      <c r="A28" s="132">
        <f>DATE(2020,2,14)</f>
        <v>43875</v>
      </c>
      <c r="B28" s="119">
        <v>0.54861111111111105</v>
      </c>
      <c r="C28" s="119">
        <v>0.58333333333333337</v>
      </c>
      <c r="D28" s="120">
        <f>(C28-B28)</f>
        <v>3.4722222222222321E-2</v>
      </c>
      <c r="E28" s="333" t="s">
        <v>39</v>
      </c>
      <c r="F28" s="334"/>
      <c r="G28" s="95"/>
      <c r="H28" s="100"/>
    </row>
    <row r="29" spans="1:11" ht="16.5" thickBot="1" x14ac:dyDescent="0.3">
      <c r="A29" s="133"/>
      <c r="B29" s="121"/>
      <c r="C29" s="121"/>
      <c r="D29" s="121"/>
      <c r="E29" s="335"/>
      <c r="F29" s="336"/>
      <c r="G29" s="95"/>
      <c r="H29" s="100"/>
    </row>
    <row r="30" spans="1:11" ht="15.75" x14ac:dyDescent="0.2">
      <c r="A30" s="132">
        <f>DATE(2020,2,14)</f>
        <v>43875</v>
      </c>
      <c r="B30" s="119">
        <v>0.59722222222222221</v>
      </c>
      <c r="C30" s="119">
        <v>0.64583333333333337</v>
      </c>
      <c r="D30" s="120">
        <f>(C30-B30)</f>
        <v>4.861111111111116E-2</v>
      </c>
      <c r="E30" s="333" t="s">
        <v>40</v>
      </c>
      <c r="F30" s="334"/>
      <c r="G30" s="95"/>
      <c r="H30" s="100"/>
    </row>
    <row r="31" spans="1:11" ht="16.5" thickBot="1" x14ac:dyDescent="0.3">
      <c r="A31" s="133"/>
      <c r="B31" s="121"/>
      <c r="C31" s="121"/>
      <c r="D31" s="121"/>
      <c r="E31" s="335"/>
      <c r="F31" s="336"/>
      <c r="G31" s="95"/>
      <c r="H31" s="100"/>
    </row>
    <row r="32" spans="1:11" ht="15.75" x14ac:dyDescent="0.2">
      <c r="A32" s="134">
        <f>DATE(2020,2,15)</f>
        <v>43876</v>
      </c>
      <c r="B32" s="122">
        <v>0.54166666666666663</v>
      </c>
      <c r="C32" s="122">
        <v>0.58333333333333337</v>
      </c>
      <c r="D32" s="123">
        <f>(C32-B32)</f>
        <v>4.1666666666666741E-2</v>
      </c>
      <c r="E32" s="327" t="s">
        <v>41</v>
      </c>
      <c r="F32" s="328"/>
      <c r="G32" s="95"/>
      <c r="H32" s="100"/>
    </row>
    <row r="33" spans="1:8" ht="16.5" thickBot="1" x14ac:dyDescent="0.3">
      <c r="A33" s="135"/>
      <c r="B33" s="124"/>
      <c r="C33" s="124"/>
      <c r="D33" s="124"/>
      <c r="E33" s="329"/>
      <c r="F33" s="330"/>
      <c r="G33" s="95"/>
      <c r="H33" s="100"/>
    </row>
    <row r="34" spans="1:8" ht="15.75" x14ac:dyDescent="0.2">
      <c r="A34" s="125">
        <f>DATE(2020,2,15)</f>
        <v>43876</v>
      </c>
      <c r="B34" s="164">
        <v>0.58333333333333337</v>
      </c>
      <c r="C34" s="164">
        <v>0.64583333333333337</v>
      </c>
      <c r="D34" s="160">
        <f>(C34-B34)</f>
        <v>6.25E-2</v>
      </c>
      <c r="E34" s="319" t="s">
        <v>42</v>
      </c>
      <c r="F34" s="320"/>
      <c r="G34" s="95"/>
      <c r="H34" s="100"/>
    </row>
    <row r="35" spans="1:8" ht="16.5" thickBot="1" x14ac:dyDescent="0.3">
      <c r="A35" s="131"/>
      <c r="B35" s="165"/>
      <c r="C35" s="165"/>
      <c r="D35" s="165"/>
      <c r="E35" s="321"/>
      <c r="F35" s="322"/>
      <c r="G35" s="95"/>
      <c r="H35" s="100"/>
    </row>
    <row r="36" spans="1:8" ht="15.75" x14ac:dyDescent="0.2">
      <c r="A36" s="125">
        <f>DATE(2020,2,15)</f>
        <v>43876</v>
      </c>
      <c r="B36" s="164">
        <v>0.66666666666666663</v>
      </c>
      <c r="C36" s="164">
        <v>0.70833333333333337</v>
      </c>
      <c r="D36" s="160">
        <f>(C36-B36)</f>
        <v>4.1666666666666741E-2</v>
      </c>
      <c r="E36" s="319" t="s">
        <v>43</v>
      </c>
      <c r="F36" s="320"/>
      <c r="G36" s="95"/>
      <c r="H36" s="100"/>
    </row>
    <row r="37" spans="1:8" ht="16.5" thickBot="1" x14ac:dyDescent="0.3">
      <c r="A37" s="131"/>
      <c r="B37" s="165"/>
      <c r="C37" s="165"/>
      <c r="D37" s="165"/>
      <c r="E37" s="321"/>
      <c r="F37" s="322"/>
      <c r="G37" s="95"/>
      <c r="H37" s="100"/>
    </row>
    <row r="38" spans="1:8" ht="15.75" x14ac:dyDescent="0.2">
      <c r="A38" s="125">
        <f>DATE(2020,2,15)</f>
        <v>43876</v>
      </c>
      <c r="B38" s="164">
        <v>0.73958333333333337</v>
      </c>
      <c r="C38" s="164">
        <v>0.77083333333333337</v>
      </c>
      <c r="D38" s="160">
        <f>(C38-B38)</f>
        <v>3.125E-2</v>
      </c>
      <c r="E38" s="319" t="s">
        <v>44</v>
      </c>
      <c r="F38" s="320"/>
      <c r="G38" s="95"/>
      <c r="H38" s="5"/>
    </row>
    <row r="39" spans="1:8" ht="16.5" thickBot="1" x14ac:dyDescent="0.3">
      <c r="A39" s="131"/>
      <c r="B39" s="165"/>
      <c r="C39" s="165"/>
      <c r="D39" s="165"/>
      <c r="E39" s="321"/>
      <c r="F39" s="322"/>
      <c r="G39" s="95"/>
    </row>
    <row r="40" spans="1:8" ht="15.75" x14ac:dyDescent="0.2">
      <c r="A40" s="132">
        <f>DATE(2020,2,15)</f>
        <v>43876</v>
      </c>
      <c r="B40" s="119">
        <v>0.80555555555555547</v>
      </c>
      <c r="C40" s="119">
        <v>0.85069444444444453</v>
      </c>
      <c r="D40" s="120">
        <f>(C40-B40)</f>
        <v>4.5138888888889062E-2</v>
      </c>
      <c r="E40" s="333" t="s">
        <v>45</v>
      </c>
      <c r="F40" s="334"/>
      <c r="G40" s="95"/>
      <c r="H40" s="5"/>
    </row>
    <row r="41" spans="1:8" ht="16.5" thickBot="1" x14ac:dyDescent="0.3">
      <c r="A41" s="133"/>
      <c r="B41" s="121"/>
      <c r="C41" s="121"/>
      <c r="D41" s="121"/>
      <c r="E41" s="335"/>
      <c r="F41" s="336"/>
      <c r="G41" s="95"/>
      <c r="H41" s="5"/>
    </row>
    <row r="42" spans="1:8" ht="15.75" x14ac:dyDescent="0.2">
      <c r="A42" s="114"/>
      <c r="B42" s="116"/>
      <c r="C42" s="116"/>
      <c r="D42" s="117"/>
      <c r="E42" s="337"/>
      <c r="F42" s="337"/>
      <c r="G42" s="118"/>
    </row>
    <row r="43" spans="1:8" ht="15.75" x14ac:dyDescent="0.25">
      <c r="A43" s="115"/>
      <c r="B43" s="115"/>
      <c r="C43" s="115"/>
      <c r="D43" s="115"/>
      <c r="E43" s="338"/>
      <c r="F43" s="338"/>
      <c r="G43" s="5"/>
    </row>
    <row r="44" spans="1:8" x14ac:dyDescent="0.2">
      <c r="B44" s="5"/>
      <c r="C44" s="5"/>
      <c r="D44" s="5"/>
      <c r="E44" s="5"/>
      <c r="F44" s="5"/>
    </row>
    <row r="46" spans="1:8" ht="171" customHeight="1" thickBot="1" x14ac:dyDescent="0.4">
      <c r="A46" s="101" t="s">
        <v>18</v>
      </c>
      <c r="B46" s="101"/>
      <c r="C46" s="27"/>
      <c r="D46" s="27"/>
      <c r="E46" s="27"/>
      <c r="F46" s="102"/>
      <c r="G46" s="102"/>
    </row>
    <row r="47" spans="1:8" ht="13.5" thickBot="1" x14ac:dyDescent="0.25">
      <c r="B47" s="103"/>
      <c r="C47" s="104"/>
      <c r="D47" s="105"/>
      <c r="E47" s="106"/>
    </row>
    <row r="48" spans="1:8" ht="12.75" customHeight="1" x14ac:dyDescent="0.2">
      <c r="A48" s="310" t="s">
        <v>46</v>
      </c>
      <c r="B48" s="311"/>
      <c r="C48" s="311"/>
      <c r="D48" s="311"/>
      <c r="E48" s="311"/>
      <c r="F48" s="311"/>
      <c r="G48" s="312"/>
    </row>
    <row r="49" spans="1:7" ht="12.75" customHeight="1" x14ac:dyDescent="0.2">
      <c r="A49" s="313"/>
      <c r="B49" s="314"/>
      <c r="C49" s="314"/>
      <c r="D49" s="314"/>
      <c r="E49" s="314"/>
      <c r="F49" s="314"/>
      <c r="G49" s="315"/>
    </row>
    <row r="50" spans="1:7" ht="12.75" customHeight="1" x14ac:dyDescent="0.2">
      <c r="A50" s="313"/>
      <c r="B50" s="314"/>
      <c r="C50" s="314"/>
      <c r="D50" s="314"/>
      <c r="E50" s="314"/>
      <c r="F50" s="314"/>
      <c r="G50" s="315"/>
    </row>
    <row r="51" spans="1:7" ht="12.75" customHeight="1" x14ac:dyDescent="0.2">
      <c r="A51" s="313"/>
      <c r="B51" s="314"/>
      <c r="C51" s="314"/>
      <c r="D51" s="314"/>
      <c r="E51" s="314"/>
      <c r="F51" s="314"/>
      <c r="G51" s="315"/>
    </row>
    <row r="52" spans="1:7" ht="12.75" customHeight="1" x14ac:dyDescent="0.2">
      <c r="A52" s="313"/>
      <c r="B52" s="314"/>
      <c r="C52" s="314"/>
      <c r="D52" s="314"/>
      <c r="E52" s="314"/>
      <c r="F52" s="314"/>
      <c r="G52" s="315"/>
    </row>
    <row r="53" spans="1:7" ht="12.75" customHeight="1" x14ac:dyDescent="0.2">
      <c r="A53" s="313"/>
      <c r="B53" s="314"/>
      <c r="C53" s="314"/>
      <c r="D53" s="314"/>
      <c r="E53" s="314"/>
      <c r="F53" s="314"/>
      <c r="G53" s="315"/>
    </row>
    <row r="54" spans="1:7" ht="12.75" customHeight="1" x14ac:dyDescent="0.2">
      <c r="A54" s="313"/>
      <c r="B54" s="314"/>
      <c r="C54" s="314"/>
      <c r="D54" s="314"/>
      <c r="E54" s="314"/>
      <c r="F54" s="314"/>
      <c r="G54" s="315"/>
    </row>
    <row r="55" spans="1:7" ht="12.75" customHeight="1" x14ac:dyDescent="0.2">
      <c r="A55" s="313"/>
      <c r="B55" s="314"/>
      <c r="C55" s="314"/>
      <c r="D55" s="314"/>
      <c r="E55" s="314"/>
      <c r="F55" s="314"/>
      <c r="G55" s="315"/>
    </row>
    <row r="56" spans="1:7" ht="12.75" customHeight="1" x14ac:dyDescent="0.2">
      <c r="A56" s="313"/>
      <c r="B56" s="314"/>
      <c r="C56" s="314"/>
      <c r="D56" s="314"/>
      <c r="E56" s="314"/>
      <c r="F56" s="314"/>
      <c r="G56" s="315"/>
    </row>
    <row r="57" spans="1:7" ht="12.75" customHeight="1" x14ac:dyDescent="0.2">
      <c r="A57" s="313"/>
      <c r="B57" s="314"/>
      <c r="C57" s="314"/>
      <c r="D57" s="314"/>
      <c r="E57" s="314"/>
      <c r="F57" s="314"/>
      <c r="G57" s="315"/>
    </row>
    <row r="58" spans="1:7" ht="12.75" customHeight="1" x14ac:dyDescent="0.2">
      <c r="A58" s="313"/>
      <c r="B58" s="314"/>
      <c r="C58" s="314"/>
      <c r="D58" s="314"/>
      <c r="E58" s="314"/>
      <c r="F58" s="314"/>
      <c r="G58" s="315"/>
    </row>
    <row r="59" spans="1:7" ht="12.75" customHeight="1" x14ac:dyDescent="0.2">
      <c r="A59" s="313"/>
      <c r="B59" s="314"/>
      <c r="C59" s="314"/>
      <c r="D59" s="314"/>
      <c r="E59" s="314"/>
      <c r="F59" s="314"/>
      <c r="G59" s="315"/>
    </row>
    <row r="60" spans="1:7" ht="295.5" customHeight="1" thickBot="1" x14ac:dyDescent="0.25">
      <c r="A60" s="316"/>
      <c r="B60" s="317"/>
      <c r="C60" s="317"/>
      <c r="D60" s="317"/>
      <c r="E60" s="317"/>
      <c r="F60" s="317"/>
      <c r="G60" s="318"/>
    </row>
    <row r="61" spans="1:7" ht="12.75" customHeight="1" x14ac:dyDescent="0.2"/>
    <row r="62" spans="1:7" ht="12.75" customHeight="1" x14ac:dyDescent="0.2"/>
    <row r="63" spans="1:7" ht="12.75" customHeight="1" x14ac:dyDescent="0.2"/>
    <row r="65" ht="12.75" customHeight="1" x14ac:dyDescent="0.2"/>
    <row r="66" ht="12.75" customHeight="1" x14ac:dyDescent="0.2"/>
    <row r="67" ht="12.75" customHeight="1" x14ac:dyDescent="0.2"/>
  </sheetData>
  <mergeCells count="22">
    <mergeCell ref="E34:F35"/>
    <mergeCell ref="E24:F25"/>
    <mergeCell ref="E26:F27"/>
    <mergeCell ref="E28:F29"/>
    <mergeCell ref="E30:F31"/>
    <mergeCell ref="E32:F33"/>
    <mergeCell ref="A1:D1"/>
    <mergeCell ref="A4:A5"/>
    <mergeCell ref="C4:C5"/>
    <mergeCell ref="J4:J5"/>
    <mergeCell ref="A48:G60"/>
    <mergeCell ref="E10:F11"/>
    <mergeCell ref="E12:F13"/>
    <mergeCell ref="E14:F15"/>
    <mergeCell ref="E16:F17"/>
    <mergeCell ref="E18:F19"/>
    <mergeCell ref="E20:F21"/>
    <mergeCell ref="E22:F23"/>
    <mergeCell ref="E36:F37"/>
    <mergeCell ref="E38:F39"/>
    <mergeCell ref="E40:F41"/>
    <mergeCell ref="E42:F43"/>
  </mergeCells>
  <conditionalFormatting sqref="I19 H20:I20 I21 H24">
    <cfRule type="expression" dxfId="905" priority="4">
      <formula>ISNUMBER(SEARCH(TEXT(#REF!,"ddd"),#REF!))</formula>
    </cfRule>
  </conditionalFormatting>
  <conditionalFormatting sqref="A16:D16 A18:C18 A10:D10 A12:D12">
    <cfRule type="expression" dxfId="904" priority="5">
      <formula>ISNUMBER(SEARCH(TEXT(#REF!,"ddd"),#REF!))</formula>
    </cfRule>
  </conditionalFormatting>
  <conditionalFormatting sqref="K19:K24">
    <cfRule type="expression" dxfId="903" priority="6">
      <formula>ISNUMBER(SEARCH(TEXT(#REF!,"ddd"),#REF!))</formula>
    </cfRule>
  </conditionalFormatting>
  <conditionalFormatting sqref="D14">
    <cfRule type="expression" dxfId="902" priority="2">
      <formula>ISNUMBER(SEARCH(TEXT(#REF!,"ddd"),#REF!))</formula>
    </cfRule>
  </conditionalFormatting>
  <conditionalFormatting sqref="A14:C14">
    <cfRule type="expression" dxfId="901" priority="1">
      <formula>ISNUMBER(SEARCH(TEXT(#REF!,"ddd"),#REF!))</formula>
    </cfRule>
  </conditionalFormatting>
  <dataValidations count="2">
    <dataValidation type="custom" allowBlank="1" showInputMessage="1" showErrorMessage="1" sqref="C10" xr:uid="{40BB52E1-0BF2-423D-9824-E3F9B6AEA888}">
      <formula1>AND($C10&lt;=1,ISNUMBER($C10),($C10&gt;=$B10))</formula1>
    </dataValidation>
    <dataValidation type="custom" allowBlank="1" showInputMessage="1" showErrorMessage="1" sqref="B12:C12 B10 B14:C14 B18:C18 B16:C16" xr:uid="{65DF46D9-2890-4390-9C57-3A51A8D13499}">
      <formula1>AND($B10&lt;=1,ISNUMBER($B10))</formula1>
    </dataValidation>
  </dataValidations>
  <pageMargins left="0.25" right="0.25" top="0.75" bottom="0.75" header="0.3" footer="0.3"/>
  <pageSetup paperSize="9" scale="48" fitToHeight="0"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B1E28-172F-4E45-B3F1-FE80A88361F2}">
  <sheetPr codeName="Sheet16">
    <pageSetUpPr fitToPage="1"/>
  </sheetPr>
  <dimension ref="A1:M67"/>
  <sheetViews>
    <sheetView showGridLines="0" zoomScaleNormal="100" workbookViewId="0">
      <selection activeCell="E10" sqref="E10:F11"/>
    </sheetView>
  </sheetViews>
  <sheetFormatPr baseColWidth="10" defaultColWidth="9" defaultRowHeight="12.75" x14ac:dyDescent="0.2"/>
  <cols>
    <col min="1" max="1" width="14.5" customWidth="1"/>
    <col min="2" max="2" width="8.875" customWidth="1"/>
    <col min="3" max="3" width="10" customWidth="1"/>
    <col min="4" max="4" width="11.5" customWidth="1"/>
    <col min="5" max="5" width="22.125" bestFit="1" customWidth="1"/>
    <col min="6" max="7" width="18" bestFit="1" customWidth="1"/>
    <col min="8" max="8" width="8.875" customWidth="1"/>
    <col min="9" max="9" width="11.625" customWidth="1"/>
    <col min="10" max="10" width="9.5" customWidth="1"/>
    <col min="11" max="11" width="12.375" customWidth="1"/>
    <col min="12" max="12" width="17.875" bestFit="1" customWidth="1"/>
    <col min="13" max="13" width="19.25" bestFit="1" customWidth="1"/>
  </cols>
  <sheetData>
    <row r="1" spans="1:13" ht="27" thickTop="1" x14ac:dyDescent="0.4">
      <c r="A1" s="301" t="s">
        <v>20</v>
      </c>
      <c r="B1" s="301"/>
      <c r="C1" s="301"/>
      <c r="D1" s="301"/>
      <c r="E1" s="55">
        <f>WEEKNUM(A10)</f>
        <v>8</v>
      </c>
      <c r="F1" s="83"/>
      <c r="G1" s="57"/>
      <c r="H1" s="84"/>
      <c r="J1" s="1"/>
    </row>
    <row r="2" spans="1:13" s="1" customFormat="1" ht="14.25" customHeight="1" x14ac:dyDescent="0.25">
      <c r="A2" s="49" t="s">
        <v>1</v>
      </c>
      <c r="B2" s="49"/>
      <c r="C2" s="49" t="s">
        <v>2</v>
      </c>
      <c r="D2" s="49"/>
      <c r="E2" s="85" t="s">
        <v>3</v>
      </c>
      <c r="F2" s="54" t="s">
        <v>4</v>
      </c>
      <c r="G2" s="54" t="s">
        <v>5</v>
      </c>
      <c r="H2" s="20"/>
      <c r="I2" s="86"/>
      <c r="J2" s="87"/>
      <c r="M2" s="1" t="s">
        <v>21</v>
      </c>
    </row>
    <row r="3" spans="1:13" ht="16.5" thickBot="1" x14ac:dyDescent="0.25">
      <c r="A3" s="136">
        <f>MIN(A10:A100)</f>
        <v>43878</v>
      </c>
      <c r="B3" s="202"/>
      <c r="C3" s="136">
        <f>MAXA(A10:A100)</f>
        <v>43884</v>
      </c>
      <c r="D3" s="188"/>
      <c r="E3" s="88" t="s">
        <v>6</v>
      </c>
      <c r="F3" s="46">
        <f>Sumcolor(E3,D10:D100)</f>
        <v>0.20833333333333343</v>
      </c>
      <c r="G3" s="46">
        <f>SUM(Først:Sist!F3)</f>
        <v>1.0381944444444446</v>
      </c>
      <c r="H3" s="89"/>
      <c r="I3" s="90"/>
      <c r="J3" s="90"/>
      <c r="M3" t="s">
        <v>22</v>
      </c>
    </row>
    <row r="4" spans="1:13" ht="15" customHeight="1" x14ac:dyDescent="0.2">
      <c r="A4" s="293" t="s">
        <v>23</v>
      </c>
      <c r="B4" s="194"/>
      <c r="C4" s="293" t="s">
        <v>24</v>
      </c>
      <c r="D4" s="203"/>
      <c r="E4" s="91" t="s">
        <v>9</v>
      </c>
      <c r="F4" s="46">
        <f>Sumcolor(E4,D10:D100)</f>
        <v>0.3923611111111111</v>
      </c>
      <c r="G4" s="46">
        <f>SUM(Først:Sist!F4)</f>
        <v>8.03125</v>
      </c>
      <c r="H4" s="89"/>
      <c r="I4" s="90"/>
      <c r="J4" s="309"/>
    </row>
    <row r="5" spans="1:13" ht="15.75" x14ac:dyDescent="0.2">
      <c r="A5" s="302"/>
      <c r="B5" s="203"/>
      <c r="C5" s="302"/>
      <c r="D5" s="203"/>
      <c r="E5" s="159" t="s">
        <v>10</v>
      </c>
      <c r="F5" s="46">
        <f>Sumcolor(E5,D10:D100)</f>
        <v>0.10416666666666669</v>
      </c>
      <c r="G5" s="46">
        <f>SUM(Først:Sist!F5)</f>
        <v>1.8090277777777768</v>
      </c>
      <c r="H5" s="89"/>
      <c r="I5" s="90"/>
      <c r="J5" s="309"/>
      <c r="M5" t="s">
        <v>25</v>
      </c>
    </row>
    <row r="6" spans="1:13" ht="18.75" customHeight="1" thickBot="1" x14ac:dyDescent="0.25">
      <c r="A6" s="50">
        <f>SUM(D10:D100)</f>
        <v>0.74652777777777801</v>
      </c>
      <c r="B6" s="51"/>
      <c r="C6" s="82">
        <f>SUM(Først:Sist!A6)</f>
        <v>12.965277777777779</v>
      </c>
      <c r="D6" s="52"/>
      <c r="E6" s="92" t="s">
        <v>11</v>
      </c>
      <c r="F6" s="48">
        <f>Sumcolor(E6,D10:D100)</f>
        <v>4.1666666666666852E-2</v>
      </c>
      <c r="G6" s="48">
        <f>SUM(Først:Sist!F6)</f>
        <v>1.9895833333333335</v>
      </c>
      <c r="H6" s="89"/>
      <c r="I6" s="90"/>
      <c r="J6" s="90"/>
      <c r="M6" t="s">
        <v>26</v>
      </c>
    </row>
    <row r="7" spans="1:13" ht="12.75" customHeight="1" x14ac:dyDescent="0.2">
      <c r="A7" s="19"/>
      <c r="B7" s="23"/>
      <c r="C7" s="24"/>
      <c r="D7" s="93"/>
      <c r="E7" s="23"/>
      <c r="F7" s="23"/>
      <c r="G7" s="25"/>
      <c r="H7" s="25"/>
    </row>
    <row r="8" spans="1:13" x14ac:dyDescent="0.2">
      <c r="A8" s="23"/>
      <c r="B8" s="25"/>
      <c r="C8" s="93"/>
      <c r="D8" s="25"/>
      <c r="E8" s="23"/>
      <c r="F8" s="23"/>
      <c r="G8" s="25"/>
      <c r="H8" s="25"/>
      <c r="M8" t="s">
        <v>27</v>
      </c>
    </row>
    <row r="9" spans="1:13" ht="16.5" thickBot="1" x14ac:dyDescent="0.3">
      <c r="A9" s="49" t="s">
        <v>12</v>
      </c>
      <c r="B9" s="49" t="s">
        <v>13</v>
      </c>
      <c r="C9" s="49" t="s">
        <v>14</v>
      </c>
      <c r="D9" s="49" t="s">
        <v>15</v>
      </c>
      <c r="E9" s="107" t="s">
        <v>16</v>
      </c>
      <c r="F9" s="102"/>
      <c r="G9" s="49" t="s">
        <v>17</v>
      </c>
      <c r="H9" s="25"/>
      <c r="M9" t="s">
        <v>28</v>
      </c>
    </row>
    <row r="10" spans="1:13" ht="15.75" customHeight="1" x14ac:dyDescent="0.2">
      <c r="A10" s="342">
        <f>DATE(2020,2,17)</f>
        <v>43878</v>
      </c>
      <c r="B10" s="144">
        <v>0.4826388888888889</v>
      </c>
      <c r="C10" s="144">
        <v>0.5</v>
      </c>
      <c r="D10" s="144">
        <f t="shared" ref="D10" si="0">(C10-B10)</f>
        <v>1.7361111111111105E-2</v>
      </c>
      <c r="E10" s="339" t="s">
        <v>47</v>
      </c>
      <c r="F10" s="340"/>
      <c r="G10" s="141">
        <v>4</v>
      </c>
      <c r="H10" s="25"/>
    </row>
    <row r="11" spans="1:13" ht="15.75" customHeight="1" thickBot="1" x14ac:dyDescent="0.3">
      <c r="A11" s="343"/>
      <c r="B11" s="146"/>
      <c r="C11" s="146"/>
      <c r="D11" s="146"/>
      <c r="E11" s="339"/>
      <c r="F11" s="340"/>
      <c r="G11" s="142"/>
      <c r="H11" s="25"/>
      <c r="M11" t="s">
        <v>30</v>
      </c>
    </row>
    <row r="12" spans="1:13" ht="15.75" customHeight="1" x14ac:dyDescent="0.2">
      <c r="A12" s="147">
        <f>DATE(2020,2,17)</f>
        <v>43878</v>
      </c>
      <c r="B12" s="148">
        <v>0.5</v>
      </c>
      <c r="C12" s="148">
        <v>0.58333333333333337</v>
      </c>
      <c r="D12" s="149">
        <f>(C12-B12)</f>
        <v>8.333333333333337E-2</v>
      </c>
      <c r="E12" s="327" t="s">
        <v>48</v>
      </c>
      <c r="F12" s="328"/>
      <c r="G12" s="341">
        <v>4</v>
      </c>
      <c r="M12" t="s">
        <v>32</v>
      </c>
    </row>
    <row r="13" spans="1:13" ht="19.5" customHeight="1" thickBot="1" x14ac:dyDescent="0.25">
      <c r="A13" s="139"/>
      <c r="B13" s="140"/>
      <c r="C13" s="140"/>
      <c r="D13" s="140"/>
      <c r="E13" s="329"/>
      <c r="F13" s="330"/>
      <c r="G13" s="341"/>
    </row>
    <row r="14" spans="1:13" ht="15.75" customHeight="1" x14ac:dyDescent="0.25">
      <c r="A14" s="162">
        <f>DATE(2020,2,17)</f>
        <v>43878</v>
      </c>
      <c r="B14" s="163">
        <v>0.58680555555555558</v>
      </c>
      <c r="C14" s="163">
        <v>0.64583333333333337</v>
      </c>
      <c r="D14" s="160">
        <f>(C14-B14)</f>
        <v>5.902777777777779E-2</v>
      </c>
      <c r="E14" s="319" t="s">
        <v>49</v>
      </c>
      <c r="F14" s="320"/>
      <c r="G14" s="142"/>
    </row>
    <row r="15" spans="1:13" ht="35.25" customHeight="1" thickBot="1" x14ac:dyDescent="0.3">
      <c r="A15" s="126"/>
      <c r="B15" s="161"/>
      <c r="C15" s="161"/>
      <c r="D15" s="161"/>
      <c r="E15" s="321"/>
      <c r="F15" s="322"/>
      <c r="G15" s="142"/>
    </row>
    <row r="16" spans="1:13" ht="15.75" x14ac:dyDescent="0.2">
      <c r="A16" s="134">
        <f>DATE(2020,2,19)</f>
        <v>43880</v>
      </c>
      <c r="B16" s="123">
        <v>0.40625</v>
      </c>
      <c r="C16" s="123">
        <v>0.44444444444444442</v>
      </c>
      <c r="D16" s="123">
        <f>(C16-B16)</f>
        <v>3.819444444444442E-2</v>
      </c>
      <c r="E16" s="327" t="s">
        <v>50</v>
      </c>
      <c r="F16" s="328"/>
      <c r="G16" s="142">
        <v>1</v>
      </c>
    </row>
    <row r="17" spans="1:11" ht="32.25" customHeight="1" thickBot="1" x14ac:dyDescent="0.3">
      <c r="A17" s="137"/>
      <c r="B17" s="138"/>
      <c r="C17" s="138"/>
      <c r="D17" s="138"/>
      <c r="E17" s="329"/>
      <c r="F17" s="330"/>
      <c r="G17" s="142"/>
    </row>
    <row r="18" spans="1:11" ht="15.75" customHeight="1" x14ac:dyDescent="0.2">
      <c r="A18" s="134">
        <f>DATE(2020,2,19)</f>
        <v>43880</v>
      </c>
      <c r="B18" s="123">
        <v>0.54166666666666663</v>
      </c>
      <c r="C18" s="123">
        <v>0.57291666666666663</v>
      </c>
      <c r="D18" s="123">
        <f>(C18-B18)</f>
        <v>3.125E-2</v>
      </c>
      <c r="E18" s="327" t="s">
        <v>51</v>
      </c>
      <c r="F18" s="328"/>
      <c r="G18" s="142"/>
    </row>
    <row r="19" spans="1:11" ht="19.5" customHeight="1" thickBot="1" x14ac:dyDescent="0.25">
      <c r="A19" s="139"/>
      <c r="B19" s="140"/>
      <c r="C19" s="140"/>
      <c r="D19" s="140"/>
      <c r="E19" s="329"/>
      <c r="F19" s="330"/>
      <c r="G19" s="142"/>
      <c r="I19" s="96"/>
      <c r="K19" s="96"/>
    </row>
    <row r="20" spans="1:11" ht="15.75" customHeight="1" x14ac:dyDescent="0.2">
      <c r="A20" s="125">
        <f>DATE(2020,2,20)</f>
        <v>43881</v>
      </c>
      <c r="B20" s="164">
        <v>0.41666666666666669</v>
      </c>
      <c r="C20" s="164">
        <v>0.44791666666666669</v>
      </c>
      <c r="D20" s="160">
        <f>(C20-B20)</f>
        <v>3.125E-2</v>
      </c>
      <c r="E20" s="319" t="s">
        <v>52</v>
      </c>
      <c r="F20" s="320"/>
      <c r="G20" s="142"/>
      <c r="H20" s="96"/>
      <c r="I20" s="96"/>
      <c r="K20" s="96"/>
    </row>
    <row r="21" spans="1:11" ht="18" customHeight="1" thickBot="1" x14ac:dyDescent="0.3">
      <c r="A21" s="126"/>
      <c r="B21" s="161"/>
      <c r="C21" s="161"/>
      <c r="D21" s="161"/>
      <c r="E21" s="321"/>
      <c r="F21" s="322"/>
      <c r="G21" s="142"/>
      <c r="I21" s="96"/>
      <c r="K21" s="96"/>
    </row>
    <row r="22" spans="1:11" ht="15.75" customHeight="1" x14ac:dyDescent="0.2">
      <c r="A22" s="134">
        <f>DATE(2020,2,20)</f>
        <v>43881</v>
      </c>
      <c r="B22" s="122">
        <v>0.44791666666666669</v>
      </c>
      <c r="C22" s="122">
        <v>0.4861111111111111</v>
      </c>
      <c r="D22" s="123">
        <f>(C22-B22)</f>
        <v>3.819444444444442E-2</v>
      </c>
      <c r="E22" s="327" t="s">
        <v>53</v>
      </c>
      <c r="F22" s="328"/>
      <c r="G22" s="142"/>
      <c r="I22" s="97"/>
      <c r="K22" s="96"/>
    </row>
    <row r="23" spans="1:11" ht="16.5" customHeight="1" thickBot="1" x14ac:dyDescent="0.3">
      <c r="A23" s="155"/>
      <c r="B23" s="156"/>
      <c r="C23" s="156"/>
      <c r="D23" s="156"/>
      <c r="E23" s="329"/>
      <c r="F23" s="330"/>
      <c r="G23" s="142"/>
      <c r="I23" s="98"/>
      <c r="K23" s="96"/>
    </row>
    <row r="24" spans="1:11" ht="15.75" customHeight="1" x14ac:dyDescent="0.2">
      <c r="A24" s="134">
        <f>DATE(2020,2,20)</f>
        <v>43881</v>
      </c>
      <c r="B24" s="123">
        <v>0.48958333333333331</v>
      </c>
      <c r="C24" s="123">
        <v>0.51041666666666663</v>
      </c>
      <c r="D24" s="123">
        <f>(C24-B24)</f>
        <v>2.0833333333333315E-2</v>
      </c>
      <c r="E24" s="327" t="s">
        <v>54</v>
      </c>
      <c r="F24" s="328"/>
      <c r="G24" s="142"/>
      <c r="H24" s="96"/>
      <c r="K24" s="96"/>
    </row>
    <row r="25" spans="1:11" ht="15.75" customHeight="1" thickBot="1" x14ac:dyDescent="0.25">
      <c r="A25" s="139"/>
      <c r="B25" s="140"/>
      <c r="C25" s="140"/>
      <c r="D25" s="140"/>
      <c r="E25" s="329"/>
      <c r="F25" s="330"/>
      <c r="G25" s="142"/>
      <c r="H25" s="97"/>
      <c r="K25" s="97"/>
    </row>
    <row r="26" spans="1:11" ht="15.75" customHeight="1" x14ac:dyDescent="0.2">
      <c r="A26" s="125">
        <f>DATE(2020,2,20)</f>
        <v>43881</v>
      </c>
      <c r="B26" s="164">
        <v>0.4861111111111111</v>
      </c>
      <c r="C26" s="164">
        <v>0.5</v>
      </c>
      <c r="D26" s="160">
        <f>(C26-B26)</f>
        <v>1.3888888888888895E-2</v>
      </c>
      <c r="E26" s="351" t="s">
        <v>55</v>
      </c>
      <c r="F26" s="352"/>
      <c r="G26" s="142"/>
      <c r="H26" s="98"/>
      <c r="K26" s="99"/>
    </row>
    <row r="27" spans="1:11" ht="52.5" customHeight="1" thickBot="1" x14ac:dyDescent="0.3">
      <c r="A27" s="131"/>
      <c r="B27" s="165"/>
      <c r="C27" s="165"/>
      <c r="D27" s="165"/>
      <c r="E27" s="353"/>
      <c r="F27" s="354"/>
      <c r="G27" s="142"/>
      <c r="H27" s="100"/>
      <c r="K27" s="90"/>
    </row>
    <row r="28" spans="1:11" ht="15.75" customHeight="1" x14ac:dyDescent="0.2">
      <c r="A28" s="134">
        <f>DATE(2020,2,20)</f>
        <v>43881</v>
      </c>
      <c r="B28" s="122">
        <v>0.56944444444444442</v>
      </c>
      <c r="C28" s="122">
        <v>0.75</v>
      </c>
      <c r="D28" s="123">
        <f>(C28-B28)</f>
        <v>0.18055555555555558</v>
      </c>
      <c r="E28" s="327" t="s">
        <v>56</v>
      </c>
      <c r="F28" s="328"/>
      <c r="G28" s="142">
        <v>5</v>
      </c>
      <c r="H28" s="100"/>
    </row>
    <row r="29" spans="1:11" ht="31.5" customHeight="1" thickBot="1" x14ac:dyDescent="0.3">
      <c r="A29" s="135"/>
      <c r="B29" s="124"/>
      <c r="C29" s="124"/>
      <c r="D29" s="124"/>
      <c r="E29" s="329"/>
      <c r="F29" s="330"/>
      <c r="G29" s="142"/>
      <c r="H29" s="100"/>
    </row>
    <row r="30" spans="1:11" ht="15.75" customHeight="1" x14ac:dyDescent="0.2">
      <c r="A30" s="129">
        <f>DATE(2020,2,20)</f>
        <v>43881</v>
      </c>
      <c r="B30" s="111">
        <v>0.72222222222222221</v>
      </c>
      <c r="C30" s="111">
        <v>0.77083333333333337</v>
      </c>
      <c r="D30" s="112">
        <f>(C30-B30)</f>
        <v>4.861111111111116E-2</v>
      </c>
      <c r="E30" s="345" t="s">
        <v>57</v>
      </c>
      <c r="F30" s="355"/>
      <c r="G30" s="142"/>
      <c r="H30" s="100"/>
    </row>
    <row r="31" spans="1:11" ht="16.5" thickBot="1" x14ac:dyDescent="0.3">
      <c r="A31" s="153"/>
      <c r="B31" s="154"/>
      <c r="C31" s="154"/>
      <c r="D31" s="154"/>
      <c r="E31" s="346"/>
      <c r="F31" s="346"/>
      <c r="G31" s="142"/>
      <c r="H31" s="100"/>
    </row>
    <row r="32" spans="1:11" ht="15.75" x14ac:dyDescent="0.2">
      <c r="A32" s="132">
        <f>DATE(2020,2,22)</f>
        <v>43883</v>
      </c>
      <c r="B32" s="119">
        <v>0.68055555555555547</v>
      </c>
      <c r="C32" s="119">
        <v>0.70833333333333337</v>
      </c>
      <c r="D32" s="120">
        <f>(C32-B32)</f>
        <v>2.7777777777777901E-2</v>
      </c>
      <c r="E32" s="344" t="s">
        <v>58</v>
      </c>
      <c r="F32" s="344"/>
      <c r="G32" s="142"/>
      <c r="H32" s="29"/>
    </row>
    <row r="33" spans="1:8" ht="39.75" customHeight="1" thickBot="1" x14ac:dyDescent="0.3">
      <c r="A33" s="133"/>
      <c r="B33" s="121"/>
      <c r="C33" s="121"/>
      <c r="D33" s="121"/>
      <c r="E33" s="344"/>
      <c r="F33" s="344"/>
      <c r="G33" s="142"/>
      <c r="H33" s="100"/>
    </row>
    <row r="34" spans="1:8" ht="15.75" customHeight="1" x14ac:dyDescent="0.2">
      <c r="A34" s="129">
        <f>DATE(2020,2,22)</f>
        <v>43883</v>
      </c>
      <c r="B34" s="111">
        <v>0.70833333333333337</v>
      </c>
      <c r="C34" s="111">
        <v>0.85069444444444453</v>
      </c>
      <c r="D34" s="112">
        <f>(C34-B34)</f>
        <v>0.14236111111111116</v>
      </c>
      <c r="E34" s="345" t="s">
        <v>59</v>
      </c>
      <c r="F34" s="345"/>
      <c r="G34" s="142"/>
      <c r="H34" s="100"/>
    </row>
    <row r="35" spans="1:8" ht="68.25" customHeight="1" thickBot="1" x14ac:dyDescent="0.3">
      <c r="A35" s="153"/>
      <c r="B35" s="154"/>
      <c r="C35" s="154"/>
      <c r="D35" s="154"/>
      <c r="E35" s="346"/>
      <c r="F35" s="346"/>
      <c r="G35" s="142"/>
      <c r="H35" s="100"/>
    </row>
    <row r="36" spans="1:8" ht="15.75" x14ac:dyDescent="0.2">
      <c r="A36" s="132">
        <f>DATE(2020,2,23)</f>
        <v>43884</v>
      </c>
      <c r="B36" s="119">
        <v>0.54166666666666663</v>
      </c>
      <c r="C36" s="119">
        <v>0.55555555555555558</v>
      </c>
      <c r="D36" s="120">
        <f>(C36-B36)</f>
        <v>1.3888888888888951E-2</v>
      </c>
      <c r="E36" s="347" t="s">
        <v>60</v>
      </c>
      <c r="F36" s="348"/>
      <c r="G36" s="142"/>
      <c r="H36" s="158"/>
    </row>
    <row r="37" spans="1:8" ht="16.5" thickBot="1" x14ac:dyDescent="0.3">
      <c r="A37" s="133"/>
      <c r="B37" s="121"/>
      <c r="C37" s="121"/>
      <c r="D37" s="121"/>
      <c r="E37" s="349"/>
      <c r="F37" s="350"/>
      <c r="G37" s="151"/>
      <c r="H37" s="158"/>
    </row>
    <row r="38" spans="1:8" ht="15.75" x14ac:dyDescent="0.2">
      <c r="A38" s="150"/>
      <c r="B38" s="116"/>
      <c r="C38" s="116"/>
      <c r="D38" s="117"/>
      <c r="E38" s="337"/>
      <c r="F38" s="337"/>
      <c r="G38" s="157"/>
      <c r="H38" s="5"/>
    </row>
    <row r="39" spans="1:8" ht="15.75" x14ac:dyDescent="0.25">
      <c r="A39" s="152"/>
      <c r="B39" s="115"/>
      <c r="C39" s="115"/>
      <c r="D39" s="115"/>
      <c r="E39" s="338"/>
      <c r="F39" s="338"/>
      <c r="G39" s="151"/>
    </row>
    <row r="40" spans="1:8" ht="15.75" x14ac:dyDescent="0.2">
      <c r="A40" s="150"/>
      <c r="B40" s="116"/>
      <c r="C40" s="116"/>
      <c r="D40" s="117"/>
      <c r="E40" s="338"/>
      <c r="F40" s="338"/>
      <c r="G40" s="151"/>
      <c r="H40" s="5"/>
    </row>
    <row r="41" spans="1:8" ht="15.75" x14ac:dyDescent="0.25">
      <c r="A41" s="152"/>
      <c r="B41" s="115"/>
      <c r="C41" s="115"/>
      <c r="D41" s="115"/>
      <c r="E41" s="338"/>
      <c r="F41" s="338"/>
      <c r="G41" s="151"/>
      <c r="H41" s="5"/>
    </row>
    <row r="42" spans="1:8" ht="15.75" x14ac:dyDescent="0.2">
      <c r="A42" s="114"/>
      <c r="B42" s="116"/>
      <c r="C42" s="116"/>
      <c r="D42" s="117"/>
      <c r="E42" s="338"/>
      <c r="F42" s="338"/>
      <c r="G42" s="5"/>
    </row>
    <row r="43" spans="1:8" ht="15.75" x14ac:dyDescent="0.25">
      <c r="A43" s="115"/>
      <c r="B43" s="115"/>
      <c r="C43" s="115"/>
      <c r="D43" s="115"/>
      <c r="E43" s="338"/>
      <c r="F43" s="338"/>
      <c r="G43" s="5"/>
    </row>
    <row r="44" spans="1:8" x14ac:dyDescent="0.2">
      <c r="B44" s="5"/>
      <c r="C44" s="5"/>
      <c r="D44" s="5"/>
      <c r="E44" s="5"/>
      <c r="F44" s="5"/>
    </row>
    <row r="46" spans="1:8" ht="24" thickBot="1" x14ac:dyDescent="0.4">
      <c r="A46" s="101" t="s">
        <v>18</v>
      </c>
      <c r="B46" s="101"/>
      <c r="C46" s="27"/>
      <c r="D46" s="27"/>
      <c r="E46" s="27"/>
      <c r="F46" s="102"/>
      <c r="G46" s="102"/>
    </row>
    <row r="47" spans="1:8" x14ac:dyDescent="0.2">
      <c r="B47" s="103"/>
      <c r="C47" s="104"/>
      <c r="D47" s="105"/>
      <c r="E47" s="106"/>
    </row>
    <row r="48" spans="1:8" x14ac:dyDescent="0.2">
      <c r="A48" s="314"/>
      <c r="B48" s="314"/>
      <c r="C48" s="314"/>
      <c r="D48" s="314"/>
      <c r="E48" s="314"/>
      <c r="F48" s="314"/>
      <c r="G48" s="314"/>
      <c r="H48" s="5"/>
    </row>
    <row r="49" spans="1:8" x14ac:dyDescent="0.2">
      <c r="A49" s="314"/>
      <c r="B49" s="314"/>
      <c r="C49" s="314"/>
      <c r="D49" s="314"/>
      <c r="E49" s="314"/>
      <c r="F49" s="314"/>
      <c r="G49" s="314"/>
      <c r="H49" s="5"/>
    </row>
    <row r="50" spans="1:8" x14ac:dyDescent="0.2">
      <c r="A50" s="314"/>
      <c r="B50" s="314"/>
      <c r="C50" s="314"/>
      <c r="D50" s="314"/>
      <c r="E50" s="314"/>
      <c r="F50" s="314"/>
      <c r="G50" s="314"/>
      <c r="H50" s="5"/>
    </row>
    <row r="51" spans="1:8" x14ac:dyDescent="0.2">
      <c r="A51" s="314"/>
      <c r="B51" s="314"/>
      <c r="C51" s="314"/>
      <c r="D51" s="314"/>
      <c r="E51" s="314"/>
      <c r="F51" s="314"/>
      <c r="G51" s="314"/>
      <c r="H51" s="5"/>
    </row>
    <row r="52" spans="1:8" x14ac:dyDescent="0.2">
      <c r="A52" s="314"/>
      <c r="B52" s="314"/>
      <c r="C52" s="314"/>
      <c r="D52" s="314"/>
      <c r="E52" s="314"/>
      <c r="F52" s="314"/>
      <c r="G52" s="314"/>
      <c r="H52" s="5"/>
    </row>
    <row r="53" spans="1:8" x14ac:dyDescent="0.2">
      <c r="A53" s="314"/>
      <c r="B53" s="314"/>
      <c r="C53" s="314"/>
      <c r="D53" s="314"/>
      <c r="E53" s="314"/>
      <c r="F53" s="314"/>
      <c r="G53" s="314"/>
      <c r="H53" s="5"/>
    </row>
    <row r="54" spans="1:8" x14ac:dyDescent="0.2">
      <c r="A54" s="314"/>
      <c r="B54" s="314"/>
      <c r="C54" s="314"/>
      <c r="D54" s="314"/>
      <c r="E54" s="314"/>
      <c r="F54" s="314"/>
      <c r="G54" s="314"/>
      <c r="H54" s="5"/>
    </row>
    <row r="55" spans="1:8" x14ac:dyDescent="0.2">
      <c r="A55" s="314"/>
      <c r="B55" s="314"/>
      <c r="C55" s="314"/>
      <c r="D55" s="314"/>
      <c r="E55" s="314"/>
      <c r="F55" s="314"/>
      <c r="G55" s="314"/>
      <c r="H55" s="5"/>
    </row>
    <row r="56" spans="1:8" x14ac:dyDescent="0.2">
      <c r="A56" s="314"/>
      <c r="B56" s="314"/>
      <c r="C56" s="314"/>
      <c r="D56" s="314"/>
      <c r="E56" s="314"/>
      <c r="F56" s="314"/>
      <c r="G56" s="314"/>
      <c r="H56" s="5"/>
    </row>
    <row r="57" spans="1:8" x14ac:dyDescent="0.2">
      <c r="A57" s="314"/>
      <c r="B57" s="314"/>
      <c r="C57" s="314"/>
      <c r="D57" s="314"/>
      <c r="E57" s="314"/>
      <c r="F57" s="314"/>
      <c r="G57" s="314"/>
      <c r="H57" s="5"/>
    </row>
    <row r="58" spans="1:8" x14ac:dyDescent="0.2">
      <c r="A58" s="314"/>
      <c r="B58" s="314"/>
      <c r="C58" s="314"/>
      <c r="D58" s="314"/>
      <c r="E58" s="314"/>
      <c r="F58" s="314"/>
      <c r="G58" s="314"/>
      <c r="H58" s="5"/>
    </row>
    <row r="59" spans="1:8" x14ac:dyDescent="0.2">
      <c r="A59" s="314"/>
      <c r="B59" s="314"/>
      <c r="C59" s="314"/>
      <c r="D59" s="314"/>
      <c r="E59" s="314"/>
      <c r="F59" s="314"/>
      <c r="G59" s="314"/>
      <c r="H59" s="5"/>
    </row>
    <row r="60" spans="1:8" x14ac:dyDescent="0.2">
      <c r="A60" s="314"/>
      <c r="B60" s="314"/>
      <c r="C60" s="314"/>
      <c r="D60" s="314"/>
      <c r="E60" s="314"/>
      <c r="F60" s="314"/>
      <c r="G60" s="314"/>
      <c r="H60" s="5"/>
    </row>
    <row r="61" spans="1:8" ht="12.75" customHeight="1" x14ac:dyDescent="0.2">
      <c r="A61" s="5"/>
      <c r="B61" s="5"/>
      <c r="C61" s="5"/>
      <c r="D61" s="5"/>
      <c r="E61" s="5"/>
      <c r="F61" s="5"/>
      <c r="G61" s="5"/>
      <c r="H61" s="5"/>
    </row>
    <row r="62" spans="1:8" ht="12.75" customHeight="1" x14ac:dyDescent="0.2">
      <c r="A62" s="5"/>
      <c r="B62" s="5"/>
      <c r="C62" s="5"/>
      <c r="D62" s="5"/>
      <c r="E62" s="5"/>
      <c r="F62" s="5"/>
      <c r="G62" s="5"/>
      <c r="H62" s="5"/>
    </row>
    <row r="63" spans="1:8" ht="12.75" customHeight="1" x14ac:dyDescent="0.2">
      <c r="A63" s="5"/>
      <c r="B63" s="5"/>
      <c r="C63" s="5"/>
      <c r="D63" s="5"/>
      <c r="E63" s="5"/>
      <c r="F63" s="5"/>
      <c r="G63" s="5"/>
      <c r="H63" s="5"/>
    </row>
    <row r="64" spans="1:8" x14ac:dyDescent="0.2">
      <c r="A64" s="5"/>
      <c r="B64" s="5"/>
      <c r="C64" s="5"/>
      <c r="D64" s="5"/>
      <c r="E64" s="5"/>
      <c r="F64" s="5"/>
      <c r="G64" s="5"/>
      <c r="H64" s="5"/>
    </row>
    <row r="65" spans="1:8" ht="12.75" customHeight="1" x14ac:dyDescent="0.2">
      <c r="A65" s="5"/>
      <c r="B65" s="5"/>
      <c r="C65" s="5"/>
      <c r="D65" s="5"/>
      <c r="E65" s="5"/>
      <c r="F65" s="5"/>
      <c r="G65" s="5"/>
      <c r="H65" s="5"/>
    </row>
    <row r="66" spans="1:8" ht="12.75" customHeight="1" x14ac:dyDescent="0.2"/>
    <row r="67" spans="1:8" ht="12.75" customHeight="1" x14ac:dyDescent="0.2"/>
  </sheetData>
  <mergeCells count="24">
    <mergeCell ref="E26:F27"/>
    <mergeCell ref="E30:F31"/>
    <mergeCell ref="E38:F39"/>
    <mergeCell ref="E40:F41"/>
    <mergeCell ref="E42:F43"/>
    <mergeCell ref="A48:G60"/>
    <mergeCell ref="E28:F29"/>
    <mergeCell ref="E32:F33"/>
    <mergeCell ref="E34:F35"/>
    <mergeCell ref="E36:F37"/>
    <mergeCell ref="E24:F25"/>
    <mergeCell ref="A1:D1"/>
    <mergeCell ref="A4:A5"/>
    <mergeCell ref="C4:C5"/>
    <mergeCell ref="J4:J5"/>
    <mergeCell ref="E10:F11"/>
    <mergeCell ref="E12:F13"/>
    <mergeCell ref="E14:F15"/>
    <mergeCell ref="E16:F17"/>
    <mergeCell ref="E18:F19"/>
    <mergeCell ref="E20:F21"/>
    <mergeCell ref="E22:F23"/>
    <mergeCell ref="G12:G13"/>
    <mergeCell ref="A10:A11"/>
  </mergeCells>
  <conditionalFormatting sqref="I19 H20:I20 I21 H24">
    <cfRule type="expression" dxfId="900" priority="9">
      <formula>ISNUMBER(SEARCH(TEXT(#REF!,"ddd"),#REF!))</formula>
    </cfRule>
  </conditionalFormatting>
  <conditionalFormatting sqref="A16:D16">
    <cfRule type="expression" dxfId="899" priority="10">
      <formula>ISNUMBER(SEARCH(TEXT(#REF!,"ddd"),#REF!))</formula>
    </cfRule>
  </conditionalFormatting>
  <conditionalFormatting sqref="K19:K24">
    <cfRule type="expression" dxfId="898" priority="11">
      <formula>ISNUMBER(SEARCH(TEXT(#REF!,"ddd"),#REF!))</formula>
    </cfRule>
  </conditionalFormatting>
  <conditionalFormatting sqref="A10:D10 A12:D12">
    <cfRule type="expression" dxfId="897" priority="6">
      <formula>ISNUMBER(SEARCH(TEXT(#REF!,"ddd"),#REF!))</formula>
    </cfRule>
  </conditionalFormatting>
  <conditionalFormatting sqref="D14">
    <cfRule type="expression" dxfId="896" priority="5">
      <formula>ISNUMBER(SEARCH(TEXT(#REF!,"ddd"),#REF!))</formula>
    </cfRule>
  </conditionalFormatting>
  <conditionalFormatting sqref="A14:C14">
    <cfRule type="expression" dxfId="895" priority="4">
      <formula>ISNUMBER(SEARCH(TEXT(#REF!,"ddd"),#REF!))</formula>
    </cfRule>
  </conditionalFormatting>
  <conditionalFormatting sqref="A24:C24">
    <cfRule type="expression" dxfId="894" priority="3">
      <formula>ISNUMBER(SEARCH(TEXT(#REF!,"ddd"),#REF!))</formula>
    </cfRule>
  </conditionalFormatting>
  <conditionalFormatting sqref="A18:C18">
    <cfRule type="expression" dxfId="893" priority="1">
      <formula>ISNUMBER(SEARCH(TEXT(#REF!,"ddd"),#REF!))</formula>
    </cfRule>
  </conditionalFormatting>
  <dataValidations count="2">
    <dataValidation type="custom" allowBlank="1" showInputMessage="1" showErrorMessage="1" sqref="B16:C16 B18:C18 B12:C12 B10 B14:C14 B24:C24" xr:uid="{B64F1B69-8F3A-47F5-9C01-49A033D0527E}">
      <formula1>AND($B10&lt;=1,ISNUMBER($B10))</formula1>
    </dataValidation>
    <dataValidation type="custom" allowBlank="1" showInputMessage="1" showErrorMessage="1" sqref="C10" xr:uid="{A485419B-CB69-48CA-9E4C-E91E9490A0C7}">
      <formula1>AND($C10&lt;=1,ISNUMBER($C10),($C10&gt;=$B10))</formula1>
    </dataValidation>
  </dataValidations>
  <pageMargins left="0.11811023622047245" right="0" top="0.11811023622047245" bottom="0.15748031496062992" header="0" footer="0"/>
  <pageSetup paperSize="9" scale="50" fitToHeight="0" orientation="portrait" horizontalDpi="4294967293" verticalDpi="4294967293"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4F38F-7D82-449A-95BA-6C8AA47384C1}">
  <sheetPr codeName="Sheet17">
    <pageSetUpPr fitToPage="1"/>
  </sheetPr>
  <dimension ref="A1:M67"/>
  <sheetViews>
    <sheetView showGridLines="0" zoomScaleNormal="100" workbookViewId="0">
      <selection activeCell="E9" sqref="E9"/>
    </sheetView>
  </sheetViews>
  <sheetFormatPr baseColWidth="10" defaultColWidth="9" defaultRowHeight="12.75" x14ac:dyDescent="0.2"/>
  <cols>
    <col min="1" max="1" width="14.5" customWidth="1"/>
    <col min="2" max="2" width="8.875" customWidth="1"/>
    <col min="3" max="3" width="10" customWidth="1"/>
    <col min="4" max="4" width="11.5" customWidth="1"/>
    <col min="5" max="5" width="22.125" bestFit="1" customWidth="1"/>
    <col min="6" max="7" width="18" bestFit="1" customWidth="1"/>
    <col min="8" max="8" width="8.875" customWidth="1"/>
    <col min="9" max="9" width="11.625" customWidth="1"/>
    <col min="10" max="10" width="9.5" customWidth="1"/>
    <col min="11" max="11" width="12.375" customWidth="1"/>
    <col min="12" max="12" width="17.875" bestFit="1" customWidth="1"/>
    <col min="13" max="13" width="19.25" bestFit="1" customWidth="1"/>
  </cols>
  <sheetData>
    <row r="1" spans="1:13" ht="27" thickTop="1" x14ac:dyDescent="0.4">
      <c r="A1" s="301" t="s">
        <v>20</v>
      </c>
      <c r="B1" s="301"/>
      <c r="C1" s="301"/>
      <c r="D1" s="301"/>
      <c r="E1" s="55">
        <f>WEEKNUM(A10)</f>
        <v>9</v>
      </c>
      <c r="F1" s="83"/>
      <c r="G1" s="57"/>
      <c r="H1" s="84"/>
      <c r="J1" s="1"/>
    </row>
    <row r="2" spans="1:13" s="1" customFormat="1" ht="14.25" customHeight="1" x14ac:dyDescent="0.25">
      <c r="A2" s="49" t="s">
        <v>1</v>
      </c>
      <c r="B2" s="49"/>
      <c r="C2" s="49" t="s">
        <v>2</v>
      </c>
      <c r="D2" s="49"/>
      <c r="E2" s="85" t="s">
        <v>3</v>
      </c>
      <c r="F2" s="54" t="s">
        <v>4</v>
      </c>
      <c r="G2" s="54" t="s">
        <v>5</v>
      </c>
      <c r="H2" s="20"/>
      <c r="I2" s="86"/>
      <c r="J2" s="87"/>
      <c r="M2" s="1" t="s">
        <v>21</v>
      </c>
    </row>
    <row r="3" spans="1:13" ht="16.5" thickBot="1" x14ac:dyDescent="0.25">
      <c r="A3" s="136">
        <f>MIN(A10:A100)</f>
        <v>43885</v>
      </c>
      <c r="B3" s="202"/>
      <c r="C3" s="136">
        <f>MAXA(A10:A100)</f>
        <v>43890</v>
      </c>
      <c r="D3" s="188"/>
      <c r="E3" s="88" t="s">
        <v>6</v>
      </c>
      <c r="F3" s="46">
        <f>Sumcolor(E3,D10:D100)</f>
        <v>2.7777777777777679E-2</v>
      </c>
      <c r="G3" s="177">
        <f>SUM(Først:Sist!F3)</f>
        <v>1.0381944444444446</v>
      </c>
      <c r="H3" s="89"/>
      <c r="I3" s="90"/>
      <c r="J3" s="90"/>
      <c r="M3" t="s">
        <v>22</v>
      </c>
    </row>
    <row r="4" spans="1:13" ht="15" customHeight="1" x14ac:dyDescent="0.2">
      <c r="A4" s="293" t="s">
        <v>23</v>
      </c>
      <c r="B4" s="194"/>
      <c r="C4" s="293" t="s">
        <v>24</v>
      </c>
      <c r="D4" s="203"/>
      <c r="E4" s="91" t="s">
        <v>9</v>
      </c>
      <c r="F4" s="46">
        <f>Sumcolor(E4,D10:D100)</f>
        <v>0.64930555555555547</v>
      </c>
      <c r="G4" s="177">
        <f>SUM(Først:Sist!F4)</f>
        <v>8.03125</v>
      </c>
      <c r="H4" s="89"/>
      <c r="I4" s="90"/>
      <c r="J4" s="309"/>
    </row>
    <row r="5" spans="1:13" ht="15.75" x14ac:dyDescent="0.2">
      <c r="A5" s="302"/>
      <c r="B5" s="203"/>
      <c r="C5" s="302"/>
      <c r="D5" s="203"/>
      <c r="E5" s="159" t="s">
        <v>10</v>
      </c>
      <c r="F5" s="46">
        <f>Sumcolor(E5,D10:D100)</f>
        <v>0.16666666666666674</v>
      </c>
      <c r="G5" s="177">
        <f>SUM(Først:Sist!F5)</f>
        <v>1.8090277777777768</v>
      </c>
      <c r="H5" s="89"/>
      <c r="I5" s="90"/>
      <c r="J5" s="309"/>
      <c r="M5" t="s">
        <v>25</v>
      </c>
    </row>
    <row r="6" spans="1:13" ht="18.75" customHeight="1" thickBot="1" x14ac:dyDescent="0.25">
      <c r="A6" s="182">
        <f>SUM(D10:D100)</f>
        <v>1.0138888888888888</v>
      </c>
      <c r="B6" s="51"/>
      <c r="C6" s="82">
        <f>SUM(Først:Sist!A6)</f>
        <v>12.965277777777779</v>
      </c>
      <c r="D6" s="52"/>
      <c r="E6" s="92" t="s">
        <v>11</v>
      </c>
      <c r="F6" s="48">
        <f>Sumcolor(E6,D10:D100)</f>
        <v>0.17013888888888884</v>
      </c>
      <c r="G6" s="178">
        <f>SUM(Først:Sist!F6)</f>
        <v>1.9895833333333335</v>
      </c>
      <c r="H6" s="89"/>
      <c r="I6" s="90"/>
      <c r="J6" s="90"/>
      <c r="M6" t="s">
        <v>26</v>
      </c>
    </row>
    <row r="7" spans="1:13" ht="12.75" customHeight="1" x14ac:dyDescent="0.2">
      <c r="A7" s="19"/>
      <c r="B7" s="23"/>
      <c r="C7" s="24"/>
      <c r="D7" s="93"/>
      <c r="E7" s="23"/>
      <c r="F7" s="23"/>
      <c r="G7" s="25"/>
      <c r="H7" s="25"/>
    </row>
    <row r="8" spans="1:13" x14ac:dyDescent="0.2">
      <c r="A8" s="23"/>
      <c r="B8" s="25"/>
      <c r="C8" s="93"/>
      <c r="D8" s="25"/>
      <c r="E8" s="23"/>
      <c r="F8" s="23"/>
      <c r="G8" s="25"/>
      <c r="H8" s="25"/>
      <c r="M8" t="s">
        <v>27</v>
      </c>
    </row>
    <row r="9" spans="1:13" ht="16.5" thickBot="1" x14ac:dyDescent="0.3">
      <c r="A9" s="49" t="s">
        <v>12</v>
      </c>
      <c r="B9" s="49" t="s">
        <v>13</v>
      </c>
      <c r="C9" s="49" t="s">
        <v>14</v>
      </c>
      <c r="D9" s="49" t="s">
        <v>15</v>
      </c>
      <c r="E9" s="107" t="s">
        <v>16</v>
      </c>
      <c r="F9" s="102"/>
      <c r="G9" s="166" t="s">
        <v>17</v>
      </c>
      <c r="H9" s="25"/>
      <c r="M9" t="s">
        <v>28</v>
      </c>
    </row>
    <row r="10" spans="1:13" ht="15.75" x14ac:dyDescent="0.2">
      <c r="A10" s="143">
        <f>DATE(2020,2,24)</f>
        <v>43885</v>
      </c>
      <c r="B10" s="144">
        <v>0.58333333333333337</v>
      </c>
      <c r="C10" s="144">
        <v>0.61111111111111105</v>
      </c>
      <c r="D10" s="144">
        <f>(C10-B10)</f>
        <v>2.7777777777777679E-2</v>
      </c>
      <c r="E10" s="345" t="s">
        <v>61</v>
      </c>
      <c r="F10" s="355"/>
      <c r="G10" s="172"/>
      <c r="H10" s="173"/>
    </row>
    <row r="11" spans="1:13" ht="34.5" customHeight="1" thickBot="1" x14ac:dyDescent="0.3">
      <c r="A11" s="145"/>
      <c r="B11" s="146"/>
      <c r="C11" s="146"/>
      <c r="D11" s="146"/>
      <c r="E11" s="346"/>
      <c r="F11" s="346"/>
      <c r="G11" s="142"/>
      <c r="H11" s="25"/>
      <c r="M11" t="s">
        <v>30</v>
      </c>
    </row>
    <row r="12" spans="1:13" ht="15.75" customHeight="1" x14ac:dyDescent="0.2">
      <c r="A12" s="125">
        <f>DATE(2020,2,24)</f>
        <v>43885</v>
      </c>
      <c r="B12" s="167">
        <v>0.61458333333333337</v>
      </c>
      <c r="C12" s="167">
        <v>0.625</v>
      </c>
      <c r="D12" s="160">
        <f>(C12-B12)</f>
        <v>1.041666666666663E-2</v>
      </c>
      <c r="E12" s="319" t="s">
        <v>62</v>
      </c>
      <c r="F12" s="320"/>
      <c r="G12" s="141"/>
      <c r="M12" t="s">
        <v>32</v>
      </c>
    </row>
    <row r="13" spans="1:13" ht="39" customHeight="1" thickBot="1" x14ac:dyDescent="0.25">
      <c r="A13" s="168"/>
      <c r="B13" s="169"/>
      <c r="C13" s="169"/>
      <c r="D13" s="169"/>
      <c r="E13" s="321"/>
      <c r="F13" s="322"/>
      <c r="G13" s="176"/>
      <c r="H13" s="5"/>
    </row>
    <row r="14" spans="1:13" ht="15.75" customHeight="1" x14ac:dyDescent="0.25">
      <c r="A14" s="134">
        <f>DATE(2020,2,24)</f>
        <v>43885</v>
      </c>
      <c r="B14" s="170">
        <v>0.62847222222222221</v>
      </c>
      <c r="C14" s="170">
        <v>0.66666666666666663</v>
      </c>
      <c r="D14" s="123">
        <f>(C14-B14)</f>
        <v>3.819444444444442E-2</v>
      </c>
      <c r="E14" s="327" t="s">
        <v>63</v>
      </c>
      <c r="F14" s="328"/>
      <c r="G14" s="171"/>
      <c r="H14" s="81"/>
      <c r="I14" s="5"/>
    </row>
    <row r="15" spans="1:13" ht="15.75" thickBot="1" x14ac:dyDescent="0.3">
      <c r="A15" s="137"/>
      <c r="B15" s="138"/>
      <c r="C15" s="138"/>
      <c r="D15" s="138"/>
      <c r="E15" s="329"/>
      <c r="F15" s="330"/>
      <c r="G15" s="142"/>
      <c r="I15" s="5"/>
    </row>
    <row r="16" spans="1:13" ht="15.75" x14ac:dyDescent="0.2">
      <c r="A16" s="134">
        <f>DATE(2020,2,24)</f>
        <v>43885</v>
      </c>
      <c r="B16" s="123">
        <v>0.64583333333333337</v>
      </c>
      <c r="C16" s="123">
        <v>0.6875</v>
      </c>
      <c r="D16" s="123">
        <f>(C16-B16)</f>
        <v>4.166666666666663E-2</v>
      </c>
      <c r="E16" s="327" t="s">
        <v>64</v>
      </c>
      <c r="F16" s="328"/>
      <c r="G16" s="141"/>
      <c r="I16" s="5"/>
    </row>
    <row r="17" spans="1:12" ht="32.25" customHeight="1" thickBot="1" x14ac:dyDescent="0.3">
      <c r="A17" s="137"/>
      <c r="B17" s="138"/>
      <c r="C17" s="138"/>
      <c r="D17" s="138"/>
      <c r="E17" s="329"/>
      <c r="F17" s="330"/>
      <c r="G17" s="142"/>
      <c r="I17" s="5"/>
    </row>
    <row r="18" spans="1:12" ht="15.75" customHeight="1" x14ac:dyDescent="0.2">
      <c r="A18" s="134">
        <f>DATE(2020,2,24)</f>
        <v>43885</v>
      </c>
      <c r="B18" s="123">
        <v>0.69791666666666663</v>
      </c>
      <c r="C18" s="123">
        <v>0.85416666666666663</v>
      </c>
      <c r="D18" s="123">
        <f>(C18-B18)</f>
        <v>0.15625</v>
      </c>
      <c r="E18" s="327" t="s">
        <v>65</v>
      </c>
      <c r="F18" s="328"/>
      <c r="G18" s="141">
        <v>5</v>
      </c>
    </row>
    <row r="19" spans="1:12" ht="19.5" customHeight="1" thickBot="1" x14ac:dyDescent="0.25">
      <c r="A19" s="139"/>
      <c r="B19" s="140"/>
      <c r="C19" s="140"/>
      <c r="D19" s="140"/>
      <c r="E19" s="329"/>
      <c r="F19" s="330"/>
      <c r="G19" s="142"/>
      <c r="I19" s="96"/>
      <c r="K19" s="96"/>
    </row>
    <row r="20" spans="1:12" ht="15.75" customHeight="1" x14ac:dyDescent="0.2">
      <c r="A20" s="134">
        <f>DATE(2020,2,25)</f>
        <v>43886</v>
      </c>
      <c r="B20" s="122">
        <v>0.58333333333333337</v>
      </c>
      <c r="C20" s="122">
        <v>0.70833333333333337</v>
      </c>
      <c r="D20" s="123">
        <f>(C20-B20)</f>
        <v>0.125</v>
      </c>
      <c r="E20" s="327" t="s">
        <v>66</v>
      </c>
      <c r="F20" s="328"/>
      <c r="G20" s="141">
        <v>5</v>
      </c>
      <c r="H20" s="96"/>
      <c r="I20" s="96"/>
      <c r="K20" s="96"/>
    </row>
    <row r="21" spans="1:12" ht="18" customHeight="1" thickBot="1" x14ac:dyDescent="0.3">
      <c r="A21" s="137"/>
      <c r="B21" s="138"/>
      <c r="C21" s="138"/>
      <c r="D21" s="138"/>
      <c r="E21" s="329"/>
      <c r="F21" s="330"/>
      <c r="G21" s="142"/>
      <c r="I21" s="96"/>
      <c r="K21" s="96"/>
    </row>
    <row r="22" spans="1:12" ht="15.75" customHeight="1" x14ac:dyDescent="0.2">
      <c r="A22" s="134">
        <f>DATE(2020,2,25)</f>
        <v>43886</v>
      </c>
      <c r="B22" s="122">
        <v>0.70833333333333337</v>
      </c>
      <c r="C22" s="122">
        <v>0.77083333333333337</v>
      </c>
      <c r="D22" s="123">
        <f>(C22-B22)</f>
        <v>6.25E-2</v>
      </c>
      <c r="E22" s="327" t="s">
        <v>67</v>
      </c>
      <c r="F22" s="328"/>
      <c r="G22" s="141">
        <v>1</v>
      </c>
      <c r="I22" s="97"/>
      <c r="K22" s="96"/>
      <c r="L22" s="5"/>
    </row>
    <row r="23" spans="1:12" ht="16.5" customHeight="1" thickBot="1" x14ac:dyDescent="0.3">
      <c r="A23" s="155"/>
      <c r="B23" s="156"/>
      <c r="C23" s="156"/>
      <c r="D23" s="156"/>
      <c r="E23" s="329"/>
      <c r="F23" s="330"/>
      <c r="G23" s="176"/>
      <c r="I23" s="98"/>
      <c r="K23" s="96"/>
      <c r="L23" s="5"/>
    </row>
    <row r="24" spans="1:12" ht="15.75" customHeight="1" x14ac:dyDescent="0.2">
      <c r="A24" s="134">
        <f>DATE(2020,2,26)</f>
        <v>43887</v>
      </c>
      <c r="B24" s="123">
        <v>0.40625</v>
      </c>
      <c r="C24" s="123">
        <v>0.4236111111111111</v>
      </c>
      <c r="D24" s="123">
        <f>(C24-B24)</f>
        <v>1.7361111111111105E-2</v>
      </c>
      <c r="E24" s="327" t="s">
        <v>68</v>
      </c>
      <c r="F24" s="328"/>
      <c r="G24" s="142">
        <v>5</v>
      </c>
      <c r="H24" s="96"/>
      <c r="K24" s="96"/>
      <c r="L24" s="5"/>
    </row>
    <row r="25" spans="1:12" ht="18" customHeight="1" thickBot="1" x14ac:dyDescent="0.25">
      <c r="A25" s="139"/>
      <c r="B25" s="140"/>
      <c r="C25" s="140"/>
      <c r="D25" s="140"/>
      <c r="E25" s="329"/>
      <c r="F25" s="330"/>
      <c r="G25" s="176"/>
      <c r="H25" s="97"/>
      <c r="K25" s="97"/>
      <c r="L25" s="5"/>
    </row>
    <row r="26" spans="1:12" ht="15.75" x14ac:dyDescent="0.2">
      <c r="A26" s="125">
        <f>DATE(2020,2,26)</f>
        <v>43887</v>
      </c>
      <c r="B26" s="164">
        <v>0.42708333333333331</v>
      </c>
      <c r="C26" s="164">
        <v>0.4513888888888889</v>
      </c>
      <c r="D26" s="160">
        <f>(C26-B26)</f>
        <v>2.430555555555558E-2</v>
      </c>
      <c r="E26" s="360" t="s">
        <v>69</v>
      </c>
      <c r="F26" s="352"/>
      <c r="G26" s="142"/>
      <c r="H26" s="98"/>
      <c r="K26" s="99"/>
    </row>
    <row r="27" spans="1:12" ht="16.5" thickBot="1" x14ac:dyDescent="0.3">
      <c r="A27" s="131"/>
      <c r="B27" s="165"/>
      <c r="C27" s="165"/>
      <c r="D27" s="165"/>
      <c r="E27" s="353"/>
      <c r="F27" s="354"/>
      <c r="G27" s="176"/>
      <c r="H27" s="100"/>
      <c r="K27" s="90"/>
    </row>
    <row r="28" spans="1:12" ht="15.75" customHeight="1" x14ac:dyDescent="0.2">
      <c r="A28" s="134">
        <f>DATE(2020,2,26)</f>
        <v>43887</v>
      </c>
      <c r="B28" s="122">
        <v>0.47916666666666669</v>
      </c>
      <c r="C28" s="122">
        <v>0.64583333333333337</v>
      </c>
      <c r="D28" s="123">
        <f>C28-B28</f>
        <v>0.16666666666666669</v>
      </c>
      <c r="E28" s="327" t="s">
        <v>70</v>
      </c>
      <c r="F28" s="328"/>
      <c r="G28" s="184" t="s">
        <v>87</v>
      </c>
      <c r="H28" s="100"/>
      <c r="K28" s="5"/>
    </row>
    <row r="29" spans="1:12" ht="31.5" customHeight="1" thickBot="1" x14ac:dyDescent="0.3">
      <c r="A29" s="135"/>
      <c r="B29" s="124"/>
      <c r="C29" s="124"/>
      <c r="D29" s="124"/>
      <c r="E29" s="329"/>
      <c r="F29" s="330"/>
      <c r="G29" s="176"/>
      <c r="H29" s="100"/>
      <c r="K29" s="5"/>
    </row>
    <row r="30" spans="1:12" ht="15.75" customHeight="1" x14ac:dyDescent="0.2">
      <c r="A30" s="125">
        <f>DATE(2020,2,27)</f>
        <v>43888</v>
      </c>
      <c r="B30" s="164">
        <v>0.4201388888888889</v>
      </c>
      <c r="C30" s="164">
        <v>0.42708333333333331</v>
      </c>
      <c r="D30" s="160">
        <f>C30-B30</f>
        <v>6.9444444444444198E-3</v>
      </c>
      <c r="E30" s="351" t="s">
        <v>71</v>
      </c>
      <c r="F30" s="352"/>
      <c r="G30" s="142"/>
      <c r="H30" s="100"/>
    </row>
    <row r="31" spans="1:12" ht="16.5" thickBot="1" x14ac:dyDescent="0.3">
      <c r="A31" s="131"/>
      <c r="B31" s="165"/>
      <c r="C31" s="165"/>
      <c r="D31" s="165"/>
      <c r="E31" s="353"/>
      <c r="F31" s="354"/>
      <c r="G31" s="142"/>
      <c r="H31" s="100"/>
    </row>
    <row r="32" spans="1:12" ht="15.75" x14ac:dyDescent="0.2">
      <c r="A32" s="134">
        <f>DATE(2020,2,27)</f>
        <v>43888</v>
      </c>
      <c r="B32" s="122">
        <v>0.64583333333333337</v>
      </c>
      <c r="C32" s="122">
        <v>0.6875</v>
      </c>
      <c r="D32" s="123">
        <f>C32-B32</f>
        <v>4.166666666666663E-2</v>
      </c>
      <c r="E32" s="327" t="s">
        <v>72</v>
      </c>
      <c r="F32" s="328"/>
      <c r="G32" s="141"/>
      <c r="H32" s="29"/>
    </row>
    <row r="33" spans="1:9" ht="16.5" thickBot="1" x14ac:dyDescent="0.3">
      <c r="A33" s="135"/>
      <c r="B33" s="124"/>
      <c r="C33" s="124"/>
      <c r="D33" s="124"/>
      <c r="E33" s="329"/>
      <c r="F33" s="330"/>
      <c r="G33" s="176"/>
      <c r="H33" s="100"/>
    </row>
    <row r="34" spans="1:9" ht="15.75" customHeight="1" x14ac:dyDescent="0.2">
      <c r="A34" s="125">
        <f>DATE(2020,2,28)</f>
        <v>43889</v>
      </c>
      <c r="B34" s="164">
        <v>0.50694444444444442</v>
      </c>
      <c r="C34" s="164">
        <v>0.5625</v>
      </c>
      <c r="D34" s="160">
        <f>(C34-B34)</f>
        <v>5.555555555555558E-2</v>
      </c>
      <c r="E34" s="360" t="s">
        <v>73</v>
      </c>
      <c r="F34" s="352"/>
      <c r="G34" s="142"/>
      <c r="H34" s="100"/>
    </row>
    <row r="35" spans="1:9" ht="16.5" thickBot="1" x14ac:dyDescent="0.3">
      <c r="A35" s="131"/>
      <c r="B35" s="165"/>
      <c r="C35" s="165"/>
      <c r="D35" s="165"/>
      <c r="E35" s="353"/>
      <c r="F35" s="354"/>
      <c r="G35" s="176"/>
      <c r="H35" s="100"/>
    </row>
    <row r="36" spans="1:9" ht="15.75" x14ac:dyDescent="0.2">
      <c r="A36" s="132">
        <f>DATE(2020,2,29)</f>
        <v>43890</v>
      </c>
      <c r="B36" s="119">
        <v>0.51041666666666663</v>
      </c>
      <c r="C36" s="120">
        <v>0.58333333333333337</v>
      </c>
      <c r="D36" s="120">
        <f>(C36-B36)</f>
        <v>7.2916666666666741E-2</v>
      </c>
      <c r="E36" s="356" t="s">
        <v>74</v>
      </c>
      <c r="F36" s="357"/>
      <c r="G36" s="142"/>
      <c r="H36" s="179"/>
      <c r="I36" s="180"/>
    </row>
    <row r="37" spans="1:9" ht="16.5" customHeight="1" thickBot="1" x14ac:dyDescent="0.25">
      <c r="A37" s="174"/>
      <c r="B37" s="175"/>
      <c r="C37" s="175"/>
      <c r="D37" s="175"/>
      <c r="E37" s="358"/>
      <c r="F37" s="359"/>
      <c r="G37" s="176"/>
      <c r="H37" s="179"/>
      <c r="I37" s="180"/>
    </row>
    <row r="38" spans="1:9" ht="15.75" x14ac:dyDescent="0.2">
      <c r="A38" s="132">
        <f>DATE(2020,2,29)</f>
        <v>43890</v>
      </c>
      <c r="B38" s="119">
        <v>0.58333333333333337</v>
      </c>
      <c r="C38" s="120">
        <v>0.64583333333333337</v>
      </c>
      <c r="D38" s="120">
        <f>(C38-B38)</f>
        <v>6.25E-2</v>
      </c>
      <c r="E38" s="356" t="s">
        <v>75</v>
      </c>
      <c r="F38" s="357"/>
      <c r="G38" s="142"/>
      <c r="H38" s="5"/>
    </row>
    <row r="39" spans="1:9" ht="16.5" thickBot="1" x14ac:dyDescent="0.25">
      <c r="A39" s="175"/>
      <c r="B39" s="175"/>
      <c r="C39" s="175"/>
      <c r="D39" s="175"/>
      <c r="E39" s="358"/>
      <c r="F39" s="359"/>
      <c r="G39" s="176"/>
    </row>
    <row r="40" spans="1:9" ht="15.75" x14ac:dyDescent="0.2">
      <c r="A40" s="132">
        <f>DATE(2020,2,29)</f>
        <v>43890</v>
      </c>
      <c r="B40" s="119">
        <v>0.64583333333333337</v>
      </c>
      <c r="C40" s="120">
        <v>0.68055555555555547</v>
      </c>
      <c r="D40" s="120">
        <f>(C40-B40)</f>
        <v>3.4722222222222099E-2</v>
      </c>
      <c r="E40" s="356" t="s">
        <v>76</v>
      </c>
      <c r="F40" s="357"/>
      <c r="G40" s="142"/>
      <c r="H40" s="5"/>
    </row>
    <row r="41" spans="1:9" ht="16.5" thickBot="1" x14ac:dyDescent="0.25">
      <c r="A41" s="175"/>
      <c r="B41" s="175"/>
      <c r="C41" s="175"/>
      <c r="D41" s="175"/>
      <c r="E41" s="358"/>
      <c r="F41" s="359"/>
      <c r="G41" s="176"/>
      <c r="H41" s="5"/>
    </row>
    <row r="42" spans="1:9" ht="15.75" x14ac:dyDescent="0.2">
      <c r="A42" s="125">
        <f>DATE(2020,2,29)</f>
        <v>43890</v>
      </c>
      <c r="B42" s="164">
        <v>0.68055555555555547</v>
      </c>
      <c r="C42" s="160">
        <v>0.75</v>
      </c>
      <c r="D42" s="160">
        <f>(C42-B42)</f>
        <v>6.9444444444444531E-2</v>
      </c>
      <c r="E42" s="360" t="s">
        <v>77</v>
      </c>
      <c r="F42" s="352"/>
      <c r="G42" s="142"/>
      <c r="H42" s="180"/>
      <c r="I42" s="180"/>
    </row>
    <row r="43" spans="1:9" ht="16.5" thickBot="1" x14ac:dyDescent="0.25">
      <c r="A43" s="181"/>
      <c r="B43" s="181"/>
      <c r="C43" s="181"/>
      <c r="D43" s="181"/>
      <c r="E43" s="353"/>
      <c r="F43" s="354"/>
      <c r="G43" s="176"/>
    </row>
    <row r="44" spans="1:9" x14ac:dyDescent="0.2">
      <c r="B44" s="5"/>
      <c r="C44" s="5"/>
      <c r="D44" s="5"/>
      <c r="E44" s="5"/>
      <c r="F44" s="5"/>
    </row>
    <row r="46" spans="1:9" ht="24" thickBot="1" x14ac:dyDescent="0.4">
      <c r="A46" s="101" t="s">
        <v>18</v>
      </c>
      <c r="B46" s="101"/>
      <c r="C46" s="27"/>
      <c r="D46" s="27"/>
      <c r="E46" s="27"/>
      <c r="F46" s="102"/>
      <c r="G46" s="102"/>
    </row>
    <row r="47" spans="1:9" x14ac:dyDescent="0.2">
      <c r="B47" s="103"/>
      <c r="C47" s="104"/>
      <c r="D47" s="105"/>
      <c r="E47" s="106"/>
    </row>
    <row r="48" spans="1:9" x14ac:dyDescent="0.2">
      <c r="A48" s="314"/>
      <c r="B48" s="314"/>
      <c r="C48" s="314"/>
      <c r="D48" s="314"/>
      <c r="E48" s="314"/>
      <c r="F48" s="314"/>
      <c r="G48" s="314"/>
      <c r="H48" s="5"/>
    </row>
    <row r="49" spans="1:8" x14ac:dyDescent="0.2">
      <c r="A49" s="314"/>
      <c r="B49" s="314"/>
      <c r="C49" s="314"/>
      <c r="D49" s="314"/>
      <c r="E49" s="314"/>
      <c r="F49" s="314"/>
      <c r="G49" s="314"/>
      <c r="H49" s="5"/>
    </row>
    <row r="50" spans="1:8" x14ac:dyDescent="0.2">
      <c r="A50" s="314"/>
      <c r="B50" s="314"/>
      <c r="C50" s="314"/>
      <c r="D50" s="314"/>
      <c r="E50" s="314"/>
      <c r="F50" s="314"/>
      <c r="G50" s="314"/>
      <c r="H50" s="5"/>
    </row>
    <row r="51" spans="1:8" x14ac:dyDescent="0.2">
      <c r="A51" s="314"/>
      <c r="B51" s="314"/>
      <c r="C51" s="314"/>
      <c r="D51" s="314"/>
      <c r="E51" s="314"/>
      <c r="F51" s="314"/>
      <c r="G51" s="314"/>
      <c r="H51" s="5"/>
    </row>
    <row r="52" spans="1:8" x14ac:dyDescent="0.2">
      <c r="A52" s="314"/>
      <c r="B52" s="314"/>
      <c r="C52" s="314"/>
      <c r="D52" s="314"/>
      <c r="E52" s="314"/>
      <c r="F52" s="314"/>
      <c r="G52" s="314"/>
      <c r="H52" s="5"/>
    </row>
    <row r="53" spans="1:8" x14ac:dyDescent="0.2">
      <c r="A53" s="314"/>
      <c r="B53" s="314"/>
      <c r="C53" s="314"/>
      <c r="D53" s="314"/>
      <c r="E53" s="314"/>
      <c r="F53" s="314"/>
      <c r="G53" s="314"/>
      <c r="H53" s="5"/>
    </row>
    <row r="54" spans="1:8" x14ac:dyDescent="0.2">
      <c r="A54" s="314"/>
      <c r="B54" s="314"/>
      <c r="C54" s="314"/>
      <c r="D54" s="314"/>
      <c r="E54" s="314"/>
      <c r="F54" s="314"/>
      <c r="G54" s="314"/>
      <c r="H54" s="5"/>
    </row>
    <row r="55" spans="1:8" x14ac:dyDescent="0.2">
      <c r="A55" s="314"/>
      <c r="B55" s="314"/>
      <c r="C55" s="314"/>
      <c r="D55" s="314"/>
      <c r="E55" s="314"/>
      <c r="F55" s="314"/>
      <c r="G55" s="314"/>
      <c r="H55" s="5"/>
    </row>
    <row r="56" spans="1:8" x14ac:dyDescent="0.2">
      <c r="A56" s="314"/>
      <c r="B56" s="314"/>
      <c r="C56" s="314"/>
      <c r="D56" s="314"/>
      <c r="E56" s="314"/>
      <c r="F56" s="314"/>
      <c r="G56" s="314"/>
      <c r="H56" s="5"/>
    </row>
    <row r="57" spans="1:8" x14ac:dyDescent="0.2">
      <c r="A57" s="314"/>
      <c r="B57" s="314"/>
      <c r="C57" s="314"/>
      <c r="D57" s="314"/>
      <c r="E57" s="314"/>
      <c r="F57" s="314"/>
      <c r="G57" s="314"/>
      <c r="H57" s="5"/>
    </row>
    <row r="58" spans="1:8" x14ac:dyDescent="0.2">
      <c r="A58" s="314"/>
      <c r="B58" s="314"/>
      <c r="C58" s="314"/>
      <c r="D58" s="314"/>
      <c r="E58" s="314"/>
      <c r="F58" s="314"/>
      <c r="G58" s="314"/>
      <c r="H58" s="5"/>
    </row>
    <row r="59" spans="1:8" x14ac:dyDescent="0.2">
      <c r="A59" s="314"/>
      <c r="B59" s="314"/>
      <c r="C59" s="314"/>
      <c r="D59" s="314"/>
      <c r="E59" s="314"/>
      <c r="F59" s="314"/>
      <c r="G59" s="314"/>
      <c r="H59" s="5"/>
    </row>
    <row r="60" spans="1:8" x14ac:dyDescent="0.2">
      <c r="A60" s="314"/>
      <c r="B60" s="314"/>
      <c r="C60" s="314"/>
      <c r="D60" s="314"/>
      <c r="E60" s="314"/>
      <c r="F60" s="314"/>
      <c r="G60" s="314"/>
      <c r="H60" s="5"/>
    </row>
    <row r="61" spans="1:8" ht="12.75" customHeight="1" x14ac:dyDescent="0.2">
      <c r="A61" s="5"/>
      <c r="B61" s="5"/>
      <c r="C61" s="5"/>
      <c r="D61" s="5"/>
      <c r="E61" s="5"/>
      <c r="F61" s="5"/>
      <c r="G61" s="5"/>
      <c r="H61" s="5"/>
    </row>
    <row r="62" spans="1:8" ht="12.75" customHeight="1" x14ac:dyDescent="0.2">
      <c r="A62" s="5"/>
      <c r="B62" s="5"/>
      <c r="C62" s="5"/>
      <c r="D62" s="5"/>
      <c r="E62" s="5"/>
      <c r="F62" s="5"/>
      <c r="G62" s="5"/>
      <c r="H62" s="5"/>
    </row>
    <row r="63" spans="1:8" ht="12.75" customHeight="1" x14ac:dyDescent="0.2">
      <c r="A63" s="5"/>
      <c r="B63" s="5"/>
      <c r="C63" s="5"/>
      <c r="D63" s="5"/>
      <c r="E63" s="5"/>
      <c r="F63" s="5"/>
      <c r="G63" s="5"/>
      <c r="H63" s="5"/>
    </row>
    <row r="64" spans="1:8" x14ac:dyDescent="0.2">
      <c r="A64" s="5"/>
      <c r="B64" s="5"/>
      <c r="C64" s="5"/>
      <c r="D64" s="5"/>
      <c r="E64" s="5"/>
      <c r="F64" s="5"/>
      <c r="G64" s="5"/>
      <c r="H64" s="5"/>
    </row>
    <row r="65" spans="1:8" ht="12.75" customHeight="1" x14ac:dyDescent="0.2">
      <c r="A65" s="5"/>
      <c r="B65" s="5"/>
      <c r="C65" s="5"/>
      <c r="D65" s="5"/>
      <c r="E65" s="5"/>
      <c r="F65" s="5"/>
      <c r="G65" s="5"/>
      <c r="H65" s="5"/>
    </row>
    <row r="66" spans="1:8" ht="12.75" customHeight="1" x14ac:dyDescent="0.2"/>
    <row r="67" spans="1:8" ht="12.75" customHeight="1" x14ac:dyDescent="0.2"/>
  </sheetData>
  <mergeCells count="22">
    <mergeCell ref="E24:F25"/>
    <mergeCell ref="A1:D1"/>
    <mergeCell ref="A4:A5"/>
    <mergeCell ref="C4:C5"/>
    <mergeCell ref="J4:J5"/>
    <mergeCell ref="E10:F11"/>
    <mergeCell ref="E12:F13"/>
    <mergeCell ref="E14:F15"/>
    <mergeCell ref="E16:F17"/>
    <mergeCell ref="E18:F19"/>
    <mergeCell ref="E20:F21"/>
    <mergeCell ref="E22:F23"/>
    <mergeCell ref="E38:F39"/>
    <mergeCell ref="E40:F41"/>
    <mergeCell ref="E42:F43"/>
    <mergeCell ref="A48:G60"/>
    <mergeCell ref="E26:F27"/>
    <mergeCell ref="E28:F29"/>
    <mergeCell ref="E30:F31"/>
    <mergeCell ref="E32:F33"/>
    <mergeCell ref="E34:F35"/>
    <mergeCell ref="E36:F37"/>
  </mergeCells>
  <conditionalFormatting sqref="I19 H20:I20 I21 H24">
    <cfRule type="expression" dxfId="892" priority="23">
      <formula>ISNUMBER(SEARCH(TEXT(#REF!,"ddd"),#REF!))</formula>
    </cfRule>
  </conditionalFormatting>
  <conditionalFormatting sqref="B16:C16">
    <cfRule type="expression" dxfId="891" priority="24">
      <formula>ISNUMBER(SEARCH(TEXT(#REF!,"ddd"),#REF!))</formula>
    </cfRule>
  </conditionalFormatting>
  <conditionalFormatting sqref="K19:K24">
    <cfRule type="expression" dxfId="890" priority="25">
      <formula>ISNUMBER(SEARCH(TEXT(#REF!,"ddd"),#REF!))</formula>
    </cfRule>
  </conditionalFormatting>
  <conditionalFormatting sqref="A10:D10 A12:D12">
    <cfRule type="expression" dxfId="889" priority="22">
      <formula>ISNUMBER(SEARCH(TEXT(#REF!,"ddd"),#REF!))</formula>
    </cfRule>
  </conditionalFormatting>
  <conditionalFormatting sqref="B14:C14">
    <cfRule type="expression" dxfId="888" priority="20">
      <formula>ISNUMBER(SEARCH(TEXT(#REF!,"ddd"),#REF!))</formula>
    </cfRule>
  </conditionalFormatting>
  <conditionalFormatting sqref="B24:C24">
    <cfRule type="expression" dxfId="887" priority="19">
      <formula>ISNUMBER(SEARCH(TEXT(#REF!,"ddd"),#REF!))</formula>
    </cfRule>
  </conditionalFormatting>
  <conditionalFormatting sqref="B18:C18">
    <cfRule type="expression" dxfId="886" priority="18">
      <formula>ISNUMBER(SEARCH(TEXT(#REF!,"ddd"),#REF!))</formula>
    </cfRule>
  </conditionalFormatting>
  <conditionalFormatting sqref="A14">
    <cfRule type="expression" dxfId="885" priority="17">
      <formula>ISNUMBER(SEARCH(TEXT(#REF!,"ddd"),#REF!))</formula>
    </cfRule>
  </conditionalFormatting>
  <conditionalFormatting sqref="A16">
    <cfRule type="expression" dxfId="884" priority="16">
      <formula>ISNUMBER(SEARCH(TEXT(#REF!,"ddd"),#REF!))</formula>
    </cfRule>
  </conditionalFormatting>
  <conditionalFormatting sqref="D14">
    <cfRule type="expression" dxfId="883" priority="15">
      <formula>ISNUMBER(SEARCH(TEXT(#REF!,"ddd"),#REF!))</formula>
    </cfRule>
  </conditionalFormatting>
  <conditionalFormatting sqref="D16">
    <cfRule type="expression" dxfId="882" priority="14">
      <formula>ISNUMBER(SEARCH(TEXT(#REF!,"ddd"),#REF!))</formula>
    </cfRule>
  </conditionalFormatting>
  <conditionalFormatting sqref="A18">
    <cfRule type="expression" dxfId="881" priority="13">
      <formula>ISNUMBER(SEARCH(TEXT(#REF!,"ddd"),#REF!))</formula>
    </cfRule>
  </conditionalFormatting>
  <conditionalFormatting sqref="A20">
    <cfRule type="expression" dxfId="880" priority="12">
      <formula>ISNUMBER(SEARCH(TEXT(#REF!,"ddd"),#REF!))</formula>
    </cfRule>
  </conditionalFormatting>
  <conditionalFormatting sqref="A22">
    <cfRule type="expression" dxfId="879" priority="11">
      <formula>ISNUMBER(SEARCH(TEXT(#REF!,"ddd"),#REF!))</formula>
    </cfRule>
  </conditionalFormatting>
  <conditionalFormatting sqref="A24">
    <cfRule type="expression" dxfId="878" priority="10">
      <formula>ISNUMBER(SEARCH(TEXT(#REF!,"ddd"),#REF!))</formula>
    </cfRule>
  </conditionalFormatting>
  <conditionalFormatting sqref="A26">
    <cfRule type="expression" dxfId="877" priority="9">
      <formula>ISNUMBER(SEARCH(TEXT(#REF!,"ddd"),#REF!))</formula>
    </cfRule>
  </conditionalFormatting>
  <conditionalFormatting sqref="A28">
    <cfRule type="expression" dxfId="876" priority="8">
      <formula>ISNUMBER(SEARCH(TEXT(#REF!,"ddd"),#REF!))</formula>
    </cfRule>
  </conditionalFormatting>
  <conditionalFormatting sqref="A34">
    <cfRule type="expression" dxfId="875" priority="7">
      <formula>ISNUMBER(SEARCH(TEXT(#REF!,"ddd"),#REF!))</formula>
    </cfRule>
  </conditionalFormatting>
  <conditionalFormatting sqref="A30">
    <cfRule type="expression" dxfId="874" priority="6">
      <formula>ISNUMBER(SEARCH(TEXT(#REF!,"ddd"),#REF!))</formula>
    </cfRule>
  </conditionalFormatting>
  <conditionalFormatting sqref="A36">
    <cfRule type="expression" dxfId="873" priority="5">
      <formula>ISNUMBER(SEARCH(TEXT(#REF!,"ddd"),#REF!))</formula>
    </cfRule>
  </conditionalFormatting>
  <conditionalFormatting sqref="A38">
    <cfRule type="expression" dxfId="872" priority="4">
      <formula>ISNUMBER(SEARCH(TEXT(#REF!,"ddd"),#REF!))</formula>
    </cfRule>
  </conditionalFormatting>
  <conditionalFormatting sqref="A40">
    <cfRule type="expression" dxfId="871" priority="3">
      <formula>ISNUMBER(SEARCH(TEXT(#REF!,"ddd"),#REF!))</formula>
    </cfRule>
  </conditionalFormatting>
  <conditionalFormatting sqref="A42">
    <cfRule type="expression" dxfId="870" priority="1">
      <formula>ISNUMBER(SEARCH(TEXT(#REF!,"ddd"),#REF!))</formula>
    </cfRule>
  </conditionalFormatting>
  <dataValidations count="2">
    <dataValidation type="custom" allowBlank="1" showInputMessage="1" showErrorMessage="1" sqref="C10" xr:uid="{AB2664F8-B0AB-4824-97FB-0A0744FC7D37}">
      <formula1>AND($C10&lt;=1,ISNUMBER($C10),($C10&gt;=$B10))</formula1>
    </dataValidation>
    <dataValidation type="custom" allowBlank="1" showInputMessage="1" showErrorMessage="1" sqref="B16:C16 B18:C18 B12:C12 B10 B14:C14 B24:C24" xr:uid="{2D1A06D9-5A53-4C9D-B8A1-B5EDC3004D3F}">
      <formula1>AND($B10&lt;=1,ISNUMBER($B10))</formula1>
    </dataValidation>
  </dataValidations>
  <pageMargins left="0.11811023622047245" right="0" top="0.11811023622047245" bottom="0.15748031496062992" header="0" footer="0"/>
  <pageSetup paperSize="9" scale="50" fitToHeight="0" orientation="portrait" horizontalDpi="4294967293" verticalDpi="4294967293"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CF7F-82FE-4388-A701-169D81E8E975}">
  <sheetPr codeName="Sheet18">
    <pageSetUpPr fitToPage="1"/>
  </sheetPr>
  <dimension ref="A1:M51"/>
  <sheetViews>
    <sheetView showGridLines="0" zoomScaleNormal="100" workbookViewId="0">
      <selection activeCell="F4" sqref="F4"/>
    </sheetView>
  </sheetViews>
  <sheetFormatPr baseColWidth="10" defaultColWidth="9" defaultRowHeight="12.75" x14ac:dyDescent="0.2"/>
  <cols>
    <col min="1" max="1" width="14.5" customWidth="1"/>
    <col min="2" max="2" width="8.875" customWidth="1"/>
    <col min="3" max="3" width="10" customWidth="1"/>
    <col min="4" max="4" width="11.5" customWidth="1"/>
    <col min="5" max="5" width="22.125" bestFit="1" customWidth="1"/>
    <col min="6" max="7" width="18" bestFit="1" customWidth="1"/>
    <col min="8" max="8" width="8.875" customWidth="1"/>
    <col min="9" max="9" width="11.625" customWidth="1"/>
    <col min="10" max="10" width="9.5" customWidth="1"/>
    <col min="11" max="11" width="12.375" customWidth="1"/>
    <col min="12" max="12" width="17.875" bestFit="1" customWidth="1"/>
    <col min="13" max="13" width="19.25" bestFit="1" customWidth="1"/>
  </cols>
  <sheetData>
    <row r="1" spans="1:13" ht="27" thickTop="1" x14ac:dyDescent="0.4">
      <c r="A1" s="301" t="s">
        <v>20</v>
      </c>
      <c r="B1" s="301"/>
      <c r="C1" s="301"/>
      <c r="D1" s="301"/>
      <c r="E1" s="55">
        <f>WEEKNUM(A10)</f>
        <v>10</v>
      </c>
      <c r="F1" s="83"/>
      <c r="G1" s="57"/>
      <c r="H1" s="84"/>
      <c r="J1" s="1"/>
    </row>
    <row r="2" spans="1:13" s="1" customFormat="1" ht="14.25" customHeight="1" x14ac:dyDescent="0.25">
      <c r="A2" s="49" t="s">
        <v>1</v>
      </c>
      <c r="B2" s="49"/>
      <c r="C2" s="49" t="s">
        <v>2</v>
      </c>
      <c r="D2" s="49"/>
      <c r="E2" s="85" t="s">
        <v>3</v>
      </c>
      <c r="F2" s="54" t="s">
        <v>4</v>
      </c>
      <c r="G2" s="54" t="s">
        <v>5</v>
      </c>
      <c r="H2" s="20"/>
      <c r="I2" s="86"/>
      <c r="J2" s="87"/>
      <c r="M2" s="1" t="s">
        <v>21</v>
      </c>
    </row>
    <row r="3" spans="1:13" ht="16.5" thickBot="1" x14ac:dyDescent="0.25">
      <c r="A3" s="136">
        <f>MIN(A10:A84)</f>
        <v>43892</v>
      </c>
      <c r="B3" s="202"/>
      <c r="C3" s="136">
        <f>MAXA(A10:A84)</f>
        <v>43898</v>
      </c>
      <c r="D3" s="188"/>
      <c r="E3" s="88" t="s">
        <v>6</v>
      </c>
      <c r="F3" s="46">
        <f>Sumcolor(E3,D10:D84)</f>
        <v>0</v>
      </c>
      <c r="G3" s="177">
        <f>SUM(Først:Sist!F3)</f>
        <v>1.0381944444444446</v>
      </c>
      <c r="H3" s="89"/>
      <c r="I3" s="90"/>
      <c r="J3" s="90"/>
      <c r="M3" t="s">
        <v>22</v>
      </c>
    </row>
    <row r="4" spans="1:13" ht="15" customHeight="1" x14ac:dyDescent="0.2">
      <c r="A4" s="293" t="s">
        <v>23</v>
      </c>
      <c r="B4" s="194"/>
      <c r="C4" s="293" t="s">
        <v>24</v>
      </c>
      <c r="D4" s="203"/>
      <c r="E4" s="91" t="s">
        <v>9</v>
      </c>
      <c r="F4" s="46">
        <f>Sumcolor(E4,D10:D84)</f>
        <v>0.25694444444444453</v>
      </c>
      <c r="G4" s="177">
        <f>SUM(Først:Sist!F4)</f>
        <v>8.03125</v>
      </c>
      <c r="H4" s="89"/>
      <c r="I4" s="90"/>
      <c r="J4" s="309"/>
    </row>
    <row r="5" spans="1:13" ht="15.75" x14ac:dyDescent="0.2">
      <c r="A5" s="302"/>
      <c r="B5" s="203"/>
      <c r="C5" s="302"/>
      <c r="D5" s="203"/>
      <c r="E5" s="159" t="s">
        <v>10</v>
      </c>
      <c r="F5" s="46">
        <f>Sumcolor(E5,D10:D84)</f>
        <v>6.597222222222221E-2</v>
      </c>
      <c r="G5" s="177">
        <f>SUM(Først:Sist!F5)</f>
        <v>1.8090277777777768</v>
      </c>
      <c r="H5" s="89"/>
      <c r="I5" s="90"/>
      <c r="J5" s="309"/>
      <c r="M5" t="s">
        <v>25</v>
      </c>
    </row>
    <row r="6" spans="1:13" ht="18.75" customHeight="1" thickBot="1" x14ac:dyDescent="0.25">
      <c r="A6" s="182">
        <f>SUM(D10:D84)</f>
        <v>0.50000000000000022</v>
      </c>
      <c r="B6" s="51"/>
      <c r="C6" s="82">
        <f>SUM(Først:Sist!A6)</f>
        <v>12.965277777777779</v>
      </c>
      <c r="D6" s="52"/>
      <c r="E6" s="92" t="s">
        <v>11</v>
      </c>
      <c r="F6" s="48">
        <f>Sumcolor(E6,D10:D84)</f>
        <v>0.17708333333333343</v>
      </c>
      <c r="G6" s="178">
        <f>SUM(Først:Sist!F6)</f>
        <v>1.9895833333333335</v>
      </c>
      <c r="H6" s="89"/>
      <c r="I6" s="90"/>
      <c r="J6" s="90"/>
      <c r="M6" t="s">
        <v>26</v>
      </c>
    </row>
    <row r="7" spans="1:13" ht="12.75" customHeight="1" x14ac:dyDescent="0.2">
      <c r="A7" s="19"/>
      <c r="B7" s="23"/>
      <c r="C7" s="24"/>
      <c r="D7" s="93"/>
      <c r="E7" s="23"/>
      <c r="F7" s="23"/>
      <c r="G7" s="25"/>
      <c r="H7" s="25"/>
    </row>
    <row r="8" spans="1:13" x14ac:dyDescent="0.2">
      <c r="A8" s="23"/>
      <c r="B8" s="25"/>
      <c r="C8" s="93"/>
      <c r="D8" s="25"/>
      <c r="E8" s="23"/>
      <c r="F8" s="23"/>
      <c r="G8" s="25"/>
      <c r="H8" s="25"/>
      <c r="M8" t="s">
        <v>27</v>
      </c>
    </row>
    <row r="9" spans="1:13" ht="16.5" thickBot="1" x14ac:dyDescent="0.3">
      <c r="A9" s="49" t="s">
        <v>12</v>
      </c>
      <c r="B9" s="49" t="s">
        <v>13</v>
      </c>
      <c r="C9" s="49" t="s">
        <v>14</v>
      </c>
      <c r="D9" s="49" t="s">
        <v>15</v>
      </c>
      <c r="E9" s="107" t="s">
        <v>16</v>
      </c>
      <c r="F9" s="102"/>
      <c r="G9" s="166" t="s">
        <v>17</v>
      </c>
      <c r="H9" s="25"/>
      <c r="M9" t="s">
        <v>28</v>
      </c>
    </row>
    <row r="10" spans="1:13" ht="15.75" customHeight="1" x14ac:dyDescent="0.2">
      <c r="A10" s="125">
        <f>DATE(2020,3,2)</f>
        <v>43892</v>
      </c>
      <c r="B10" s="160">
        <v>0.58333333333333337</v>
      </c>
      <c r="C10" s="160">
        <v>0.60763888888888895</v>
      </c>
      <c r="D10" s="160">
        <f>(C10-B10)</f>
        <v>2.430555555555558E-2</v>
      </c>
      <c r="E10" s="319" t="s">
        <v>78</v>
      </c>
      <c r="F10" s="320"/>
      <c r="G10" s="183"/>
      <c r="H10" s="173"/>
    </row>
    <row r="11" spans="1:13" ht="15.75" thickBot="1" x14ac:dyDescent="0.3">
      <c r="A11" s="126"/>
      <c r="B11" s="161"/>
      <c r="C11" s="161"/>
      <c r="D11" s="161"/>
      <c r="E11" s="321"/>
      <c r="F11" s="322"/>
      <c r="G11" s="184"/>
      <c r="H11" s="25"/>
      <c r="M11" t="s">
        <v>30</v>
      </c>
    </row>
    <row r="12" spans="1:13" ht="15.75" x14ac:dyDescent="0.25">
      <c r="A12" s="134">
        <f>DATE(2020,3,2)</f>
        <v>43892</v>
      </c>
      <c r="B12" s="170">
        <v>0.61805555555555558</v>
      </c>
      <c r="C12" s="170">
        <v>0.71527777777777779</v>
      </c>
      <c r="D12" s="123">
        <f>(C12-B12)</f>
        <v>9.722222222222221E-2</v>
      </c>
      <c r="E12" s="327" t="s">
        <v>79</v>
      </c>
      <c r="F12" s="328"/>
      <c r="G12" s="185" t="s">
        <v>80</v>
      </c>
      <c r="M12" t="s">
        <v>32</v>
      </c>
    </row>
    <row r="13" spans="1:13" ht="49.5" customHeight="1" x14ac:dyDescent="0.25">
      <c r="A13" s="137"/>
      <c r="B13" s="138"/>
      <c r="C13" s="138"/>
      <c r="D13" s="138"/>
      <c r="E13" s="329"/>
      <c r="F13" s="330"/>
      <c r="G13" s="186"/>
      <c r="H13" s="5"/>
    </row>
    <row r="14" spans="1:13" ht="15.75" customHeight="1" x14ac:dyDescent="0.25">
      <c r="A14" s="125">
        <f>DATE(2020,3,4)</f>
        <v>43894</v>
      </c>
      <c r="B14" s="163">
        <v>0.51388888888888895</v>
      </c>
      <c r="C14" s="163">
        <v>0.53472222222222221</v>
      </c>
      <c r="D14" s="160">
        <f>(C14-B14)</f>
        <v>2.0833333333333259E-2</v>
      </c>
      <c r="E14" s="319" t="s">
        <v>78</v>
      </c>
      <c r="F14" s="320"/>
      <c r="G14" s="187"/>
      <c r="H14" s="81"/>
      <c r="I14" s="5"/>
    </row>
    <row r="15" spans="1:13" ht="15.75" thickBot="1" x14ac:dyDescent="0.3">
      <c r="A15" s="126"/>
      <c r="B15" s="161"/>
      <c r="C15" s="161"/>
      <c r="D15" s="161"/>
      <c r="E15" s="321"/>
      <c r="F15" s="322"/>
      <c r="G15" s="184"/>
      <c r="I15" s="5"/>
      <c r="L15" s="21"/>
    </row>
    <row r="16" spans="1:13" ht="15.75" x14ac:dyDescent="0.2">
      <c r="A16" s="125">
        <f>DATE(2020,3,4)</f>
        <v>43894</v>
      </c>
      <c r="B16" s="160">
        <v>0.53472222222222221</v>
      </c>
      <c r="C16" s="160">
        <v>0.55555555555555558</v>
      </c>
      <c r="D16" s="160">
        <f>(C16-B16)</f>
        <v>2.083333333333337E-2</v>
      </c>
      <c r="E16" s="319" t="s">
        <v>81</v>
      </c>
      <c r="F16" s="320"/>
      <c r="G16" s="185"/>
      <c r="I16" s="5"/>
    </row>
    <row r="17" spans="1:12" ht="15.75" customHeight="1" thickBot="1" x14ac:dyDescent="0.3">
      <c r="A17" s="126"/>
      <c r="B17" s="161"/>
      <c r="C17" s="161"/>
      <c r="D17" s="161"/>
      <c r="E17" s="321"/>
      <c r="F17" s="322"/>
      <c r="G17" s="184"/>
      <c r="I17" s="5"/>
    </row>
    <row r="18" spans="1:12" ht="15.75" customHeight="1" x14ac:dyDescent="0.2">
      <c r="A18" s="132">
        <f>DATE(2020,3,4)</f>
        <v>43894</v>
      </c>
      <c r="B18" s="120">
        <v>0.71180555555555547</v>
      </c>
      <c r="C18" s="120">
        <v>0.83333333333333337</v>
      </c>
      <c r="D18" s="120">
        <f>(C18-B18)</f>
        <v>0.1215277777777779</v>
      </c>
      <c r="E18" s="347" t="s">
        <v>82</v>
      </c>
      <c r="F18" s="348"/>
      <c r="G18" s="185"/>
    </row>
    <row r="19" spans="1:12" ht="19.5" customHeight="1" thickBot="1" x14ac:dyDescent="0.25">
      <c r="A19" s="207"/>
      <c r="B19" s="208"/>
      <c r="C19" s="208"/>
      <c r="D19" s="208"/>
      <c r="E19" s="349"/>
      <c r="F19" s="350"/>
      <c r="G19" s="184"/>
      <c r="I19" s="96"/>
      <c r="K19" s="96"/>
    </row>
    <row r="20" spans="1:12" ht="15.75" customHeight="1" x14ac:dyDescent="0.2">
      <c r="A20" s="134">
        <f>DATE(2020,3,5)</f>
        <v>43895</v>
      </c>
      <c r="B20" s="122">
        <v>0.39583333333333331</v>
      </c>
      <c r="C20" s="122">
        <v>0.47222222222222227</v>
      </c>
      <c r="D20" s="123">
        <f>(C20-B20)</f>
        <v>7.6388888888888951E-2</v>
      </c>
      <c r="E20" s="327" t="s">
        <v>83</v>
      </c>
      <c r="F20" s="328"/>
      <c r="G20" s="185" t="s">
        <v>80</v>
      </c>
      <c r="H20" s="96"/>
      <c r="I20" s="96"/>
      <c r="K20" s="96"/>
    </row>
    <row r="21" spans="1:12" ht="18" customHeight="1" thickBot="1" x14ac:dyDescent="0.3">
      <c r="A21" s="137"/>
      <c r="B21" s="138"/>
      <c r="C21" s="138"/>
      <c r="D21" s="138"/>
      <c r="E21" s="329"/>
      <c r="F21" s="330"/>
      <c r="G21" s="184"/>
      <c r="I21" s="96"/>
      <c r="K21" s="96"/>
    </row>
    <row r="22" spans="1:12" ht="15.75" customHeight="1" x14ac:dyDescent="0.2">
      <c r="A22" s="134">
        <f>DATE(2020,3,6)</f>
        <v>43896</v>
      </c>
      <c r="B22" s="122">
        <v>0.76388888888888884</v>
      </c>
      <c r="C22" s="122">
        <v>0.84722222222222221</v>
      </c>
      <c r="D22" s="123">
        <f>(C22-B22)</f>
        <v>8.333333333333337E-2</v>
      </c>
      <c r="E22" s="327" t="s">
        <v>84</v>
      </c>
      <c r="F22" s="328"/>
      <c r="G22" s="185" t="s">
        <v>80</v>
      </c>
      <c r="I22" s="97"/>
      <c r="K22" s="96"/>
      <c r="L22" s="5"/>
    </row>
    <row r="23" spans="1:12" ht="36.75" customHeight="1" thickBot="1" x14ac:dyDescent="0.3">
      <c r="A23" s="155"/>
      <c r="B23" s="156"/>
      <c r="C23" s="156"/>
      <c r="D23" s="156"/>
      <c r="E23" s="329"/>
      <c r="F23" s="330"/>
      <c r="G23" s="186"/>
      <c r="I23" s="98"/>
      <c r="K23" s="96"/>
      <c r="L23" s="5"/>
    </row>
    <row r="24" spans="1:12" ht="15.75" customHeight="1" x14ac:dyDescent="0.2">
      <c r="A24" s="132">
        <f>DATE(2020,3,8)</f>
        <v>43898</v>
      </c>
      <c r="B24" s="120">
        <v>0.35416666666666669</v>
      </c>
      <c r="C24" s="120">
        <v>0.36805555555555558</v>
      </c>
      <c r="D24" s="120">
        <f>(C24-B24)</f>
        <v>1.3888888888888895E-2</v>
      </c>
      <c r="E24" s="347" t="s">
        <v>85</v>
      </c>
      <c r="F24" s="348"/>
      <c r="G24" s="184"/>
      <c r="H24" s="96"/>
      <c r="K24" s="96"/>
      <c r="L24" s="5"/>
    </row>
    <row r="25" spans="1:12" ht="18" customHeight="1" thickBot="1" x14ac:dyDescent="0.25">
      <c r="A25" s="207"/>
      <c r="B25" s="208"/>
      <c r="C25" s="208"/>
      <c r="D25" s="208"/>
      <c r="E25" s="349"/>
      <c r="F25" s="350"/>
      <c r="G25" s="186"/>
      <c r="H25" s="97"/>
      <c r="K25" s="97"/>
      <c r="L25" s="5"/>
    </row>
    <row r="26" spans="1:12" ht="15.75" x14ac:dyDescent="0.2">
      <c r="A26" s="132">
        <f>DATE(2020,3,8)</f>
        <v>43898</v>
      </c>
      <c r="B26" s="119">
        <v>0.59375</v>
      </c>
      <c r="C26" s="119">
        <v>0.63541666666666663</v>
      </c>
      <c r="D26" s="120">
        <f>(C26-B26)</f>
        <v>4.166666666666663E-2</v>
      </c>
      <c r="E26" s="347" t="s">
        <v>86</v>
      </c>
      <c r="F26" s="348"/>
      <c r="G26" s="184"/>
      <c r="H26" s="98"/>
      <c r="K26" s="99"/>
    </row>
    <row r="27" spans="1:12" ht="16.5" thickBot="1" x14ac:dyDescent="0.3">
      <c r="A27" s="133"/>
      <c r="B27" s="121"/>
      <c r="C27" s="121"/>
      <c r="D27" s="121"/>
      <c r="E27" s="349"/>
      <c r="F27" s="350"/>
      <c r="G27" s="186"/>
      <c r="H27" s="100"/>
      <c r="K27" s="90"/>
    </row>
    <row r="28" spans="1:12" ht="15.75" customHeight="1" x14ac:dyDescent="0.2">
      <c r="A28" s="204"/>
      <c r="B28" s="206"/>
      <c r="C28" s="206"/>
      <c r="D28" s="205"/>
      <c r="E28" s="361"/>
      <c r="F28" s="361"/>
      <c r="G28" s="209"/>
      <c r="H28" s="29"/>
      <c r="K28" s="5"/>
    </row>
    <row r="30" spans="1:12" ht="24" thickBot="1" x14ac:dyDescent="0.4">
      <c r="A30" s="101" t="s">
        <v>18</v>
      </c>
      <c r="B30" s="101"/>
      <c r="C30" s="27"/>
      <c r="D30" s="27"/>
      <c r="E30" s="27"/>
      <c r="F30" s="102"/>
      <c r="G30" s="102"/>
    </row>
    <row r="31" spans="1:12" x14ac:dyDescent="0.2">
      <c r="B31" s="103"/>
      <c r="C31" s="104"/>
      <c r="D31" s="105"/>
      <c r="E31" s="106"/>
    </row>
    <row r="32" spans="1:12" ht="12.75" customHeight="1" x14ac:dyDescent="0.2">
      <c r="A32" s="314"/>
      <c r="B32" s="314"/>
      <c r="C32" s="314"/>
      <c r="D32" s="314"/>
      <c r="E32" s="314"/>
      <c r="F32" s="314"/>
      <c r="G32" s="314"/>
      <c r="H32" s="5"/>
    </row>
    <row r="33" spans="1:8" ht="12.75" customHeight="1" x14ac:dyDescent="0.2">
      <c r="A33" s="314"/>
      <c r="B33" s="314"/>
      <c r="C33" s="314"/>
      <c r="D33" s="314"/>
      <c r="E33" s="314"/>
      <c r="F33" s="314"/>
      <c r="G33" s="314"/>
      <c r="H33" s="5"/>
    </row>
    <row r="34" spans="1:8" ht="12.75" customHeight="1" x14ac:dyDescent="0.2">
      <c r="A34" s="314"/>
      <c r="B34" s="314"/>
      <c r="C34" s="314"/>
      <c r="D34" s="314"/>
      <c r="E34" s="314"/>
      <c r="F34" s="314"/>
      <c r="G34" s="314"/>
      <c r="H34" s="5"/>
    </row>
    <row r="35" spans="1:8" ht="12.75" customHeight="1" x14ac:dyDescent="0.2">
      <c r="A35" s="314"/>
      <c r="B35" s="314"/>
      <c r="C35" s="314"/>
      <c r="D35" s="314"/>
      <c r="E35" s="314"/>
      <c r="F35" s="314"/>
      <c r="G35" s="314"/>
      <c r="H35" s="5"/>
    </row>
    <row r="36" spans="1:8" ht="12.75" customHeight="1" x14ac:dyDescent="0.2">
      <c r="A36" s="314"/>
      <c r="B36" s="314"/>
      <c r="C36" s="314"/>
      <c r="D36" s="314"/>
      <c r="E36" s="314"/>
      <c r="F36" s="314"/>
      <c r="G36" s="314"/>
      <c r="H36" s="5"/>
    </row>
    <row r="37" spans="1:8" ht="12.75" customHeight="1" x14ac:dyDescent="0.2">
      <c r="A37" s="314"/>
      <c r="B37" s="314"/>
      <c r="C37" s="314"/>
      <c r="D37" s="314"/>
      <c r="E37" s="314"/>
      <c r="F37" s="314"/>
      <c r="G37" s="314"/>
      <c r="H37" s="5"/>
    </row>
    <row r="38" spans="1:8" ht="12.75" customHeight="1" x14ac:dyDescent="0.2">
      <c r="A38" s="314"/>
      <c r="B38" s="314"/>
      <c r="C38" s="314"/>
      <c r="D38" s="314"/>
      <c r="E38" s="314"/>
      <c r="F38" s="314"/>
      <c r="G38" s="314"/>
      <c r="H38" s="5"/>
    </row>
    <row r="39" spans="1:8" ht="12.75" customHeight="1" x14ac:dyDescent="0.2">
      <c r="A39" s="314"/>
      <c r="B39" s="314"/>
      <c r="C39" s="314"/>
      <c r="D39" s="314"/>
      <c r="E39" s="314"/>
      <c r="F39" s="314"/>
      <c r="G39" s="314"/>
      <c r="H39" s="5"/>
    </row>
    <row r="40" spans="1:8" ht="12.75" customHeight="1" x14ac:dyDescent="0.2">
      <c r="A40" s="314"/>
      <c r="B40" s="314"/>
      <c r="C40" s="314"/>
      <c r="D40" s="314"/>
      <c r="E40" s="314"/>
      <c r="F40" s="314"/>
      <c r="G40" s="314"/>
      <c r="H40" s="5"/>
    </row>
    <row r="41" spans="1:8" ht="12.75" customHeight="1" x14ac:dyDescent="0.2">
      <c r="A41" s="314"/>
      <c r="B41" s="314"/>
      <c r="C41" s="314"/>
      <c r="D41" s="314"/>
      <c r="E41" s="314"/>
      <c r="F41" s="314"/>
      <c r="G41" s="314"/>
      <c r="H41" s="5"/>
    </row>
    <row r="42" spans="1:8" ht="12.75" customHeight="1" x14ac:dyDescent="0.2">
      <c r="A42" s="314"/>
      <c r="B42" s="314"/>
      <c r="C42" s="314"/>
      <c r="D42" s="314"/>
      <c r="E42" s="314"/>
      <c r="F42" s="314"/>
      <c r="G42" s="314"/>
      <c r="H42" s="5"/>
    </row>
    <row r="43" spans="1:8" ht="12.75" customHeight="1" x14ac:dyDescent="0.2">
      <c r="A43" s="314"/>
      <c r="B43" s="314"/>
      <c r="C43" s="314"/>
      <c r="D43" s="314"/>
      <c r="E43" s="314"/>
      <c r="F43" s="314"/>
      <c r="G43" s="314"/>
      <c r="H43" s="5"/>
    </row>
    <row r="44" spans="1:8" ht="12.75" customHeight="1" x14ac:dyDescent="0.2">
      <c r="A44" s="314"/>
      <c r="B44" s="314"/>
      <c r="C44" s="314"/>
      <c r="D44" s="314"/>
      <c r="E44" s="314"/>
      <c r="F44" s="314"/>
      <c r="G44" s="314"/>
      <c r="H44" s="5"/>
    </row>
    <row r="45" spans="1:8" ht="12.75" customHeight="1" x14ac:dyDescent="0.2">
      <c r="A45" s="5"/>
      <c r="B45" s="5"/>
      <c r="C45" s="5"/>
      <c r="D45" s="5"/>
      <c r="E45" s="5"/>
      <c r="F45" s="5"/>
      <c r="G45" s="5"/>
      <c r="H45" s="5"/>
    </row>
    <row r="46" spans="1:8" ht="12.75" customHeight="1" x14ac:dyDescent="0.2">
      <c r="A46" s="5"/>
      <c r="B46" s="5"/>
      <c r="C46" s="5"/>
      <c r="D46" s="5"/>
      <c r="E46" s="5"/>
      <c r="F46" s="5"/>
      <c r="G46" s="5"/>
      <c r="H46" s="5"/>
    </row>
    <row r="47" spans="1:8" ht="12.75" customHeight="1" x14ac:dyDescent="0.2">
      <c r="A47" s="5"/>
      <c r="B47" s="5"/>
      <c r="C47" s="5"/>
      <c r="D47" s="5"/>
      <c r="E47" s="5"/>
      <c r="F47" s="5"/>
      <c r="G47" s="5"/>
      <c r="H47" s="5"/>
    </row>
    <row r="48" spans="1:8" x14ac:dyDescent="0.2">
      <c r="A48" s="5"/>
      <c r="B48" s="5"/>
      <c r="C48" s="5"/>
      <c r="D48" s="5"/>
      <c r="E48" s="5"/>
      <c r="F48" s="5"/>
      <c r="G48" s="5"/>
      <c r="H48" s="5"/>
    </row>
    <row r="49" spans="1:8" ht="12.75" customHeight="1" x14ac:dyDescent="0.2">
      <c r="A49" s="5"/>
      <c r="B49" s="5"/>
      <c r="C49" s="5"/>
      <c r="D49" s="5"/>
      <c r="E49" s="5"/>
      <c r="F49" s="5"/>
      <c r="G49" s="5"/>
      <c r="H49" s="5"/>
    </row>
    <row r="50" spans="1:8" ht="12.75" customHeight="1" x14ac:dyDescent="0.2"/>
    <row r="51" spans="1:8" ht="12.75" customHeight="1" x14ac:dyDescent="0.2"/>
  </sheetData>
  <mergeCells count="15">
    <mergeCell ref="J4:J5"/>
    <mergeCell ref="E10:F11"/>
    <mergeCell ref="E12:F13"/>
    <mergeCell ref="E14:F15"/>
    <mergeCell ref="E16:F17"/>
    <mergeCell ref="A32:G44"/>
    <mergeCell ref="E26:F27"/>
    <mergeCell ref="E28:F28"/>
    <mergeCell ref="E24:F25"/>
    <mergeCell ref="A1:D1"/>
    <mergeCell ref="A4:A5"/>
    <mergeCell ref="C4:C5"/>
    <mergeCell ref="E18:F19"/>
    <mergeCell ref="E20:F21"/>
    <mergeCell ref="E22:F23"/>
  </mergeCells>
  <conditionalFormatting sqref="I19 H20:I20 I21 H24">
    <cfRule type="expression" dxfId="869" priority="26">
      <formula>ISNUMBER(SEARCH(TEXT(#REF!,"ddd"),#REF!))</formula>
    </cfRule>
  </conditionalFormatting>
  <conditionalFormatting sqref="B16:C16">
    <cfRule type="expression" dxfId="868" priority="27">
      <formula>ISNUMBER(SEARCH(TEXT(#REF!,"ddd"),#REF!))</formula>
    </cfRule>
  </conditionalFormatting>
  <conditionalFormatting sqref="K19:K24">
    <cfRule type="expression" dxfId="867" priority="28">
      <formula>ISNUMBER(SEARCH(TEXT(#REF!,"ddd"),#REF!))</formula>
    </cfRule>
  </conditionalFormatting>
  <conditionalFormatting sqref="A10:D10">
    <cfRule type="expression" dxfId="866" priority="25">
      <formula>ISNUMBER(SEARCH(TEXT(#REF!,"ddd"),#REF!))</formula>
    </cfRule>
  </conditionalFormatting>
  <conditionalFormatting sqref="B14:C14">
    <cfRule type="expression" dxfId="865" priority="24">
      <formula>ISNUMBER(SEARCH(TEXT(#REF!,"ddd"),#REF!))</formula>
    </cfRule>
  </conditionalFormatting>
  <conditionalFormatting sqref="B24:C24">
    <cfRule type="expression" dxfId="864" priority="23">
      <formula>ISNUMBER(SEARCH(TEXT(#REF!,"ddd"),#REF!))</formula>
    </cfRule>
  </conditionalFormatting>
  <conditionalFormatting sqref="B18:C18">
    <cfRule type="expression" dxfId="863" priority="22">
      <formula>ISNUMBER(SEARCH(TEXT(#REF!,"ddd"),#REF!))</formula>
    </cfRule>
  </conditionalFormatting>
  <conditionalFormatting sqref="A16">
    <cfRule type="expression" dxfId="862" priority="20">
      <formula>ISNUMBER(SEARCH(TEXT(#REF!,"ddd"),#REF!))</formula>
    </cfRule>
  </conditionalFormatting>
  <conditionalFormatting sqref="D14">
    <cfRule type="expression" dxfId="861" priority="19">
      <formula>ISNUMBER(SEARCH(TEXT(#REF!,"ddd"),#REF!))</formula>
    </cfRule>
  </conditionalFormatting>
  <conditionalFormatting sqref="D16">
    <cfRule type="expression" dxfId="860" priority="18">
      <formula>ISNUMBER(SEARCH(TEXT(#REF!,"ddd"),#REF!))</formula>
    </cfRule>
  </conditionalFormatting>
  <conditionalFormatting sqref="A18">
    <cfRule type="expression" dxfId="859" priority="17">
      <formula>ISNUMBER(SEARCH(TEXT(#REF!,"ddd"),#REF!))</formula>
    </cfRule>
  </conditionalFormatting>
  <conditionalFormatting sqref="A20">
    <cfRule type="expression" dxfId="858" priority="16">
      <formula>ISNUMBER(SEARCH(TEXT(#REF!,"ddd"),#REF!))</formula>
    </cfRule>
  </conditionalFormatting>
  <conditionalFormatting sqref="A22">
    <cfRule type="expression" dxfId="857" priority="15">
      <formula>ISNUMBER(SEARCH(TEXT(#REF!,"ddd"),#REF!))</formula>
    </cfRule>
  </conditionalFormatting>
  <conditionalFormatting sqref="A24">
    <cfRule type="expression" dxfId="856" priority="14">
      <formula>ISNUMBER(SEARCH(TEXT(#REF!,"ddd"),#REF!))</formula>
    </cfRule>
  </conditionalFormatting>
  <conditionalFormatting sqref="A28">
    <cfRule type="expression" dxfId="855" priority="12">
      <formula>ISNUMBER(SEARCH(TEXT(#REF!,"ddd"),#REF!))</formula>
    </cfRule>
  </conditionalFormatting>
  <conditionalFormatting sqref="B12:C12">
    <cfRule type="expression" dxfId="854" priority="5">
      <formula>ISNUMBER(SEARCH(TEXT(#REF!,"ddd"),#REF!))</formula>
    </cfRule>
  </conditionalFormatting>
  <conditionalFormatting sqref="A12">
    <cfRule type="expression" dxfId="853" priority="4">
      <formula>ISNUMBER(SEARCH(TEXT(#REF!,"ddd"),#REF!))</formula>
    </cfRule>
  </conditionalFormatting>
  <conditionalFormatting sqref="D12">
    <cfRule type="expression" dxfId="852" priority="3">
      <formula>ISNUMBER(SEARCH(TEXT(#REF!,"ddd"),#REF!))</formula>
    </cfRule>
  </conditionalFormatting>
  <conditionalFormatting sqref="A14">
    <cfRule type="expression" dxfId="851" priority="2">
      <formula>ISNUMBER(SEARCH(TEXT(#REF!,"ddd"),#REF!))</formula>
    </cfRule>
  </conditionalFormatting>
  <conditionalFormatting sqref="A26">
    <cfRule type="expression" dxfId="850" priority="1">
      <formula>ISNUMBER(SEARCH(TEXT(#REF!,"ddd"),#REF!))</formula>
    </cfRule>
  </conditionalFormatting>
  <dataValidations count="2">
    <dataValidation type="custom" allowBlank="1" showInputMessage="1" showErrorMessage="1" sqref="B16:C16 B18:C18 B24:C24 B10 B14:C14 B12:C12" xr:uid="{69E1F5CD-80A4-41B7-8F7B-73245745DF1D}">
      <formula1>AND($B10&lt;=1,ISNUMBER($B10))</formula1>
    </dataValidation>
    <dataValidation type="custom" allowBlank="1" showInputMessage="1" showErrorMessage="1" sqref="C10" xr:uid="{7F0FCB79-ED0D-4ECC-A308-8059133AB408}">
      <formula1>AND($C10&lt;=1,ISNUMBER($C10),($C10&gt;=$B10))</formula1>
    </dataValidation>
  </dataValidations>
  <pageMargins left="0.11811023622047245" right="0" top="0.11811023622047245" bottom="0.15748031496062992" header="0" footer="0"/>
  <pageSetup paperSize="9" scale="50" fitToHeight="0" orientation="portrait" horizontalDpi="4294967293" verticalDpi="4294967293"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BFF35-B037-4D92-AF8C-34E3FA464753}">
  <sheetPr codeName="Sheet19">
    <pageSetUpPr fitToPage="1"/>
  </sheetPr>
  <dimension ref="A1:M69"/>
  <sheetViews>
    <sheetView showGridLines="0" topLeftCell="A31" zoomScaleNormal="100" workbookViewId="0">
      <selection activeCell="G36" sqref="G36"/>
    </sheetView>
  </sheetViews>
  <sheetFormatPr baseColWidth="10" defaultColWidth="9" defaultRowHeight="12.75" x14ac:dyDescent="0.2"/>
  <cols>
    <col min="1" max="1" width="14.5" customWidth="1"/>
    <col min="2" max="2" width="8.875" customWidth="1"/>
    <col min="3" max="3" width="11.75" customWidth="1"/>
    <col min="4" max="4" width="11.5" customWidth="1"/>
    <col min="5" max="5" width="22.125" bestFit="1" customWidth="1"/>
    <col min="6" max="7" width="18" bestFit="1" customWidth="1"/>
    <col min="8" max="8" width="8.875" customWidth="1"/>
    <col min="9" max="9" width="11.625" customWidth="1"/>
    <col min="10" max="10" width="9.5" customWidth="1"/>
    <col min="11" max="11" width="12.375" customWidth="1"/>
    <col min="12" max="12" width="17.875" bestFit="1" customWidth="1"/>
    <col min="13" max="13" width="19.25" bestFit="1" customWidth="1"/>
  </cols>
  <sheetData>
    <row r="1" spans="1:13" ht="26.25" x14ac:dyDescent="0.4">
      <c r="A1" s="301" t="s">
        <v>20</v>
      </c>
      <c r="B1" s="301"/>
      <c r="C1" s="301"/>
      <c r="D1" s="301"/>
      <c r="E1" s="55">
        <f>WEEKNUM(A10)</f>
        <v>11</v>
      </c>
      <c r="F1" s="83"/>
      <c r="G1" s="57"/>
      <c r="H1" s="84"/>
      <c r="J1" s="1"/>
    </row>
    <row r="2" spans="1:13" s="1" customFormat="1" ht="14.25" customHeight="1" x14ac:dyDescent="0.25">
      <c r="A2" s="49" t="s">
        <v>1</v>
      </c>
      <c r="B2" s="49"/>
      <c r="C2" s="49" t="s">
        <v>2</v>
      </c>
      <c r="D2" s="49"/>
      <c r="E2" s="85" t="s">
        <v>3</v>
      </c>
      <c r="F2" s="54" t="s">
        <v>4</v>
      </c>
      <c r="G2" s="54" t="s">
        <v>5</v>
      </c>
      <c r="H2" s="20"/>
      <c r="I2" s="86"/>
      <c r="J2" s="87"/>
      <c r="M2" s="1" t="s">
        <v>21</v>
      </c>
    </row>
    <row r="3" spans="1:13" ht="15.75" x14ac:dyDescent="0.2">
      <c r="A3" s="136">
        <f>MIN(A10:A102)</f>
        <v>43899</v>
      </c>
      <c r="B3" s="202"/>
      <c r="C3" s="136">
        <f>MAXA(A10:A102)</f>
        <v>43905</v>
      </c>
      <c r="D3" s="188"/>
      <c r="E3" s="88" t="s">
        <v>6</v>
      </c>
      <c r="F3" s="46">
        <f>Sumcolor(E3,D10:D102)</f>
        <v>0</v>
      </c>
      <c r="G3" s="177">
        <f>SUM(Først:Sist!F3)</f>
        <v>1.0381944444444446</v>
      </c>
      <c r="H3" s="89"/>
      <c r="I3" s="90"/>
      <c r="J3" s="90"/>
      <c r="M3" t="s">
        <v>22</v>
      </c>
    </row>
    <row r="4" spans="1:13" ht="15" customHeight="1" x14ac:dyDescent="0.2">
      <c r="A4" s="293" t="s">
        <v>23</v>
      </c>
      <c r="B4" s="194"/>
      <c r="C4" s="293" t="s">
        <v>24</v>
      </c>
      <c r="D4" s="203"/>
      <c r="E4" s="91" t="s">
        <v>9</v>
      </c>
      <c r="F4" s="46">
        <f>Sumcolor(E4,D10:D102)</f>
        <v>0.77777777777777801</v>
      </c>
      <c r="G4" s="177">
        <f>SUM(Først:Sist!F4)</f>
        <v>8.03125</v>
      </c>
      <c r="H4" s="89"/>
      <c r="I4" s="90"/>
      <c r="J4" s="309"/>
    </row>
    <row r="5" spans="1:13" ht="15.75" x14ac:dyDescent="0.2">
      <c r="A5" s="302"/>
      <c r="B5" s="203"/>
      <c r="C5" s="302"/>
      <c r="D5" s="203"/>
      <c r="E5" s="159" t="s">
        <v>10</v>
      </c>
      <c r="F5" s="46">
        <f>Sumcolor(E5,D10:D102)</f>
        <v>7.291666666666663E-2</v>
      </c>
      <c r="G5" s="177">
        <f>SUM(Først:Sist!F5)</f>
        <v>1.8090277777777768</v>
      </c>
      <c r="H5" s="89"/>
      <c r="I5" s="90"/>
      <c r="J5" s="309"/>
      <c r="M5" t="s">
        <v>25</v>
      </c>
    </row>
    <row r="6" spans="1:13" ht="18.75" customHeight="1" x14ac:dyDescent="0.2">
      <c r="A6" s="182">
        <f>SUM(D10:D102)</f>
        <v>1.1250000000000002</v>
      </c>
      <c r="B6" s="51"/>
      <c r="C6" s="82">
        <f>SUM(Først:Sist!A6)</f>
        <v>12.965277777777779</v>
      </c>
      <c r="D6" s="52"/>
      <c r="E6" s="92" t="s">
        <v>11</v>
      </c>
      <c r="F6" s="48">
        <f>Sumcolor(E6,D10:D102)</f>
        <v>0.27430555555555547</v>
      </c>
      <c r="G6" s="178">
        <f>SUM(Først:Sist!F6)</f>
        <v>1.9895833333333335</v>
      </c>
      <c r="H6" s="89"/>
      <c r="I6" s="90"/>
      <c r="J6" s="90"/>
      <c r="M6" t="s">
        <v>26</v>
      </c>
    </row>
    <row r="7" spans="1:13" ht="12.75" customHeight="1" x14ac:dyDescent="0.2">
      <c r="A7" s="19"/>
      <c r="B7" s="23"/>
      <c r="C7" s="24"/>
      <c r="D7" s="93"/>
      <c r="E7" s="23"/>
      <c r="F7" s="23"/>
      <c r="G7" s="25"/>
      <c r="H7" s="25"/>
    </row>
    <row r="8" spans="1:13" x14ac:dyDescent="0.2">
      <c r="A8" s="23"/>
      <c r="B8" s="25"/>
      <c r="C8" s="93"/>
      <c r="D8" s="25"/>
      <c r="E8" s="23"/>
      <c r="F8" s="23"/>
      <c r="G8" s="25"/>
      <c r="H8" s="25"/>
      <c r="M8" t="s">
        <v>27</v>
      </c>
    </row>
    <row r="9" spans="1:13" ht="15.75" x14ac:dyDescent="0.25">
      <c r="A9" s="49" t="s">
        <v>12</v>
      </c>
      <c r="B9" s="49" t="s">
        <v>13</v>
      </c>
      <c r="C9" s="49" t="s">
        <v>14</v>
      </c>
      <c r="D9" s="49" t="s">
        <v>15</v>
      </c>
      <c r="E9" s="107" t="s">
        <v>16</v>
      </c>
      <c r="F9" s="102"/>
      <c r="G9" s="166" t="s">
        <v>17</v>
      </c>
      <c r="H9" s="25"/>
      <c r="M9" t="s">
        <v>28</v>
      </c>
    </row>
    <row r="10" spans="1:13" ht="15.75" customHeight="1" x14ac:dyDescent="0.2">
      <c r="A10" s="125">
        <f>DATE(2020,3,9)</f>
        <v>43899</v>
      </c>
      <c r="B10" s="160">
        <v>0.58333333333333337</v>
      </c>
      <c r="C10" s="160">
        <v>0.59722222222222221</v>
      </c>
      <c r="D10" s="160">
        <f>(C10-B10)</f>
        <v>1.388888888888884E-2</v>
      </c>
      <c r="E10" s="319" t="s">
        <v>78</v>
      </c>
      <c r="F10" s="320"/>
      <c r="G10" s="183"/>
      <c r="H10" s="173"/>
    </row>
    <row r="11" spans="1:13" ht="15" x14ac:dyDescent="0.25">
      <c r="A11" s="126"/>
      <c r="B11" s="161"/>
      <c r="C11" s="161"/>
      <c r="D11" s="161"/>
      <c r="E11" s="321"/>
      <c r="F11" s="322"/>
      <c r="G11" s="184"/>
      <c r="H11" s="25"/>
      <c r="M11" t="s">
        <v>30</v>
      </c>
    </row>
    <row r="12" spans="1:13" ht="15.75" customHeight="1" x14ac:dyDescent="0.25">
      <c r="A12" s="134">
        <f>DATE(2020,3,9)</f>
        <v>43899</v>
      </c>
      <c r="B12" s="170">
        <v>0.61111111111111105</v>
      </c>
      <c r="C12" s="170">
        <v>0.64583333333333337</v>
      </c>
      <c r="D12" s="123">
        <f>(C12-B12)</f>
        <v>3.4722222222222321E-2</v>
      </c>
      <c r="E12" s="327" t="s">
        <v>126</v>
      </c>
      <c r="F12" s="328"/>
      <c r="G12" s="185"/>
      <c r="M12" t="s">
        <v>32</v>
      </c>
    </row>
    <row r="13" spans="1:13" ht="15.75" x14ac:dyDescent="0.25">
      <c r="A13" s="214"/>
      <c r="B13" s="215"/>
      <c r="C13" s="215"/>
      <c r="D13" s="216"/>
      <c r="E13" s="373"/>
      <c r="F13" s="374"/>
      <c r="G13" s="217"/>
    </row>
    <row r="14" spans="1:13" ht="15.75" x14ac:dyDescent="0.25">
      <c r="A14" s="210">
        <f>DATE(2020,3,9)</f>
        <v>43899</v>
      </c>
      <c r="B14" s="211">
        <v>0.6875</v>
      </c>
      <c r="C14" s="211">
        <v>0.73958333333333337</v>
      </c>
      <c r="D14" s="212">
        <f>(C14-B14)</f>
        <v>5.208333333333337E-2</v>
      </c>
      <c r="E14" s="327" t="s">
        <v>127</v>
      </c>
      <c r="F14" s="328"/>
      <c r="G14" s="184" t="s">
        <v>80</v>
      </c>
    </row>
    <row r="15" spans="1:13" ht="15" customHeight="1" x14ac:dyDescent="0.25">
      <c r="A15" s="213"/>
      <c r="B15" s="138"/>
      <c r="C15" s="138"/>
      <c r="D15" s="138"/>
      <c r="E15" s="373"/>
      <c r="F15" s="374"/>
      <c r="G15" s="186"/>
      <c r="H15" s="5"/>
    </row>
    <row r="16" spans="1:13" ht="15.75" customHeight="1" x14ac:dyDescent="0.25">
      <c r="A16" s="210">
        <f>DATE(2020,3,9)</f>
        <v>43899</v>
      </c>
      <c r="B16" s="170">
        <v>0.74305555555555547</v>
      </c>
      <c r="C16" s="170">
        <v>0.79861111111111116</v>
      </c>
      <c r="D16" s="123">
        <f>(C16-B16)</f>
        <v>5.5555555555555691E-2</v>
      </c>
      <c r="E16" s="327" t="s">
        <v>128</v>
      </c>
      <c r="F16" s="328"/>
      <c r="G16" s="187" t="s">
        <v>87</v>
      </c>
      <c r="H16" s="81"/>
      <c r="I16" s="5"/>
      <c r="M16" s="21"/>
    </row>
    <row r="17" spans="1:12" ht="15" customHeight="1" x14ac:dyDescent="0.25">
      <c r="A17" s="137"/>
      <c r="B17" s="138"/>
      <c r="C17" s="138"/>
      <c r="D17" s="138"/>
      <c r="E17" s="329"/>
      <c r="F17" s="330"/>
      <c r="G17" s="184"/>
      <c r="I17" s="5"/>
    </row>
    <row r="18" spans="1:12" ht="15.75" customHeight="1" x14ac:dyDescent="0.2">
      <c r="A18" s="134">
        <f>DATE(2020,3,10)</f>
        <v>43900</v>
      </c>
      <c r="B18" s="123">
        <v>0.41666666666666669</v>
      </c>
      <c r="C18" s="123">
        <v>0.43055555555555558</v>
      </c>
      <c r="D18" s="123">
        <f>(C18-B18)</f>
        <v>1.3888888888888895E-2</v>
      </c>
      <c r="E18" s="327" t="s">
        <v>129</v>
      </c>
      <c r="F18" s="328"/>
      <c r="G18" s="185"/>
      <c r="I18" s="5"/>
    </row>
    <row r="19" spans="1:12" ht="18.75" customHeight="1" x14ac:dyDescent="0.25">
      <c r="A19" s="137"/>
      <c r="B19" s="138"/>
      <c r="C19" s="138"/>
      <c r="D19" s="138"/>
      <c r="E19" s="329"/>
      <c r="F19" s="330"/>
      <c r="G19" s="184"/>
      <c r="I19" s="5"/>
    </row>
    <row r="20" spans="1:12" ht="15.75" customHeight="1" x14ac:dyDescent="0.2">
      <c r="A20" s="134">
        <f>DATE(2020,3,10)</f>
        <v>43900</v>
      </c>
      <c r="B20" s="123">
        <v>0.54166666666666663</v>
      </c>
      <c r="C20" s="123">
        <v>0.61111111111111105</v>
      </c>
      <c r="D20" s="123">
        <f>(C20-B20)</f>
        <v>6.944444444444442E-2</v>
      </c>
      <c r="E20" s="327" t="s">
        <v>130</v>
      </c>
      <c r="F20" s="328"/>
      <c r="G20" s="185" t="s">
        <v>80</v>
      </c>
    </row>
    <row r="21" spans="1:12" ht="19.5" customHeight="1" x14ac:dyDescent="0.2">
      <c r="A21" s="139"/>
      <c r="B21" s="140"/>
      <c r="C21" s="140"/>
      <c r="D21" s="140"/>
      <c r="E21" s="329"/>
      <c r="F21" s="330"/>
      <c r="G21" s="184"/>
      <c r="I21" s="96"/>
      <c r="K21" s="96"/>
    </row>
    <row r="22" spans="1:12" ht="15.75" customHeight="1" x14ac:dyDescent="0.2">
      <c r="A22" s="134">
        <f>DATE(2020,3,10)</f>
        <v>43900</v>
      </c>
      <c r="B22" s="122">
        <v>0.63541666666666663</v>
      </c>
      <c r="C22" s="122">
        <v>0.69791666666666663</v>
      </c>
      <c r="D22" s="123">
        <f>(C22-B22)</f>
        <v>6.25E-2</v>
      </c>
      <c r="E22" s="327" t="s">
        <v>131</v>
      </c>
      <c r="F22" s="328"/>
      <c r="G22" s="185" t="s">
        <v>80</v>
      </c>
      <c r="H22" s="96"/>
      <c r="I22" s="96"/>
      <c r="K22" s="96"/>
    </row>
    <row r="23" spans="1:12" ht="18" customHeight="1" x14ac:dyDescent="0.25">
      <c r="A23" s="137"/>
      <c r="B23" s="138"/>
      <c r="C23" s="138"/>
      <c r="D23" s="138"/>
      <c r="E23" s="329"/>
      <c r="F23" s="330"/>
      <c r="G23" s="184"/>
      <c r="I23" s="96"/>
      <c r="K23" s="96"/>
    </row>
    <row r="24" spans="1:12" ht="15.75" customHeight="1" x14ac:dyDescent="0.2">
      <c r="A24" s="134">
        <f>DATE(2020,3,10)</f>
        <v>43900</v>
      </c>
      <c r="B24" s="122">
        <v>0.70138888888888884</v>
      </c>
      <c r="C24" s="122">
        <v>0.78125</v>
      </c>
      <c r="D24" s="123">
        <f>(C24-B24)</f>
        <v>7.986111111111116E-2</v>
      </c>
      <c r="E24" s="327" t="s">
        <v>132</v>
      </c>
      <c r="F24" s="328"/>
      <c r="G24" s="185" t="s">
        <v>88</v>
      </c>
      <c r="I24" s="97"/>
      <c r="K24" s="96"/>
      <c r="L24" s="5"/>
    </row>
    <row r="25" spans="1:12" ht="15.75" x14ac:dyDescent="0.25">
      <c r="A25" s="155"/>
      <c r="B25" s="156"/>
      <c r="C25" s="156"/>
      <c r="D25" s="156"/>
      <c r="E25" s="329"/>
      <c r="F25" s="330"/>
      <c r="G25" s="186"/>
      <c r="I25" s="98"/>
      <c r="K25" s="96"/>
      <c r="L25" s="5"/>
    </row>
    <row r="26" spans="1:12" ht="15.75" customHeight="1" x14ac:dyDescent="0.2">
      <c r="A26" s="125">
        <f>DATE(2020,3,11)</f>
        <v>43901</v>
      </c>
      <c r="B26" s="160">
        <v>0.53472222222222221</v>
      </c>
      <c r="C26" s="160">
        <v>0.5625</v>
      </c>
      <c r="D26" s="160">
        <f>(C26-B26)</f>
        <v>2.777777777777779E-2</v>
      </c>
      <c r="E26" s="319" t="s">
        <v>78</v>
      </c>
      <c r="F26" s="320"/>
      <c r="G26" s="184"/>
      <c r="H26" s="218"/>
      <c r="K26" s="96"/>
      <c r="L26" s="5"/>
    </row>
    <row r="27" spans="1:12" ht="18" customHeight="1" x14ac:dyDescent="0.2">
      <c r="A27" s="168"/>
      <c r="B27" s="169"/>
      <c r="C27" s="169"/>
      <c r="D27" s="169"/>
      <c r="E27" s="321"/>
      <c r="F27" s="322"/>
      <c r="G27" s="186"/>
      <c r="H27" s="219"/>
      <c r="K27" s="97"/>
      <c r="L27" s="5"/>
    </row>
    <row r="28" spans="1:12" ht="15.75" customHeight="1" x14ac:dyDescent="0.2">
      <c r="A28" s="134">
        <f>DATE(2020,3,11)</f>
        <v>43901</v>
      </c>
      <c r="B28" s="122">
        <v>0.60416666666666663</v>
      </c>
      <c r="C28" s="122">
        <v>0.77777777777777779</v>
      </c>
      <c r="D28" s="123">
        <f>(C28-B28)</f>
        <v>0.17361111111111116</v>
      </c>
      <c r="E28" s="327" t="s">
        <v>133</v>
      </c>
      <c r="F28" s="328"/>
      <c r="G28" s="184" t="s">
        <v>88</v>
      </c>
      <c r="H28" s="218"/>
      <c r="K28" s="99"/>
    </row>
    <row r="29" spans="1:12" ht="15.75" x14ac:dyDescent="0.25">
      <c r="A29" s="135"/>
      <c r="B29" s="124"/>
      <c r="C29" s="124"/>
      <c r="D29" s="124"/>
      <c r="E29" s="329"/>
      <c r="F29" s="330"/>
      <c r="G29" s="186"/>
      <c r="H29" s="220"/>
      <c r="K29" s="90"/>
    </row>
    <row r="30" spans="1:12" ht="15.75" customHeight="1" x14ac:dyDescent="0.2">
      <c r="A30" s="125">
        <f>DATE(2020,3,13)</f>
        <v>43903</v>
      </c>
      <c r="B30" s="164">
        <v>0.51736111111111105</v>
      </c>
      <c r="C30" s="164">
        <v>0.53472222222222221</v>
      </c>
      <c r="D30" s="160">
        <f>(C30-B30)</f>
        <v>1.736111111111116E-2</v>
      </c>
      <c r="E30" s="319" t="s">
        <v>78</v>
      </c>
      <c r="F30" s="320"/>
      <c r="G30" s="184"/>
      <c r="H30" s="29"/>
      <c r="K30" s="5"/>
    </row>
    <row r="31" spans="1:12" ht="15.75" x14ac:dyDescent="0.25">
      <c r="A31" s="131"/>
      <c r="B31" s="165"/>
      <c r="C31" s="165"/>
      <c r="D31" s="165"/>
      <c r="E31" s="321"/>
      <c r="F31" s="322"/>
      <c r="G31" s="186"/>
    </row>
    <row r="32" spans="1:12" ht="15.75" customHeight="1" x14ac:dyDescent="0.2">
      <c r="A32" s="221">
        <v>43903</v>
      </c>
      <c r="B32" s="222">
        <v>0.53472222222222221</v>
      </c>
      <c r="C32" s="222">
        <v>0.54513888888888895</v>
      </c>
      <c r="D32" s="223">
        <f>(C32-B32)</f>
        <v>1.0416666666666741E-2</v>
      </c>
      <c r="E32" s="362" t="s">
        <v>89</v>
      </c>
      <c r="F32" s="363"/>
      <c r="G32" s="184"/>
    </row>
    <row r="33" spans="1:7" ht="15.75" x14ac:dyDescent="0.25">
      <c r="A33" s="224"/>
      <c r="B33" s="225"/>
      <c r="C33" s="225"/>
      <c r="D33" s="225"/>
      <c r="E33" s="364"/>
      <c r="F33" s="365"/>
      <c r="G33" s="186"/>
    </row>
    <row r="34" spans="1:7" ht="15.75" customHeight="1" x14ac:dyDescent="0.2">
      <c r="A34" s="221">
        <v>43903</v>
      </c>
      <c r="B34" s="222">
        <v>0.54513888888888895</v>
      </c>
      <c r="C34" s="222">
        <v>0.56597222222222221</v>
      </c>
      <c r="D34" s="223">
        <f>(C34-B34)</f>
        <v>2.0833333333333259E-2</v>
      </c>
      <c r="E34" s="362" t="s">
        <v>90</v>
      </c>
      <c r="F34" s="363"/>
      <c r="G34" s="184"/>
    </row>
    <row r="35" spans="1:7" ht="15.75" customHeight="1" x14ac:dyDescent="0.25">
      <c r="A35" s="224"/>
      <c r="B35" s="225"/>
      <c r="C35" s="225"/>
      <c r="D35" s="225"/>
      <c r="E35" s="364"/>
      <c r="F35" s="365"/>
      <c r="G35" s="186"/>
    </row>
    <row r="36" spans="1:7" ht="15.75" customHeight="1" x14ac:dyDescent="0.2">
      <c r="A36" s="134">
        <f>DATE(2020,3,13)</f>
        <v>43903</v>
      </c>
      <c r="B36" s="122">
        <v>0.64930555555555558</v>
      </c>
      <c r="C36" s="122">
        <v>0.81597222222222221</v>
      </c>
      <c r="D36" s="123">
        <f>(C36-B36)</f>
        <v>0.16666666666666663</v>
      </c>
      <c r="E36" s="327" t="s">
        <v>134</v>
      </c>
      <c r="F36" s="366"/>
      <c r="G36" s="184" t="s">
        <v>88</v>
      </c>
    </row>
    <row r="37" spans="1:7" ht="42" customHeight="1" thickBot="1" x14ac:dyDescent="0.3">
      <c r="A37" s="135"/>
      <c r="B37" s="124"/>
      <c r="C37" s="124"/>
      <c r="D37" s="124"/>
      <c r="E37" s="367"/>
      <c r="F37" s="368"/>
      <c r="G37" s="186"/>
    </row>
    <row r="38" spans="1:7" ht="15.75" customHeight="1" x14ac:dyDescent="0.2">
      <c r="A38" s="125">
        <f>DATE(2020,3,15)</f>
        <v>43905</v>
      </c>
      <c r="B38" s="164">
        <v>0.58333333333333337</v>
      </c>
      <c r="C38" s="164">
        <v>0.59722222222222221</v>
      </c>
      <c r="D38" s="160">
        <f>(C38-B38)</f>
        <v>1.388888888888884E-2</v>
      </c>
      <c r="E38" s="319" t="s">
        <v>78</v>
      </c>
      <c r="F38" s="320"/>
      <c r="G38" s="184"/>
    </row>
    <row r="39" spans="1:7" ht="15.75" customHeight="1" thickBot="1" x14ac:dyDescent="0.3">
      <c r="A39" s="131"/>
      <c r="B39" s="165"/>
      <c r="C39" s="165"/>
      <c r="D39" s="165"/>
      <c r="E39" s="321"/>
      <c r="F39" s="322"/>
      <c r="G39" s="186"/>
    </row>
    <row r="40" spans="1:7" ht="15.75" customHeight="1" x14ac:dyDescent="0.2">
      <c r="A40" s="134">
        <f>DATE(2020,3,15)</f>
        <v>43905</v>
      </c>
      <c r="B40" s="122">
        <v>0.60069444444444442</v>
      </c>
      <c r="C40" s="122">
        <v>0.61458333333333337</v>
      </c>
      <c r="D40" s="123">
        <f>(C40-B40)</f>
        <v>1.3888888888888951E-2</v>
      </c>
      <c r="E40" s="327" t="s">
        <v>135</v>
      </c>
      <c r="F40" s="366"/>
      <c r="G40" s="184"/>
    </row>
    <row r="41" spans="1:7" ht="32.25" customHeight="1" thickBot="1" x14ac:dyDescent="0.3">
      <c r="A41" s="135"/>
      <c r="B41" s="124"/>
      <c r="C41" s="124"/>
      <c r="D41" s="124"/>
      <c r="E41" s="367"/>
      <c r="F41" s="368"/>
      <c r="G41" s="186"/>
    </row>
    <row r="42" spans="1:7" ht="15.75" x14ac:dyDescent="0.2">
      <c r="A42" s="132">
        <f>DATE(2020,3,15)</f>
        <v>43905</v>
      </c>
      <c r="B42" s="119">
        <v>0.64583333333333337</v>
      </c>
      <c r="C42" s="119">
        <v>0.74305555555555547</v>
      </c>
      <c r="D42" s="120">
        <f>(C42-B42)</f>
        <v>9.7222222222222099E-2</v>
      </c>
      <c r="E42" s="369" t="s">
        <v>123</v>
      </c>
      <c r="F42" s="370"/>
      <c r="G42" s="184"/>
    </row>
    <row r="43" spans="1:7" ht="32.25" customHeight="1" thickBot="1" x14ac:dyDescent="0.3">
      <c r="A43" s="133"/>
      <c r="B43" s="121"/>
      <c r="C43" s="121"/>
      <c r="D43" s="121"/>
      <c r="E43" s="371"/>
      <c r="F43" s="372"/>
      <c r="G43" s="186"/>
    </row>
    <row r="44" spans="1:7" ht="15.75" x14ac:dyDescent="0.25">
      <c r="A44" s="226">
        <f>DATE(2020,3,15)</f>
        <v>43905</v>
      </c>
      <c r="B44" s="227">
        <v>0.75</v>
      </c>
      <c r="C44" s="227">
        <v>0.80555555555555547</v>
      </c>
      <c r="D44" s="227">
        <f>(C44-B44)</f>
        <v>5.5555555555555469E-2</v>
      </c>
      <c r="E44" s="375" t="s">
        <v>124</v>
      </c>
      <c r="F44" s="376"/>
      <c r="G44" s="184"/>
    </row>
    <row r="45" spans="1:7" ht="32.25" customHeight="1" thickBot="1" x14ac:dyDescent="0.3">
      <c r="A45" s="155"/>
      <c r="B45" s="228"/>
      <c r="C45" s="228"/>
      <c r="D45" s="228"/>
      <c r="E45" s="377"/>
      <c r="F45" s="378"/>
      <c r="G45" s="186"/>
    </row>
    <row r="46" spans="1:7" ht="15.75" customHeight="1" x14ac:dyDescent="0.2">
      <c r="A46" s="132">
        <f>DATE(2020,3,15)</f>
        <v>43905</v>
      </c>
      <c r="B46" s="119">
        <v>0.8125</v>
      </c>
      <c r="C46" s="119">
        <v>0.95833333333333337</v>
      </c>
      <c r="D46" s="120">
        <f>(C46-B46)</f>
        <v>0.14583333333333337</v>
      </c>
      <c r="E46" s="369" t="s">
        <v>125</v>
      </c>
      <c r="F46" s="370"/>
      <c r="G46" s="184"/>
    </row>
    <row r="47" spans="1:7" ht="15.75" customHeight="1" thickBot="1" x14ac:dyDescent="0.3">
      <c r="A47" s="133"/>
      <c r="B47" s="121"/>
      <c r="C47" s="121"/>
      <c r="D47" s="121"/>
      <c r="E47" s="371"/>
      <c r="F47" s="372"/>
      <c r="G47" s="186"/>
    </row>
    <row r="48" spans="1:7" ht="24" thickBot="1" x14ac:dyDescent="0.4">
      <c r="A48" s="101" t="s">
        <v>18</v>
      </c>
      <c r="B48" s="101"/>
      <c r="C48" s="27"/>
      <c r="D48" s="27"/>
      <c r="E48" s="27"/>
      <c r="F48" s="102"/>
      <c r="G48" s="102"/>
    </row>
    <row r="49" spans="1:8" x14ac:dyDescent="0.2">
      <c r="B49" s="103"/>
      <c r="C49" s="104"/>
      <c r="D49" s="105"/>
      <c r="E49" s="106"/>
    </row>
    <row r="50" spans="1:8" ht="12.75" customHeight="1" x14ac:dyDescent="0.2">
      <c r="A50" s="314"/>
      <c r="B50" s="314"/>
      <c r="C50" s="314"/>
      <c r="D50" s="314"/>
      <c r="E50" s="314"/>
      <c r="F50" s="314"/>
      <c r="G50" s="314"/>
      <c r="H50" s="5"/>
    </row>
    <row r="51" spans="1:8" ht="12.75" customHeight="1" x14ac:dyDescent="0.2">
      <c r="A51" s="314"/>
      <c r="B51" s="314"/>
      <c r="C51" s="314"/>
      <c r="D51" s="314"/>
      <c r="E51" s="314"/>
      <c r="F51" s="314"/>
      <c r="G51" s="314"/>
      <c r="H51" s="5"/>
    </row>
    <row r="52" spans="1:8" ht="12.75" customHeight="1" x14ac:dyDescent="0.2">
      <c r="A52" s="314"/>
      <c r="B52" s="314"/>
      <c r="C52" s="314"/>
      <c r="D52" s="314"/>
      <c r="E52" s="314"/>
      <c r="F52" s="314"/>
      <c r="G52" s="314"/>
      <c r="H52" s="5"/>
    </row>
    <row r="53" spans="1:8" ht="12.75" customHeight="1" x14ac:dyDescent="0.2">
      <c r="A53" s="314"/>
      <c r="B53" s="314"/>
      <c r="C53" s="314"/>
      <c r="D53" s="314"/>
      <c r="E53" s="314"/>
      <c r="F53" s="314"/>
      <c r="G53" s="314"/>
      <c r="H53" s="5"/>
    </row>
    <row r="54" spans="1:8" ht="12.75" customHeight="1" x14ac:dyDescent="0.2">
      <c r="A54" s="314"/>
      <c r="B54" s="314"/>
      <c r="C54" s="314"/>
      <c r="D54" s="314"/>
      <c r="E54" s="314"/>
      <c r="F54" s="314"/>
      <c r="G54" s="314"/>
      <c r="H54" s="5"/>
    </row>
    <row r="55" spans="1:8" ht="12.75" customHeight="1" x14ac:dyDescent="0.2">
      <c r="A55" s="314"/>
      <c r="B55" s="314"/>
      <c r="C55" s="314"/>
      <c r="D55" s="314"/>
      <c r="E55" s="314"/>
      <c r="F55" s="314"/>
      <c r="G55" s="314"/>
      <c r="H55" s="5"/>
    </row>
    <row r="56" spans="1:8" ht="12.75" customHeight="1" x14ac:dyDescent="0.2">
      <c r="A56" s="314"/>
      <c r="B56" s="314"/>
      <c r="C56" s="314"/>
      <c r="D56" s="314"/>
      <c r="E56" s="314"/>
      <c r="F56" s="314"/>
      <c r="G56" s="314"/>
      <c r="H56" s="5"/>
    </row>
    <row r="57" spans="1:8" ht="12.75" customHeight="1" x14ac:dyDescent="0.2">
      <c r="A57" s="314"/>
      <c r="B57" s="314"/>
      <c r="C57" s="314"/>
      <c r="D57" s="314"/>
      <c r="E57" s="314"/>
      <c r="F57" s="314"/>
      <c r="G57" s="314"/>
      <c r="H57" s="5"/>
    </row>
    <row r="58" spans="1:8" ht="12.75" customHeight="1" x14ac:dyDescent="0.2">
      <c r="A58" s="314"/>
      <c r="B58" s="314"/>
      <c r="C58" s="314"/>
      <c r="D58" s="314"/>
      <c r="E58" s="314"/>
      <c r="F58" s="314"/>
      <c r="G58" s="314"/>
      <c r="H58" s="5"/>
    </row>
    <row r="59" spans="1:8" ht="12.75" customHeight="1" x14ac:dyDescent="0.2">
      <c r="A59" s="314"/>
      <c r="B59" s="314"/>
      <c r="C59" s="314"/>
      <c r="D59" s="314"/>
      <c r="E59" s="314"/>
      <c r="F59" s="314"/>
      <c r="G59" s="314"/>
      <c r="H59" s="5"/>
    </row>
    <row r="60" spans="1:8" ht="12.75" customHeight="1" x14ac:dyDescent="0.2">
      <c r="A60" s="314"/>
      <c r="B60" s="314"/>
      <c r="C60" s="314"/>
      <c r="D60" s="314"/>
      <c r="E60" s="314"/>
      <c r="F60" s="314"/>
      <c r="G60" s="314"/>
      <c r="H60" s="5"/>
    </row>
    <row r="61" spans="1:8" ht="12.75" customHeight="1" x14ac:dyDescent="0.2">
      <c r="A61" s="314"/>
      <c r="B61" s="314"/>
      <c r="C61" s="314"/>
      <c r="D61" s="314"/>
      <c r="E61" s="314"/>
      <c r="F61" s="314"/>
      <c r="G61" s="314"/>
      <c r="H61" s="5"/>
    </row>
    <row r="62" spans="1:8" ht="12.75" customHeight="1" x14ac:dyDescent="0.2">
      <c r="A62" s="314"/>
      <c r="B62" s="314"/>
      <c r="C62" s="314"/>
      <c r="D62" s="314"/>
      <c r="E62" s="314"/>
      <c r="F62" s="314"/>
      <c r="G62" s="314"/>
      <c r="H62" s="5"/>
    </row>
    <row r="63" spans="1:8" ht="12.75" customHeight="1" x14ac:dyDescent="0.2">
      <c r="A63" s="5"/>
      <c r="B63" s="5"/>
      <c r="C63" s="5"/>
      <c r="D63" s="5"/>
      <c r="E63" s="5"/>
      <c r="F63" s="5"/>
      <c r="G63" s="5"/>
      <c r="H63" s="5"/>
    </row>
    <row r="64" spans="1:8" ht="12.75" customHeight="1" x14ac:dyDescent="0.2">
      <c r="A64" s="5"/>
      <c r="B64" s="5"/>
      <c r="C64" s="5"/>
      <c r="D64" s="5"/>
      <c r="E64" s="5"/>
      <c r="F64" s="5"/>
      <c r="G64" s="5"/>
      <c r="H64" s="5"/>
    </row>
    <row r="65" spans="1:8" ht="12.75" customHeight="1" x14ac:dyDescent="0.2">
      <c r="A65" s="5"/>
      <c r="B65" s="5"/>
      <c r="C65" s="5"/>
      <c r="D65" s="5"/>
      <c r="E65" s="5"/>
      <c r="F65" s="5"/>
      <c r="G65" s="5"/>
      <c r="H65" s="5"/>
    </row>
    <row r="66" spans="1:8" x14ac:dyDescent="0.2">
      <c r="A66" s="5"/>
      <c r="B66" s="5"/>
      <c r="C66" s="5"/>
      <c r="D66" s="5"/>
      <c r="E66" s="5"/>
      <c r="F66" s="5"/>
      <c r="G66" s="5"/>
      <c r="H66" s="5"/>
    </row>
    <row r="67" spans="1:8" ht="12.75" customHeight="1" x14ac:dyDescent="0.2">
      <c r="A67" s="5"/>
      <c r="B67" s="5"/>
      <c r="C67" s="5"/>
      <c r="D67" s="5"/>
      <c r="E67" s="5"/>
      <c r="F67" s="5"/>
      <c r="G67" s="5"/>
      <c r="H67" s="5"/>
    </row>
    <row r="68" spans="1:8" ht="12.75" customHeight="1" x14ac:dyDescent="0.2"/>
    <row r="69" spans="1:8" ht="12.75" customHeight="1" x14ac:dyDescent="0.2"/>
  </sheetData>
  <mergeCells count="24">
    <mergeCell ref="A1:D1"/>
    <mergeCell ref="A4:A5"/>
    <mergeCell ref="C4:C5"/>
    <mergeCell ref="E46:F47"/>
    <mergeCell ref="E12:F13"/>
    <mergeCell ref="E14:F15"/>
    <mergeCell ref="E28:F29"/>
    <mergeCell ref="E42:F43"/>
    <mergeCell ref="E44:F45"/>
    <mergeCell ref="J4:J5"/>
    <mergeCell ref="E10:F11"/>
    <mergeCell ref="A50:G62"/>
    <mergeCell ref="E16:F17"/>
    <mergeCell ref="E18:F19"/>
    <mergeCell ref="E20:F21"/>
    <mergeCell ref="E22:F23"/>
    <mergeCell ref="E24:F25"/>
    <mergeCell ref="E26:F27"/>
    <mergeCell ref="E30:F31"/>
    <mergeCell ref="E32:F33"/>
    <mergeCell ref="E34:F35"/>
    <mergeCell ref="E36:F37"/>
    <mergeCell ref="E38:F39"/>
    <mergeCell ref="E40:F41"/>
  </mergeCells>
  <conditionalFormatting sqref="I21 H22:I22 I23 H26">
    <cfRule type="expression" dxfId="849" priority="38">
      <formula>ISNUMBER(SEARCH(TEXT(#REF!,"ddd"),#REF!))</formula>
    </cfRule>
  </conditionalFormatting>
  <conditionalFormatting sqref="B18:C18">
    <cfRule type="expression" dxfId="848" priority="39">
      <formula>ISNUMBER(SEARCH(TEXT(#REF!,"ddd"),#REF!))</formula>
    </cfRule>
  </conditionalFormatting>
  <conditionalFormatting sqref="K21:K26">
    <cfRule type="expression" dxfId="847" priority="40">
      <formula>ISNUMBER(SEARCH(TEXT(#REF!,"ddd"),#REF!))</formula>
    </cfRule>
  </conditionalFormatting>
  <conditionalFormatting sqref="A10:D10">
    <cfRule type="expression" dxfId="846" priority="37">
      <formula>ISNUMBER(SEARCH(TEXT(#REF!,"ddd"),#REF!))</formula>
    </cfRule>
  </conditionalFormatting>
  <conditionalFormatting sqref="B16:C16">
    <cfRule type="expression" dxfId="845" priority="36">
      <formula>ISNUMBER(SEARCH(TEXT(#REF!,"ddd"),#REF!))</formula>
    </cfRule>
  </conditionalFormatting>
  <conditionalFormatting sqref="B26:C26">
    <cfRule type="expression" dxfId="844" priority="35">
      <formula>ISNUMBER(SEARCH(TEXT(#REF!,"ddd"),#REF!))</formula>
    </cfRule>
  </conditionalFormatting>
  <conditionalFormatting sqref="B20:C20">
    <cfRule type="expression" dxfId="843" priority="34">
      <formula>ISNUMBER(SEARCH(TEXT(#REF!,"ddd"),#REF!))</formula>
    </cfRule>
  </conditionalFormatting>
  <conditionalFormatting sqref="A18">
    <cfRule type="expression" dxfId="842" priority="33">
      <formula>ISNUMBER(SEARCH(TEXT(#REF!,"ddd"),#REF!))</formula>
    </cfRule>
  </conditionalFormatting>
  <conditionalFormatting sqref="D16">
    <cfRule type="expression" dxfId="841" priority="32">
      <formula>ISNUMBER(SEARCH(TEXT(#REF!,"ddd"),#REF!))</formula>
    </cfRule>
  </conditionalFormatting>
  <conditionalFormatting sqref="D18">
    <cfRule type="expression" dxfId="840" priority="31">
      <formula>ISNUMBER(SEARCH(TEXT(#REF!,"ddd"),#REF!))</formula>
    </cfRule>
  </conditionalFormatting>
  <conditionalFormatting sqref="A20">
    <cfRule type="expression" dxfId="839" priority="30">
      <formula>ISNUMBER(SEARCH(TEXT(#REF!,"ddd"),#REF!))</formula>
    </cfRule>
  </conditionalFormatting>
  <conditionalFormatting sqref="A22">
    <cfRule type="expression" dxfId="838" priority="29">
      <formula>ISNUMBER(SEARCH(TEXT(#REF!,"ddd"),#REF!))</formula>
    </cfRule>
  </conditionalFormatting>
  <conditionalFormatting sqref="A24">
    <cfRule type="expression" dxfId="837" priority="28">
      <formula>ISNUMBER(SEARCH(TEXT(#REF!,"ddd"),#REF!))</formula>
    </cfRule>
  </conditionalFormatting>
  <conditionalFormatting sqref="A26">
    <cfRule type="expression" dxfId="836" priority="27">
      <formula>ISNUMBER(SEARCH(TEXT(#REF!,"ddd"),#REF!))</formula>
    </cfRule>
  </conditionalFormatting>
  <conditionalFormatting sqref="B12:C14">
    <cfRule type="expression" dxfId="835" priority="25">
      <formula>ISNUMBER(SEARCH(TEXT(#REF!,"ddd"),#REF!))</formula>
    </cfRule>
  </conditionalFormatting>
  <conditionalFormatting sqref="D12:D14">
    <cfRule type="expression" dxfId="834" priority="23">
      <formula>ISNUMBER(SEARCH(TEXT(#REF!,"ddd"),#REF!))</formula>
    </cfRule>
  </conditionalFormatting>
  <conditionalFormatting sqref="A28">
    <cfRule type="expression" dxfId="833" priority="21">
      <formula>ISNUMBER(SEARCH(TEXT(#REF!,"ddd"),#REF!))</formula>
    </cfRule>
  </conditionalFormatting>
  <conditionalFormatting sqref="A12:A14">
    <cfRule type="expression" dxfId="832" priority="20">
      <formula>ISNUMBER(SEARCH(TEXT(#REF!,"ddd"),#REF!))</formula>
    </cfRule>
  </conditionalFormatting>
  <conditionalFormatting sqref="A16">
    <cfRule type="expression" dxfId="831" priority="19">
      <formula>ISNUMBER(SEARCH(TEXT(#REF!,"ddd"),#REF!))</formula>
    </cfRule>
  </conditionalFormatting>
  <conditionalFormatting sqref="H28">
    <cfRule type="expression" dxfId="830" priority="18">
      <formula>ISNUMBER(SEARCH(TEXT(#REF!,"ddd"),#REF!))</formula>
    </cfRule>
  </conditionalFormatting>
  <conditionalFormatting sqref="A30">
    <cfRule type="expression" dxfId="829" priority="17">
      <formula>ISNUMBER(SEARCH(TEXT(#REF!,"ddd"),#REF!))</formula>
    </cfRule>
  </conditionalFormatting>
  <conditionalFormatting sqref="A32">
    <cfRule type="expression" dxfId="828" priority="10">
      <formula>ISNUMBER(SEARCH(TEXT(#REF!,"ddd"),#REF!))</formula>
    </cfRule>
  </conditionalFormatting>
  <conditionalFormatting sqref="A34">
    <cfRule type="expression" dxfId="827" priority="9">
      <formula>ISNUMBER(SEARCH(TEXT(#REF!,"ddd"),#REF!))</formula>
    </cfRule>
  </conditionalFormatting>
  <conditionalFormatting sqref="A36">
    <cfRule type="expression" dxfId="826" priority="8">
      <formula>ISNUMBER(SEARCH(TEXT(#REF!,"ddd"),#REF!))</formula>
    </cfRule>
  </conditionalFormatting>
  <conditionalFormatting sqref="A38">
    <cfRule type="expression" dxfId="825" priority="7">
      <formula>ISNUMBER(SEARCH(TEXT(#REF!,"ddd"),#REF!))</formula>
    </cfRule>
  </conditionalFormatting>
  <conditionalFormatting sqref="A40">
    <cfRule type="expression" dxfId="824" priority="3">
      <formula>ISNUMBER(SEARCH(TEXT(#REF!,"ddd"),#REF!))</formula>
    </cfRule>
  </conditionalFormatting>
  <conditionalFormatting sqref="A42">
    <cfRule type="expression" dxfId="823" priority="2">
      <formula>ISNUMBER(SEARCH(TEXT(#REF!,"ddd"),#REF!))</formula>
    </cfRule>
  </conditionalFormatting>
  <conditionalFormatting sqref="A46">
    <cfRule type="expression" dxfId="822" priority="1">
      <formula>ISNUMBER(SEARCH(TEXT(#REF!,"ddd"),#REF!))</formula>
    </cfRule>
  </conditionalFormatting>
  <dataValidations disablePrompts="1" count="2">
    <dataValidation type="custom" allowBlank="1" showInputMessage="1" showErrorMessage="1" sqref="C10" xr:uid="{FAD8B945-33F2-43C6-8757-A24FC0D98CFE}">
      <formula1>AND($C10&lt;=1,ISNUMBER($C10),($C10&gt;=$B10))</formula1>
    </dataValidation>
    <dataValidation type="custom" allowBlank="1" showInputMessage="1" showErrorMessage="1" sqref="B18:C18 B20:C20 B26:C26 B10 B16:C16 B12:C14" xr:uid="{F81E5AF9-BC03-4D71-A48B-E31D4602FE38}">
      <formula1>AND($B10&lt;=1,ISNUMBER($B10))</formula1>
    </dataValidation>
  </dataValidations>
  <pageMargins left="0.11811023622047245" right="0" top="0.11811023622047245" bottom="0.15748031496062992" header="0" footer="0"/>
  <pageSetup paperSize="9" scale="49" fitToHeight="0" orientation="portrait" horizontalDpi="4294967293" verticalDpi="4294967293"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10AF2-34DE-4A21-88B5-AEB93B7713AE}">
  <sheetPr codeName="Sheet20">
    <pageSetUpPr fitToPage="1"/>
  </sheetPr>
  <dimension ref="A1:M49"/>
  <sheetViews>
    <sheetView showGridLines="0" zoomScaleNormal="100" workbookViewId="0">
      <selection activeCell="G22" sqref="G22"/>
    </sheetView>
  </sheetViews>
  <sheetFormatPr baseColWidth="10" defaultColWidth="9" defaultRowHeight="12.75" x14ac:dyDescent="0.2"/>
  <cols>
    <col min="1" max="1" width="14.5" customWidth="1"/>
    <col min="2" max="2" width="8.875" customWidth="1"/>
    <col min="3" max="3" width="11.75" customWidth="1"/>
    <col min="4" max="4" width="11.5" customWidth="1"/>
    <col min="5" max="5" width="22.125" bestFit="1" customWidth="1"/>
    <col min="6" max="7" width="18" bestFit="1" customWidth="1"/>
    <col min="8" max="8" width="8.875" customWidth="1"/>
    <col min="9" max="9" width="11.625" customWidth="1"/>
    <col min="10" max="10" width="9.5" customWidth="1"/>
    <col min="11" max="11" width="12.375" customWidth="1"/>
    <col min="12" max="12" width="17.875" bestFit="1" customWidth="1"/>
    <col min="13" max="13" width="19.25" bestFit="1" customWidth="1"/>
  </cols>
  <sheetData>
    <row r="1" spans="1:13" ht="27" thickTop="1" x14ac:dyDescent="0.4">
      <c r="A1" s="301" t="s">
        <v>20</v>
      </c>
      <c r="B1" s="301"/>
      <c r="C1" s="301"/>
      <c r="D1" s="301"/>
      <c r="E1" s="55">
        <f>WEEKNUM(A10)</f>
        <v>12</v>
      </c>
      <c r="F1" s="83"/>
      <c r="G1" s="57"/>
      <c r="H1" s="84"/>
      <c r="J1" s="1"/>
    </row>
    <row r="2" spans="1:13" s="1" customFormat="1" ht="14.25" customHeight="1" x14ac:dyDescent="0.25">
      <c r="A2" s="49" t="s">
        <v>1</v>
      </c>
      <c r="B2" s="49"/>
      <c r="C2" s="49" t="s">
        <v>2</v>
      </c>
      <c r="D2" s="49"/>
      <c r="E2" s="85" t="s">
        <v>3</v>
      </c>
      <c r="F2" s="54" t="s">
        <v>4</v>
      </c>
      <c r="G2" s="54" t="s">
        <v>5</v>
      </c>
      <c r="H2" s="20"/>
      <c r="I2" s="86"/>
      <c r="J2" s="87"/>
      <c r="M2" s="1" t="s">
        <v>21</v>
      </c>
    </row>
    <row r="3" spans="1:13" ht="16.5" thickBot="1" x14ac:dyDescent="0.25">
      <c r="A3" s="136">
        <f>MIN(A10:A82)</f>
        <v>43906</v>
      </c>
      <c r="B3" s="202"/>
      <c r="C3" s="136">
        <f>MAXA(A10:A82)</f>
        <v>43912</v>
      </c>
      <c r="D3" s="188"/>
      <c r="E3" s="88" t="s">
        <v>6</v>
      </c>
      <c r="F3" s="46">
        <f>Sumcolor(E3,D10:D82)</f>
        <v>0</v>
      </c>
      <c r="G3" s="177">
        <f>SUM(Først:Sist!F3)</f>
        <v>1.0381944444444446</v>
      </c>
      <c r="H3" s="89"/>
      <c r="I3" s="90"/>
      <c r="J3" s="90"/>
      <c r="M3" t="s">
        <v>22</v>
      </c>
    </row>
    <row r="4" spans="1:13" ht="15" customHeight="1" x14ac:dyDescent="0.2">
      <c r="A4" s="293" t="s">
        <v>23</v>
      </c>
      <c r="B4" s="194"/>
      <c r="C4" s="293" t="s">
        <v>24</v>
      </c>
      <c r="D4" s="203"/>
      <c r="E4" s="91" t="s">
        <v>9</v>
      </c>
      <c r="F4" s="46">
        <f>Sumcolor(E4,D10:D82)</f>
        <v>0.42361111111111105</v>
      </c>
      <c r="G4" s="177">
        <f>SUM(Først:Sist!F4)</f>
        <v>8.03125</v>
      </c>
      <c r="H4" s="89"/>
      <c r="I4" s="90"/>
      <c r="J4" s="309"/>
    </row>
    <row r="5" spans="1:13" ht="15.75" x14ac:dyDescent="0.2">
      <c r="A5" s="302"/>
      <c r="B5" s="203"/>
      <c r="C5" s="302"/>
      <c r="D5" s="203"/>
      <c r="E5" s="159" t="s">
        <v>10</v>
      </c>
      <c r="F5" s="46">
        <f>Sumcolor(E5,D10:D82)</f>
        <v>6.9444444444444475E-2</v>
      </c>
      <c r="G5" s="177">
        <f>SUM(Først:Sist!F5)</f>
        <v>1.8090277777777768</v>
      </c>
      <c r="H5" s="89"/>
      <c r="I5" s="90"/>
      <c r="J5" s="309"/>
      <c r="M5" t="s">
        <v>25</v>
      </c>
    </row>
    <row r="6" spans="1:13" ht="18.75" customHeight="1" thickBot="1" x14ac:dyDescent="0.25">
      <c r="A6" s="182">
        <f>SUM(D10:D82)</f>
        <v>0.50694444444444442</v>
      </c>
      <c r="B6" s="51"/>
      <c r="C6" s="82">
        <f>SUM(Først:Sist!A6)</f>
        <v>12.965277777777779</v>
      </c>
      <c r="D6" s="52"/>
      <c r="E6" s="92" t="s">
        <v>11</v>
      </c>
      <c r="F6" s="48">
        <f>Sumcolor(E6,D10:D82)</f>
        <v>1.3888888888888951E-2</v>
      </c>
      <c r="G6" s="178">
        <f>SUM(Først:Sist!F6)</f>
        <v>1.9895833333333335</v>
      </c>
      <c r="H6" s="89"/>
      <c r="I6" s="90"/>
      <c r="J6" s="90"/>
      <c r="M6" t="s">
        <v>26</v>
      </c>
    </row>
    <row r="7" spans="1:13" ht="12.75" customHeight="1" x14ac:dyDescent="0.2">
      <c r="A7" s="19"/>
      <c r="B7" s="23"/>
      <c r="C7" s="24"/>
      <c r="D7" s="93"/>
      <c r="E7" s="23"/>
      <c r="F7" s="23"/>
      <c r="G7" s="25"/>
      <c r="H7" s="25"/>
    </row>
    <row r="8" spans="1:13" x14ac:dyDescent="0.2">
      <c r="A8" s="23"/>
      <c r="B8" s="25"/>
      <c r="C8" s="93"/>
      <c r="D8" s="25"/>
      <c r="E8" s="23"/>
      <c r="F8" s="23"/>
      <c r="G8" s="25"/>
      <c r="H8" s="25"/>
      <c r="M8" t="s">
        <v>27</v>
      </c>
    </row>
    <row r="9" spans="1:13" ht="16.5" thickBot="1" x14ac:dyDescent="0.3">
      <c r="A9" s="49" t="s">
        <v>12</v>
      </c>
      <c r="B9" s="49" t="s">
        <v>13</v>
      </c>
      <c r="C9" s="49" t="s">
        <v>14</v>
      </c>
      <c r="D9" s="49" t="s">
        <v>15</v>
      </c>
      <c r="E9" s="107" t="s">
        <v>16</v>
      </c>
      <c r="F9" s="102"/>
      <c r="G9" s="166" t="s">
        <v>17</v>
      </c>
      <c r="H9" s="25"/>
      <c r="M9" t="s">
        <v>28</v>
      </c>
    </row>
    <row r="10" spans="1:13" ht="15.75" customHeight="1" x14ac:dyDescent="0.2">
      <c r="A10" s="125">
        <f>DATE(2020,3,16)</f>
        <v>43906</v>
      </c>
      <c r="B10" s="160">
        <v>0.58333333333333337</v>
      </c>
      <c r="C10" s="160">
        <v>0.61458333333333337</v>
      </c>
      <c r="D10" s="160">
        <f>(C10-B10)</f>
        <v>3.125E-2</v>
      </c>
      <c r="E10" s="319" t="s">
        <v>136</v>
      </c>
      <c r="F10" s="320"/>
      <c r="G10" s="183"/>
      <c r="H10" s="173"/>
    </row>
    <row r="11" spans="1:13" ht="15.75" thickBot="1" x14ac:dyDescent="0.3">
      <c r="A11" s="126"/>
      <c r="B11" s="161"/>
      <c r="C11" s="161"/>
      <c r="D11" s="161"/>
      <c r="E11" s="321"/>
      <c r="F11" s="322"/>
      <c r="G11" s="184"/>
      <c r="H11" s="25"/>
      <c r="M11" t="s">
        <v>30</v>
      </c>
    </row>
    <row r="12" spans="1:13" ht="15.75" customHeight="1" x14ac:dyDescent="0.25">
      <c r="A12" s="125">
        <f>DATE(2020,3,18)</f>
        <v>43908</v>
      </c>
      <c r="B12" s="163">
        <v>0.48958333333333331</v>
      </c>
      <c r="C12" s="163">
        <v>0.50694444444444442</v>
      </c>
      <c r="D12" s="160">
        <f>(C12-B12)</f>
        <v>1.7361111111111105E-2</v>
      </c>
      <c r="E12" s="319" t="s">
        <v>78</v>
      </c>
      <c r="F12" s="320"/>
      <c r="G12" s="185"/>
      <c r="M12" t="s">
        <v>32</v>
      </c>
    </row>
    <row r="13" spans="1:13" ht="16.5" thickBot="1" x14ac:dyDescent="0.3">
      <c r="A13" s="229"/>
      <c r="B13" s="230"/>
      <c r="C13" s="230"/>
      <c r="D13" s="231"/>
      <c r="E13" s="321"/>
      <c r="F13" s="322"/>
      <c r="G13" s="217"/>
    </row>
    <row r="14" spans="1:13" ht="15.75" x14ac:dyDescent="0.25">
      <c r="A14" s="232">
        <f>DATE(2020,3,21)</f>
        <v>43911</v>
      </c>
      <c r="B14" s="233">
        <v>0.54166666666666663</v>
      </c>
      <c r="C14" s="233">
        <v>0.5625</v>
      </c>
      <c r="D14" s="234">
        <f>(C14-B14)</f>
        <v>2.083333333333337E-2</v>
      </c>
      <c r="E14" s="319" t="s">
        <v>78</v>
      </c>
      <c r="F14" s="320"/>
      <c r="G14" s="184"/>
    </row>
    <row r="15" spans="1:13" ht="15" customHeight="1" thickBot="1" x14ac:dyDescent="0.3">
      <c r="A15" s="235"/>
      <c r="B15" s="161"/>
      <c r="C15" s="161"/>
      <c r="D15" s="161"/>
      <c r="E15" s="321"/>
      <c r="F15" s="322"/>
      <c r="G15" s="186"/>
      <c r="H15" s="5"/>
    </row>
    <row r="16" spans="1:13" ht="15.75" x14ac:dyDescent="0.25">
      <c r="A16" s="210">
        <f>DATE(2020,3,21)</f>
        <v>43911</v>
      </c>
      <c r="B16" s="170">
        <v>0.5625</v>
      </c>
      <c r="C16" s="170">
        <v>0.59375</v>
      </c>
      <c r="D16" s="123">
        <f>(C16-B16)</f>
        <v>3.125E-2</v>
      </c>
      <c r="E16" s="327" t="s">
        <v>137</v>
      </c>
      <c r="F16" s="328"/>
      <c r="G16" s="187" t="s">
        <v>140</v>
      </c>
      <c r="H16" s="81"/>
      <c r="I16" s="5"/>
    </row>
    <row r="17" spans="1:12" ht="15" customHeight="1" thickBot="1" x14ac:dyDescent="0.3">
      <c r="A17" s="137"/>
      <c r="B17" s="138"/>
      <c r="C17" s="138"/>
      <c r="D17" s="138"/>
      <c r="E17" s="329"/>
      <c r="F17" s="330"/>
      <c r="G17" s="184"/>
      <c r="I17" s="5"/>
    </row>
    <row r="18" spans="1:12" ht="15.75" customHeight="1" x14ac:dyDescent="0.2">
      <c r="A18" s="134">
        <f>DATE(2020,3,21)</f>
        <v>43911</v>
      </c>
      <c r="B18" s="123">
        <v>0.70138888888888884</v>
      </c>
      <c r="C18" s="123">
        <v>0.83680555555555547</v>
      </c>
      <c r="D18" s="123">
        <f>(C18-B18)</f>
        <v>0.13541666666666663</v>
      </c>
      <c r="E18" s="327" t="s">
        <v>138</v>
      </c>
      <c r="F18" s="328"/>
      <c r="G18" s="185" t="s">
        <v>88</v>
      </c>
      <c r="I18" s="5"/>
    </row>
    <row r="19" spans="1:12" ht="15.75" customHeight="1" thickBot="1" x14ac:dyDescent="0.3">
      <c r="A19" s="137"/>
      <c r="B19" s="138"/>
      <c r="C19" s="138"/>
      <c r="D19" s="138"/>
      <c r="E19" s="329"/>
      <c r="F19" s="330"/>
      <c r="G19" s="184"/>
      <c r="I19" s="5"/>
    </row>
    <row r="20" spans="1:12" ht="15.75" customHeight="1" x14ac:dyDescent="0.2">
      <c r="A20" s="134">
        <f>DATE(2020,3,22)</f>
        <v>43912</v>
      </c>
      <c r="B20" s="123">
        <v>0.54166666666666663</v>
      </c>
      <c r="C20" s="123">
        <v>0.70138888888888884</v>
      </c>
      <c r="D20" s="123">
        <f>(C20-B20)</f>
        <v>0.15972222222222221</v>
      </c>
      <c r="E20" s="327" t="s">
        <v>139</v>
      </c>
      <c r="F20" s="328"/>
      <c r="G20" s="185" t="s">
        <v>88</v>
      </c>
    </row>
    <row r="21" spans="1:12" ht="19.5" customHeight="1" thickBot="1" x14ac:dyDescent="0.25">
      <c r="A21" s="139"/>
      <c r="B21" s="140"/>
      <c r="C21" s="140"/>
      <c r="D21" s="140"/>
      <c r="E21" s="329"/>
      <c r="F21" s="330"/>
      <c r="G21" s="184"/>
      <c r="I21" s="96"/>
      <c r="K21" s="96"/>
    </row>
    <row r="22" spans="1:12" ht="15.75" customHeight="1" x14ac:dyDescent="0.2">
      <c r="A22" s="134">
        <f>DATE(2020,3,22)</f>
        <v>43912</v>
      </c>
      <c r="B22" s="122">
        <v>0.79166666666666663</v>
      </c>
      <c r="C22" s="122">
        <v>0.88888888888888884</v>
      </c>
      <c r="D22" s="123">
        <f>(C22-B22)</f>
        <v>9.722222222222221E-2</v>
      </c>
      <c r="E22" s="327" t="s">
        <v>139</v>
      </c>
      <c r="F22" s="328"/>
      <c r="G22" s="185" t="s">
        <v>88</v>
      </c>
      <c r="H22" s="96"/>
      <c r="I22" s="96"/>
      <c r="K22" s="96"/>
    </row>
    <row r="23" spans="1:12" ht="18" customHeight="1" thickBot="1" x14ac:dyDescent="0.3">
      <c r="A23" s="137"/>
      <c r="B23" s="138"/>
      <c r="C23" s="138"/>
      <c r="D23" s="138"/>
      <c r="E23" s="329"/>
      <c r="F23" s="330"/>
      <c r="G23" s="184"/>
      <c r="I23" s="96"/>
      <c r="K23" s="96"/>
    </row>
    <row r="24" spans="1:12" ht="15.75" customHeight="1" x14ac:dyDescent="0.2">
      <c r="A24" s="132">
        <f>DATE(2020,3,22)</f>
        <v>43912</v>
      </c>
      <c r="B24" s="119">
        <v>0.88888888888888884</v>
      </c>
      <c r="C24" s="119">
        <v>0.90277777777777779</v>
      </c>
      <c r="D24" s="120">
        <f>(C24-B24)</f>
        <v>1.3888888888888951E-2</v>
      </c>
      <c r="E24" s="347" t="s">
        <v>141</v>
      </c>
      <c r="F24" s="348"/>
      <c r="G24" s="185"/>
      <c r="I24" s="97"/>
      <c r="K24" s="96"/>
      <c r="L24" s="5"/>
    </row>
    <row r="25" spans="1:12" ht="37.5" customHeight="1" thickBot="1" x14ac:dyDescent="0.3">
      <c r="A25" s="236"/>
      <c r="B25" s="237"/>
      <c r="C25" s="237"/>
      <c r="D25" s="237"/>
      <c r="E25" s="349"/>
      <c r="F25" s="350"/>
      <c r="G25" s="186"/>
      <c r="I25" s="98"/>
      <c r="K25" s="96"/>
      <c r="L25" s="5"/>
    </row>
    <row r="26" spans="1:12" ht="15.75" customHeight="1" x14ac:dyDescent="0.2">
      <c r="A26" s="238"/>
      <c r="B26" s="239"/>
      <c r="C26" s="239"/>
      <c r="D26" s="240"/>
      <c r="E26" s="379"/>
      <c r="F26" s="380"/>
      <c r="G26" s="184"/>
    </row>
    <row r="27" spans="1:12" ht="15.75" customHeight="1" thickBot="1" x14ac:dyDescent="0.3">
      <c r="A27" s="241"/>
      <c r="B27" s="242"/>
      <c r="C27" s="242"/>
      <c r="D27" s="242"/>
      <c r="E27" s="381"/>
      <c r="F27" s="382"/>
      <c r="G27" s="186"/>
    </row>
    <row r="28" spans="1:12" ht="24" thickBot="1" x14ac:dyDescent="0.4">
      <c r="A28" s="101" t="s">
        <v>18</v>
      </c>
      <c r="B28" s="101"/>
      <c r="C28" s="27"/>
      <c r="D28" s="27"/>
      <c r="E28" s="27"/>
      <c r="F28" s="102"/>
      <c r="G28" s="102"/>
    </row>
    <row r="29" spans="1:12" x14ac:dyDescent="0.2">
      <c r="B29" s="103"/>
      <c r="C29" s="104"/>
      <c r="D29" s="105"/>
      <c r="E29" s="106"/>
    </row>
    <row r="30" spans="1:12" ht="12.75" customHeight="1" x14ac:dyDescent="0.2">
      <c r="A30" s="314"/>
      <c r="B30" s="314"/>
      <c r="C30" s="314"/>
      <c r="D30" s="314"/>
      <c r="E30" s="314"/>
      <c r="F30" s="314"/>
      <c r="G30" s="314"/>
      <c r="I30" s="243">
        <v>0.34375</v>
      </c>
    </row>
    <row r="31" spans="1:12" ht="12.75" customHeight="1" x14ac:dyDescent="0.2">
      <c r="A31" s="314"/>
      <c r="B31" s="314"/>
      <c r="C31" s="314"/>
      <c r="D31" s="314"/>
      <c r="E31" s="314"/>
      <c r="F31" s="314"/>
      <c r="G31" s="314"/>
      <c r="I31" s="243">
        <v>0.50694444444444442</v>
      </c>
    </row>
    <row r="32" spans="1:12" ht="12.75" customHeight="1" x14ac:dyDescent="0.2">
      <c r="A32" s="314"/>
      <c r="B32" s="314"/>
      <c r="C32" s="314"/>
      <c r="D32" s="314"/>
      <c r="E32" s="314"/>
      <c r="F32" s="314"/>
      <c r="G32" s="314"/>
      <c r="I32" s="243">
        <v>0.4236111111111111</v>
      </c>
    </row>
    <row r="33" spans="1:9" ht="12.75" customHeight="1" x14ac:dyDescent="0.2">
      <c r="A33" s="314"/>
      <c r="B33" s="314"/>
      <c r="C33" s="314"/>
      <c r="D33" s="314"/>
      <c r="E33" s="314"/>
      <c r="F33" s="314"/>
      <c r="G33" s="314"/>
      <c r="I33" s="243">
        <v>0.3611111111111111</v>
      </c>
    </row>
    <row r="34" spans="1:9" ht="12.75" customHeight="1" x14ac:dyDescent="0.2">
      <c r="A34" s="314"/>
      <c r="B34" s="314"/>
      <c r="C34" s="314"/>
      <c r="D34" s="314"/>
      <c r="E34" s="314"/>
      <c r="F34" s="314"/>
      <c r="G34" s="314"/>
      <c r="I34" s="243">
        <v>0.41666666666666669</v>
      </c>
    </row>
    <row r="35" spans="1:9" ht="12.75" customHeight="1" x14ac:dyDescent="0.2">
      <c r="A35" s="314"/>
      <c r="B35" s="314"/>
      <c r="C35" s="314"/>
      <c r="D35" s="314"/>
      <c r="E35" s="314"/>
      <c r="F35" s="314"/>
      <c r="G35" s="314"/>
      <c r="I35" s="243">
        <v>0.45833333333333331</v>
      </c>
    </row>
    <row r="36" spans="1:9" ht="12.75" customHeight="1" x14ac:dyDescent="0.2">
      <c r="A36" s="314"/>
      <c r="B36" s="314"/>
      <c r="C36" s="314"/>
      <c r="D36" s="314"/>
      <c r="E36" s="314"/>
      <c r="F36" s="314"/>
      <c r="G36" s="314"/>
      <c r="I36" s="243">
        <f>SUM(I30:I35) / 6</f>
        <v>0.41840277777777785</v>
      </c>
    </row>
    <row r="37" spans="1:9" ht="12.75" customHeight="1" x14ac:dyDescent="0.2">
      <c r="A37" s="314"/>
      <c r="B37" s="314"/>
      <c r="C37" s="314"/>
      <c r="D37" s="314"/>
      <c r="E37" s="314"/>
      <c r="F37" s="314"/>
      <c r="G37" s="314"/>
      <c r="H37" s="5"/>
    </row>
    <row r="38" spans="1:9" ht="12.75" customHeight="1" x14ac:dyDescent="0.2">
      <c r="A38" s="314"/>
      <c r="B38" s="314"/>
      <c r="C38" s="314"/>
      <c r="D38" s="314"/>
      <c r="E38" s="314"/>
      <c r="F38" s="314"/>
      <c r="G38" s="314"/>
      <c r="H38" s="5"/>
    </row>
    <row r="39" spans="1:9" ht="12.75" customHeight="1" x14ac:dyDescent="0.2">
      <c r="A39" s="314"/>
      <c r="B39" s="314"/>
      <c r="C39" s="314"/>
      <c r="D39" s="314"/>
      <c r="E39" s="314"/>
      <c r="F39" s="314"/>
      <c r="G39" s="314"/>
      <c r="H39" s="5"/>
    </row>
    <row r="40" spans="1:9" ht="12.75" customHeight="1" x14ac:dyDescent="0.2">
      <c r="A40" s="314"/>
      <c r="B40" s="314"/>
      <c r="C40" s="314"/>
      <c r="D40" s="314"/>
      <c r="E40" s="314"/>
      <c r="F40" s="314"/>
      <c r="G40" s="314"/>
      <c r="H40" s="5"/>
    </row>
    <row r="41" spans="1:9" ht="12.75" customHeight="1" x14ac:dyDescent="0.2">
      <c r="A41" s="314"/>
      <c r="B41" s="314"/>
      <c r="C41" s="314"/>
      <c r="D41" s="314"/>
      <c r="E41" s="314"/>
      <c r="F41" s="314"/>
      <c r="G41" s="314"/>
      <c r="H41" s="5"/>
    </row>
    <row r="42" spans="1:9" ht="12.75" customHeight="1" x14ac:dyDescent="0.2">
      <c r="A42" s="314"/>
      <c r="B42" s="314"/>
      <c r="C42" s="314"/>
      <c r="D42" s="314"/>
      <c r="E42" s="314"/>
      <c r="F42" s="314"/>
      <c r="G42" s="314"/>
      <c r="H42" s="5"/>
    </row>
    <row r="43" spans="1:9" ht="12.75" customHeight="1" x14ac:dyDescent="0.2">
      <c r="A43" s="5"/>
      <c r="B43" s="5"/>
      <c r="C43" s="5"/>
      <c r="D43" s="5"/>
      <c r="E43" s="5"/>
      <c r="F43" s="5"/>
      <c r="G43" s="5"/>
      <c r="H43" s="5"/>
    </row>
    <row r="44" spans="1:9" ht="12.75" customHeight="1" x14ac:dyDescent="0.2">
      <c r="A44" s="5"/>
      <c r="B44" s="5"/>
      <c r="C44" s="5"/>
      <c r="D44" s="5"/>
      <c r="E44" s="5"/>
      <c r="F44" s="5"/>
      <c r="G44" s="5"/>
      <c r="H44" s="5"/>
    </row>
    <row r="45" spans="1:9" ht="12.75" customHeight="1" x14ac:dyDescent="0.2">
      <c r="A45" s="5"/>
      <c r="B45" s="5"/>
      <c r="C45" s="5"/>
      <c r="D45" s="5"/>
      <c r="E45" s="5"/>
      <c r="F45" s="5"/>
      <c r="G45" s="5"/>
      <c r="H45" s="5"/>
    </row>
    <row r="46" spans="1:9" x14ac:dyDescent="0.2">
      <c r="A46" s="5"/>
      <c r="B46" s="5"/>
      <c r="C46" s="5"/>
      <c r="D46" s="5"/>
      <c r="E46" s="5"/>
      <c r="F46" s="5"/>
      <c r="G46" s="5"/>
      <c r="H46" s="5"/>
    </row>
    <row r="47" spans="1:9" ht="12.75" customHeight="1" x14ac:dyDescent="0.2">
      <c r="A47" s="5"/>
      <c r="B47" s="5"/>
      <c r="C47" s="5"/>
      <c r="D47" s="5"/>
      <c r="E47" s="5"/>
      <c r="F47" s="5"/>
      <c r="G47" s="5"/>
      <c r="H47" s="5"/>
    </row>
    <row r="48" spans="1:9" ht="12.75" customHeight="1" x14ac:dyDescent="0.2"/>
    <row r="49" ht="12.75" customHeight="1" x14ac:dyDescent="0.2"/>
  </sheetData>
  <mergeCells count="14">
    <mergeCell ref="E26:F27"/>
    <mergeCell ref="A30:G42"/>
    <mergeCell ref="E14:F15"/>
    <mergeCell ref="E16:F17"/>
    <mergeCell ref="E18:F19"/>
    <mergeCell ref="E20:F21"/>
    <mergeCell ref="E22:F23"/>
    <mergeCell ref="E24:F25"/>
    <mergeCell ref="E12:F13"/>
    <mergeCell ref="A1:D1"/>
    <mergeCell ref="A4:A5"/>
    <mergeCell ref="C4:C5"/>
    <mergeCell ref="J4:J5"/>
    <mergeCell ref="E10:F11"/>
  </mergeCells>
  <conditionalFormatting sqref="I21 H22:I22 I23">
    <cfRule type="expression" dxfId="821" priority="26">
      <formula>ISNUMBER(SEARCH(TEXT(#REF!,"ddd"),#REF!))</formula>
    </cfRule>
  </conditionalFormatting>
  <conditionalFormatting sqref="B18:C18">
    <cfRule type="expression" dxfId="820" priority="27">
      <formula>ISNUMBER(SEARCH(TEXT(#REF!,"ddd"),#REF!))</formula>
    </cfRule>
  </conditionalFormatting>
  <conditionalFormatting sqref="K21:K25">
    <cfRule type="expression" dxfId="819" priority="28">
      <formula>ISNUMBER(SEARCH(TEXT(#REF!,"ddd"),#REF!))</formula>
    </cfRule>
  </conditionalFormatting>
  <conditionalFormatting sqref="A10:D10">
    <cfRule type="expression" dxfId="818" priority="25">
      <formula>ISNUMBER(SEARCH(TEXT(#REF!,"ddd"),#REF!))</formula>
    </cfRule>
  </conditionalFormatting>
  <conditionalFormatting sqref="B16:C16">
    <cfRule type="expression" dxfId="817" priority="24">
      <formula>ISNUMBER(SEARCH(TEXT(#REF!,"ddd"),#REF!))</formula>
    </cfRule>
  </conditionalFormatting>
  <conditionalFormatting sqref="B20:C20">
    <cfRule type="expression" dxfId="816" priority="22">
      <formula>ISNUMBER(SEARCH(TEXT(#REF!,"ddd"),#REF!))</formula>
    </cfRule>
  </conditionalFormatting>
  <conditionalFormatting sqref="A18">
    <cfRule type="expression" dxfId="815" priority="21">
      <formula>ISNUMBER(SEARCH(TEXT(#REF!,"ddd"),#REF!))</formula>
    </cfRule>
  </conditionalFormatting>
  <conditionalFormatting sqref="D16">
    <cfRule type="expression" dxfId="814" priority="20">
      <formula>ISNUMBER(SEARCH(TEXT(#REF!,"ddd"),#REF!))</formula>
    </cfRule>
  </conditionalFormatting>
  <conditionalFormatting sqref="D18">
    <cfRule type="expression" dxfId="813" priority="19">
      <formula>ISNUMBER(SEARCH(TEXT(#REF!,"ddd"),#REF!))</formula>
    </cfRule>
  </conditionalFormatting>
  <conditionalFormatting sqref="A20">
    <cfRule type="expression" dxfId="812" priority="18">
      <formula>ISNUMBER(SEARCH(TEXT(#REF!,"ddd"),#REF!))</formula>
    </cfRule>
  </conditionalFormatting>
  <conditionalFormatting sqref="A22">
    <cfRule type="expression" dxfId="811" priority="17">
      <formula>ISNUMBER(SEARCH(TEXT(#REF!,"ddd"),#REF!))</formula>
    </cfRule>
  </conditionalFormatting>
  <conditionalFormatting sqref="A24">
    <cfRule type="expression" dxfId="810" priority="16">
      <formula>ISNUMBER(SEARCH(TEXT(#REF!,"ddd"),#REF!))</formula>
    </cfRule>
  </conditionalFormatting>
  <conditionalFormatting sqref="B12:C14">
    <cfRule type="expression" dxfId="809" priority="14">
      <formula>ISNUMBER(SEARCH(TEXT(#REF!,"ddd"),#REF!))</formula>
    </cfRule>
  </conditionalFormatting>
  <conditionalFormatting sqref="D12:D14">
    <cfRule type="expression" dxfId="808" priority="13">
      <formula>ISNUMBER(SEARCH(TEXT(#REF!,"ddd"),#REF!))</formula>
    </cfRule>
  </conditionalFormatting>
  <conditionalFormatting sqref="A12:A14">
    <cfRule type="expression" dxfId="807" priority="11">
      <formula>ISNUMBER(SEARCH(TEXT(#REF!,"ddd"),#REF!))</formula>
    </cfRule>
  </conditionalFormatting>
  <conditionalFormatting sqref="A16">
    <cfRule type="expression" dxfId="806" priority="10">
      <formula>ISNUMBER(SEARCH(TEXT(#REF!,"ddd"),#REF!))</formula>
    </cfRule>
  </conditionalFormatting>
  <conditionalFormatting sqref="A26">
    <cfRule type="expression" dxfId="805" priority="3">
      <formula>ISNUMBER(SEARCH(TEXT(#REF!,"ddd"),#REF!))</formula>
    </cfRule>
  </conditionalFormatting>
  <dataValidations count="2">
    <dataValidation type="custom" allowBlank="1" showInputMessage="1" showErrorMessage="1" sqref="B18:C18 B20:C20 B10 B16:C16 B12:C14" xr:uid="{D12DB365-26C0-467D-BA51-CF9DD7F6B7A3}">
      <formula1>AND($B10&lt;=1,ISNUMBER($B10))</formula1>
    </dataValidation>
    <dataValidation type="custom" allowBlank="1" showInputMessage="1" showErrorMessage="1" sqref="C10" xr:uid="{7E78DF01-FF91-40CE-A111-8CCEE8BE2D67}">
      <formula1>AND($C10&lt;=1,ISNUMBER($C10),($C10&gt;=$B10))</formula1>
    </dataValidation>
  </dataValidations>
  <pageMargins left="0.11811023622047245" right="0" top="0.11811023622047245" bottom="0.15748031496062992" header="0" footer="0"/>
  <pageSetup paperSize="9" scale="49" fitToHeight="0" orientation="portrait" horizontalDpi="4294967293" verticalDpi="4294967293"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572D8-33C0-4FA2-A4DD-3EA15FACE84C}">
  <sheetPr codeName="Sheet21">
    <pageSetUpPr fitToPage="1"/>
  </sheetPr>
  <dimension ref="A1:M63"/>
  <sheetViews>
    <sheetView showGridLines="0" zoomScaleNormal="100" workbookViewId="0">
      <selection activeCell="E20" sqref="E20:F21"/>
    </sheetView>
  </sheetViews>
  <sheetFormatPr baseColWidth="10" defaultColWidth="9" defaultRowHeight="12.75" x14ac:dyDescent="0.2"/>
  <cols>
    <col min="1" max="1" width="14.5" customWidth="1"/>
    <col min="2" max="2" width="8.875" customWidth="1"/>
    <col min="3" max="3" width="11.75" customWidth="1"/>
    <col min="4" max="4" width="11.5" customWidth="1"/>
    <col min="5" max="5" width="22.125" bestFit="1" customWidth="1"/>
    <col min="6" max="7" width="18" bestFit="1" customWidth="1"/>
    <col min="8" max="8" width="8.875" customWidth="1"/>
    <col min="9" max="9" width="11.625" customWidth="1"/>
    <col min="10" max="10" width="9.5" customWidth="1"/>
    <col min="11" max="11" width="12.375" customWidth="1"/>
    <col min="12" max="12" width="17.875" bestFit="1" customWidth="1"/>
    <col min="13" max="13" width="19.25" bestFit="1" customWidth="1"/>
  </cols>
  <sheetData>
    <row r="1" spans="1:13" ht="27" thickTop="1" x14ac:dyDescent="0.4">
      <c r="A1" s="301" t="s">
        <v>20</v>
      </c>
      <c r="B1" s="301"/>
      <c r="C1" s="301"/>
      <c r="D1" s="301"/>
      <c r="E1" s="55">
        <f>WEEKNUM(A10)</f>
        <v>13</v>
      </c>
      <c r="F1" s="83"/>
      <c r="G1" s="57"/>
      <c r="H1" s="84"/>
      <c r="J1" s="1"/>
    </row>
    <row r="2" spans="1:13" s="1" customFormat="1" ht="14.25" customHeight="1" x14ac:dyDescent="0.25">
      <c r="A2" s="49" t="s">
        <v>1</v>
      </c>
      <c r="B2" s="49"/>
      <c r="C2" s="49" t="s">
        <v>2</v>
      </c>
      <c r="D2" s="49"/>
      <c r="E2" s="85" t="s">
        <v>3</v>
      </c>
      <c r="F2" s="54" t="s">
        <v>4</v>
      </c>
      <c r="G2" s="54" t="s">
        <v>5</v>
      </c>
      <c r="H2" s="20"/>
      <c r="I2" s="86"/>
      <c r="J2" s="87"/>
      <c r="M2" s="1" t="s">
        <v>21</v>
      </c>
    </row>
    <row r="3" spans="1:13" ht="16.5" thickBot="1" x14ac:dyDescent="0.25">
      <c r="A3" s="136">
        <f>MIN(A10:A96)</f>
        <v>43913</v>
      </c>
      <c r="B3" s="202"/>
      <c r="C3" s="136">
        <f>MAXA(A10:A96)</f>
        <v>43919</v>
      </c>
      <c r="D3" s="188"/>
      <c r="E3" s="88" t="s">
        <v>6</v>
      </c>
      <c r="F3" s="46">
        <f>Sumcolor(E3,D10:D78)</f>
        <v>0</v>
      </c>
      <c r="G3" s="177">
        <f>SUM(Først:Sist!F3)</f>
        <v>1.0381944444444446</v>
      </c>
      <c r="H3" s="89"/>
      <c r="I3" s="90"/>
      <c r="J3" s="90"/>
      <c r="M3" t="s">
        <v>22</v>
      </c>
    </row>
    <row r="4" spans="1:13" ht="15" customHeight="1" x14ac:dyDescent="0.2">
      <c r="A4" s="293" t="s">
        <v>23</v>
      </c>
      <c r="B4" s="194"/>
      <c r="C4" s="293" t="s">
        <v>24</v>
      </c>
      <c r="D4" s="203"/>
      <c r="E4" s="91" t="s">
        <v>9</v>
      </c>
      <c r="F4" s="46">
        <f>Sumcolor(E4,D10:D78)</f>
        <v>0.34375000000000011</v>
      </c>
      <c r="G4" s="177">
        <f>SUM(Først:Sist!F4)</f>
        <v>8.03125</v>
      </c>
      <c r="H4" s="89"/>
      <c r="I4" s="90"/>
      <c r="J4" s="309"/>
    </row>
    <row r="5" spans="1:13" ht="15.75" x14ac:dyDescent="0.2">
      <c r="A5" s="302"/>
      <c r="B5" s="203"/>
      <c r="C5" s="302"/>
      <c r="D5" s="203"/>
      <c r="E5" s="159" t="s">
        <v>10</v>
      </c>
      <c r="F5" s="46">
        <f>Sumcolor(E5,D10:D78)</f>
        <v>5.2083333333333259E-2</v>
      </c>
      <c r="G5" s="177">
        <f>SUM(Først:Sist!F5)</f>
        <v>1.8090277777777768</v>
      </c>
      <c r="H5" s="89"/>
      <c r="I5" s="90"/>
      <c r="J5" s="309"/>
      <c r="M5" t="s">
        <v>25</v>
      </c>
    </row>
    <row r="6" spans="1:13" ht="18.75" customHeight="1" thickBot="1" x14ac:dyDescent="0.25">
      <c r="A6" s="182">
        <f>SUM(D10:D96)</f>
        <v>0.66319444444444442</v>
      </c>
      <c r="B6" s="51"/>
      <c r="C6" s="82">
        <f>SUM(Først:Sist!A6)</f>
        <v>12.965277777777779</v>
      </c>
      <c r="D6" s="52"/>
      <c r="E6" s="92" t="s">
        <v>11</v>
      </c>
      <c r="F6" s="48">
        <f>Sumcolor(E6,D10:D78)</f>
        <v>0.26736111111111105</v>
      </c>
      <c r="G6" s="178">
        <f>SUM(Først:Sist!F6)</f>
        <v>1.9895833333333335</v>
      </c>
      <c r="H6" s="89"/>
      <c r="I6" s="90"/>
      <c r="J6" s="90"/>
      <c r="M6" t="s">
        <v>26</v>
      </c>
    </row>
    <row r="7" spans="1:13" ht="12.75" customHeight="1" x14ac:dyDescent="0.2">
      <c r="A7" s="19"/>
      <c r="B7" s="23"/>
      <c r="C7" s="24"/>
      <c r="D7" s="93"/>
      <c r="E7" s="23"/>
      <c r="F7" s="23"/>
      <c r="G7" s="25"/>
      <c r="H7" s="25"/>
    </row>
    <row r="8" spans="1:13" x14ac:dyDescent="0.2">
      <c r="A8" s="23"/>
      <c r="B8" s="25"/>
      <c r="C8" s="93"/>
      <c r="D8" s="25"/>
      <c r="E8" s="23"/>
      <c r="F8" s="23"/>
      <c r="G8" s="25"/>
      <c r="H8" s="25"/>
      <c r="M8" t="s">
        <v>27</v>
      </c>
    </row>
    <row r="9" spans="1:13" ht="16.5" thickBot="1" x14ac:dyDescent="0.3">
      <c r="A9" s="49" t="s">
        <v>12</v>
      </c>
      <c r="B9" s="49" t="s">
        <v>13</v>
      </c>
      <c r="C9" s="49" t="s">
        <v>14</v>
      </c>
      <c r="D9" s="49" t="s">
        <v>15</v>
      </c>
      <c r="E9" s="107" t="s">
        <v>16</v>
      </c>
      <c r="F9" s="102"/>
      <c r="G9" s="166" t="s">
        <v>17</v>
      </c>
      <c r="H9" s="25"/>
      <c r="M9" t="s">
        <v>28</v>
      </c>
    </row>
    <row r="10" spans="1:13" ht="15.75" customHeight="1" x14ac:dyDescent="0.2">
      <c r="A10" s="125">
        <f>DATE(2020,3,23)</f>
        <v>43913</v>
      </c>
      <c r="B10" s="160">
        <v>0.58333333333333337</v>
      </c>
      <c r="C10" s="160">
        <v>0.60416666666666663</v>
      </c>
      <c r="D10" s="160">
        <f>(C10-B10)</f>
        <v>2.0833333333333259E-2</v>
      </c>
      <c r="E10" s="319" t="s">
        <v>78</v>
      </c>
      <c r="F10" s="320"/>
      <c r="G10" s="183"/>
      <c r="H10" s="173"/>
    </row>
    <row r="11" spans="1:13" ht="15.75" thickBot="1" x14ac:dyDescent="0.3">
      <c r="A11" s="126"/>
      <c r="B11" s="161"/>
      <c r="C11" s="161"/>
      <c r="D11" s="161"/>
      <c r="E11" s="321"/>
      <c r="F11" s="322"/>
      <c r="G11" s="184"/>
      <c r="H11" s="25"/>
      <c r="M11" t="s">
        <v>30</v>
      </c>
    </row>
    <row r="12" spans="1:13" ht="15.75" customHeight="1" x14ac:dyDescent="0.25">
      <c r="A12" s="132">
        <f>DATE(2020,3,23)</f>
        <v>43913</v>
      </c>
      <c r="B12" s="244">
        <v>0.60763888888888895</v>
      </c>
      <c r="C12" s="244">
        <v>0.64583333333333337</v>
      </c>
      <c r="D12" s="120">
        <f>(C12-B12)</f>
        <v>3.819444444444442E-2</v>
      </c>
      <c r="E12" s="333" t="s">
        <v>142</v>
      </c>
      <c r="F12" s="334"/>
      <c r="G12" s="185"/>
      <c r="M12" t="s">
        <v>32</v>
      </c>
    </row>
    <row r="13" spans="1:13" ht="50.25" customHeight="1" thickBot="1" x14ac:dyDescent="0.3">
      <c r="A13" s="245"/>
      <c r="B13" s="246"/>
      <c r="C13" s="246"/>
      <c r="D13" s="247"/>
      <c r="E13" s="335"/>
      <c r="F13" s="336"/>
      <c r="G13" s="217"/>
    </row>
    <row r="14" spans="1:13" ht="15.75" x14ac:dyDescent="0.25">
      <c r="A14" s="248">
        <f>DATE(2020,3,23)</f>
        <v>43913</v>
      </c>
      <c r="B14" s="249">
        <v>0.72916666666666663</v>
      </c>
      <c r="C14" s="249">
        <v>0.75</v>
      </c>
      <c r="D14" s="174">
        <f>(C14-B14)</f>
        <v>2.083333333333337E-2</v>
      </c>
      <c r="E14" s="333" t="s">
        <v>143</v>
      </c>
      <c r="F14" s="334"/>
      <c r="G14" s="184"/>
    </row>
    <row r="15" spans="1:13" ht="35.25" customHeight="1" thickBot="1" x14ac:dyDescent="0.3">
      <c r="A15" s="250"/>
      <c r="B15" s="251"/>
      <c r="C15" s="251"/>
      <c r="D15" s="251"/>
      <c r="E15" s="335"/>
      <c r="F15" s="336"/>
      <c r="G15" s="186"/>
      <c r="H15" s="5"/>
    </row>
    <row r="16" spans="1:13" ht="15.75" customHeight="1" x14ac:dyDescent="0.25">
      <c r="A16" s="232">
        <f>DATE(2020,3,25)</f>
        <v>43915</v>
      </c>
      <c r="B16" s="163">
        <v>0.5</v>
      </c>
      <c r="C16" s="163">
        <v>0.51041666666666663</v>
      </c>
      <c r="D16" s="160">
        <f>(C16-B16)</f>
        <v>1.041666666666663E-2</v>
      </c>
      <c r="E16" s="319" t="s">
        <v>78</v>
      </c>
      <c r="F16" s="320"/>
      <c r="G16" s="187"/>
      <c r="H16" s="81"/>
      <c r="I16" s="5"/>
    </row>
    <row r="17" spans="1:12" ht="15" customHeight="1" thickBot="1" x14ac:dyDescent="0.3">
      <c r="A17" s="126"/>
      <c r="B17" s="161"/>
      <c r="C17" s="161"/>
      <c r="D17" s="161"/>
      <c r="E17" s="321"/>
      <c r="F17" s="322"/>
      <c r="G17" s="184"/>
      <c r="I17" s="5"/>
    </row>
    <row r="18" spans="1:12" ht="15.75" customHeight="1" x14ac:dyDescent="0.2">
      <c r="A18" s="125">
        <f>DATE(2020,3,27)</f>
        <v>43917</v>
      </c>
      <c r="B18" s="160">
        <v>0.5</v>
      </c>
      <c r="C18" s="160">
        <v>0.52083333333333337</v>
      </c>
      <c r="D18" s="160">
        <f>(C18-B18)</f>
        <v>2.083333333333337E-2</v>
      </c>
      <c r="E18" s="319" t="s">
        <v>78</v>
      </c>
      <c r="F18" s="320"/>
      <c r="G18" s="185"/>
      <c r="I18" s="5"/>
    </row>
    <row r="19" spans="1:12" ht="15.75" customHeight="1" thickBot="1" x14ac:dyDescent="0.3">
      <c r="A19" s="126"/>
      <c r="B19" s="161"/>
      <c r="C19" s="161"/>
      <c r="D19" s="161"/>
      <c r="E19" s="321"/>
      <c r="F19" s="322"/>
      <c r="G19" s="184"/>
      <c r="I19" s="5"/>
    </row>
    <row r="20" spans="1:12" ht="15.75" x14ac:dyDescent="0.2">
      <c r="A20" s="134">
        <f>DATE(2020,3,28)</f>
        <v>43918</v>
      </c>
      <c r="B20" s="123">
        <v>0.5</v>
      </c>
      <c r="C20" s="123">
        <v>0.54166666666666663</v>
      </c>
      <c r="D20" s="123">
        <f>(C20-B20)</f>
        <v>4.166666666666663E-2</v>
      </c>
      <c r="E20" s="327" t="s">
        <v>145</v>
      </c>
      <c r="F20" s="328"/>
      <c r="G20" s="185" t="s">
        <v>144</v>
      </c>
    </row>
    <row r="21" spans="1:12" ht="19.5" customHeight="1" thickBot="1" x14ac:dyDescent="0.25">
      <c r="A21" s="139"/>
      <c r="B21" s="140"/>
      <c r="C21" s="140"/>
      <c r="D21" s="140"/>
      <c r="E21" s="329"/>
      <c r="F21" s="330"/>
      <c r="G21" s="184"/>
      <c r="I21" s="96"/>
      <c r="K21" s="96"/>
    </row>
    <row r="22" spans="1:12" ht="15.75" customHeight="1" x14ac:dyDescent="0.2">
      <c r="A22" s="134">
        <f>DATE(2020,3,28)</f>
        <v>43918</v>
      </c>
      <c r="B22" s="122">
        <v>0.5625</v>
      </c>
      <c r="C22" s="122">
        <v>0.59027777777777779</v>
      </c>
      <c r="D22" s="123">
        <f>(C22-B22)</f>
        <v>2.777777777777779E-2</v>
      </c>
      <c r="E22" s="327" t="s">
        <v>147</v>
      </c>
      <c r="F22" s="328"/>
      <c r="G22" s="185" t="s">
        <v>146</v>
      </c>
      <c r="I22" s="97"/>
      <c r="K22" s="96"/>
      <c r="L22" s="5"/>
    </row>
    <row r="23" spans="1:12" ht="16.5" thickBot="1" x14ac:dyDescent="0.3">
      <c r="A23" s="155"/>
      <c r="B23" s="156"/>
      <c r="C23" s="156"/>
      <c r="D23" s="156"/>
      <c r="E23" s="329"/>
      <c r="F23" s="330"/>
      <c r="G23" s="186"/>
      <c r="I23" s="98"/>
      <c r="K23" s="96"/>
      <c r="L23" s="5"/>
    </row>
    <row r="24" spans="1:12" ht="15.75" customHeight="1" x14ac:dyDescent="0.2">
      <c r="A24" s="132">
        <f>DATE(2020,3,28)</f>
        <v>43918</v>
      </c>
      <c r="B24" s="120">
        <v>0.59722222222222221</v>
      </c>
      <c r="C24" s="120">
        <v>0.625</v>
      </c>
      <c r="D24" s="120">
        <f>(C24-B24)</f>
        <v>2.777777777777779E-2</v>
      </c>
      <c r="E24" s="333" t="s">
        <v>148</v>
      </c>
      <c r="F24" s="334"/>
      <c r="G24" s="184"/>
      <c r="H24" s="218"/>
      <c r="K24" s="96"/>
      <c r="L24" s="5"/>
    </row>
    <row r="25" spans="1:12" ht="18" customHeight="1" thickBot="1" x14ac:dyDescent="0.25">
      <c r="A25" s="207"/>
      <c r="B25" s="208"/>
      <c r="C25" s="208"/>
      <c r="D25" s="208"/>
      <c r="E25" s="335"/>
      <c r="F25" s="336"/>
      <c r="G25" s="186"/>
      <c r="H25" s="219"/>
      <c r="K25" s="97"/>
      <c r="L25" s="5"/>
    </row>
    <row r="26" spans="1:12" ht="15.75" customHeight="1" x14ac:dyDescent="0.2">
      <c r="A26" s="134">
        <f>DATE(2020,3,28)</f>
        <v>43918</v>
      </c>
      <c r="B26" s="122">
        <v>0.75</v>
      </c>
      <c r="C26" s="122">
        <v>0.79166666666666663</v>
      </c>
      <c r="D26" s="123">
        <f>(C26-B26)</f>
        <v>4.166666666666663E-2</v>
      </c>
      <c r="E26" s="327" t="s">
        <v>147</v>
      </c>
      <c r="F26" s="328"/>
      <c r="G26" s="185" t="s">
        <v>146</v>
      </c>
      <c r="H26" s="218"/>
      <c r="K26" s="99"/>
    </row>
    <row r="27" spans="1:12" ht="16.5" thickBot="1" x14ac:dyDescent="0.3">
      <c r="A27" s="135"/>
      <c r="B27" s="124"/>
      <c r="C27" s="124"/>
      <c r="D27" s="124"/>
      <c r="E27" s="329"/>
      <c r="F27" s="330"/>
      <c r="G27" s="186"/>
      <c r="H27" s="220"/>
      <c r="K27" s="90"/>
    </row>
    <row r="28" spans="1:12" ht="15.75" customHeight="1" x14ac:dyDescent="0.2">
      <c r="A28" s="132">
        <f>DATE(2020,3,28)</f>
        <v>43918</v>
      </c>
      <c r="B28" s="119">
        <v>0.79166666666666663</v>
      </c>
      <c r="C28" s="119">
        <v>0.85416666666666663</v>
      </c>
      <c r="D28" s="120">
        <f>(C28-B28)</f>
        <v>6.25E-2</v>
      </c>
      <c r="E28" s="333" t="s">
        <v>149</v>
      </c>
      <c r="F28" s="334"/>
      <c r="G28" s="184"/>
      <c r="H28" s="29"/>
      <c r="K28" s="5"/>
    </row>
    <row r="29" spans="1:12" ht="16.5" thickBot="1" x14ac:dyDescent="0.3">
      <c r="A29" s="133"/>
      <c r="B29" s="121"/>
      <c r="C29" s="121"/>
      <c r="D29" s="121"/>
      <c r="E29" s="335"/>
      <c r="F29" s="336"/>
      <c r="G29" s="186"/>
    </row>
    <row r="30" spans="1:12" ht="15.75" customHeight="1" x14ac:dyDescent="0.2">
      <c r="A30" s="134">
        <f>DATE(2020,3,29)</f>
        <v>43919</v>
      </c>
      <c r="B30" s="122">
        <v>0.5</v>
      </c>
      <c r="C30" s="122">
        <v>0.64583333333333337</v>
      </c>
      <c r="D30" s="123">
        <f>(C30-B30)</f>
        <v>0.14583333333333337</v>
      </c>
      <c r="E30" s="327" t="s">
        <v>150</v>
      </c>
      <c r="F30" s="328"/>
      <c r="G30" s="184" t="s">
        <v>146</v>
      </c>
    </row>
    <row r="31" spans="1:12" ht="35.25" customHeight="1" thickBot="1" x14ac:dyDescent="0.3">
      <c r="A31" s="135"/>
      <c r="B31" s="124"/>
      <c r="C31" s="124"/>
      <c r="D31" s="124"/>
      <c r="E31" s="329"/>
      <c r="F31" s="330"/>
      <c r="G31" s="186"/>
    </row>
    <row r="32" spans="1:12" ht="15.75" customHeight="1" x14ac:dyDescent="0.2">
      <c r="A32" s="134">
        <f>DATE(2020,3,29)</f>
        <v>43919</v>
      </c>
      <c r="B32" s="122">
        <v>0.66666666666666663</v>
      </c>
      <c r="C32" s="122">
        <v>0.72916666666666663</v>
      </c>
      <c r="D32" s="123">
        <f>(C32-B32)</f>
        <v>6.25E-2</v>
      </c>
      <c r="E32" s="327" t="s">
        <v>151</v>
      </c>
      <c r="F32" s="328"/>
      <c r="G32" s="184" t="s">
        <v>146</v>
      </c>
    </row>
    <row r="33" spans="1:11" ht="15.75" customHeight="1" thickBot="1" x14ac:dyDescent="0.3">
      <c r="A33" s="135"/>
      <c r="B33" s="124"/>
      <c r="C33" s="124"/>
      <c r="D33" s="124"/>
      <c r="E33" s="329"/>
      <c r="F33" s="330"/>
      <c r="G33" s="186"/>
    </row>
    <row r="34" spans="1:11" ht="15.75" customHeight="1" x14ac:dyDescent="0.2">
      <c r="A34" s="134">
        <f>DATE(2020,3,29)</f>
        <v>43919</v>
      </c>
      <c r="B34" s="122">
        <v>0.73263888888888884</v>
      </c>
      <c r="C34" s="122">
        <v>0.75694444444444453</v>
      </c>
      <c r="D34" s="123">
        <f>(C34-B34)</f>
        <v>2.4305555555555691E-2</v>
      </c>
      <c r="E34" s="327" t="s">
        <v>151</v>
      </c>
      <c r="F34" s="328"/>
      <c r="G34" s="184" t="s">
        <v>146</v>
      </c>
    </row>
    <row r="35" spans="1:11" ht="42" customHeight="1" thickBot="1" x14ac:dyDescent="0.3">
      <c r="A35" s="135"/>
      <c r="B35" s="124"/>
      <c r="C35" s="124"/>
      <c r="D35" s="124"/>
      <c r="E35" s="329"/>
      <c r="F35" s="330"/>
      <c r="G35" s="186"/>
    </row>
    <row r="36" spans="1:11" ht="15.75" customHeight="1" x14ac:dyDescent="0.2">
      <c r="A36" s="132">
        <f>DATE(2020,3,29)</f>
        <v>43919</v>
      </c>
      <c r="B36" s="119">
        <v>0.75694444444444453</v>
      </c>
      <c r="C36" s="119">
        <v>0.76388888888888884</v>
      </c>
      <c r="D36" s="120">
        <f>(C36-B36)</f>
        <v>6.9444444444443088E-3</v>
      </c>
      <c r="E36" s="333" t="s">
        <v>152</v>
      </c>
      <c r="F36" s="334"/>
      <c r="G36" s="184"/>
    </row>
    <row r="37" spans="1:11" ht="15.75" customHeight="1" thickBot="1" x14ac:dyDescent="0.3">
      <c r="A37" s="133"/>
      <c r="B37" s="121"/>
      <c r="C37" s="121"/>
      <c r="D37" s="121"/>
      <c r="E37" s="335"/>
      <c r="F37" s="336"/>
      <c r="G37" s="186"/>
    </row>
    <row r="38" spans="1:11" ht="15.75" customHeight="1" x14ac:dyDescent="0.2">
      <c r="A38" s="132">
        <f>DATE(2020,3,29)</f>
        <v>43919</v>
      </c>
      <c r="B38" s="119">
        <v>0.76388888888888884</v>
      </c>
      <c r="C38" s="119">
        <v>0.79166666666666663</v>
      </c>
      <c r="D38" s="120">
        <f>(C38-B38)</f>
        <v>2.777777777777779E-2</v>
      </c>
      <c r="E38" s="333" t="s">
        <v>153</v>
      </c>
      <c r="F38" s="334"/>
      <c r="G38" s="184"/>
    </row>
    <row r="39" spans="1:11" ht="54" customHeight="1" thickBot="1" x14ac:dyDescent="0.3">
      <c r="A39" s="133"/>
      <c r="B39" s="121"/>
      <c r="C39" s="121"/>
      <c r="D39" s="121"/>
      <c r="E39" s="335"/>
      <c r="F39" s="336"/>
      <c r="G39" s="186"/>
    </row>
    <row r="40" spans="1:11" ht="15.75" x14ac:dyDescent="0.2">
      <c r="A40" s="132">
        <f>DATE(2020,3,29)</f>
        <v>43919</v>
      </c>
      <c r="B40" s="119">
        <v>0.875</v>
      </c>
      <c r="C40" s="119">
        <v>0.95833333333333337</v>
      </c>
      <c r="D40" s="120">
        <f>(C40-B40)</f>
        <v>8.333333333333337E-2</v>
      </c>
      <c r="E40" s="333" t="s">
        <v>154</v>
      </c>
      <c r="F40" s="334"/>
      <c r="G40" s="184"/>
    </row>
    <row r="41" spans="1:11" ht="32.25" customHeight="1" thickBot="1" x14ac:dyDescent="0.3">
      <c r="A41" s="133"/>
      <c r="B41" s="121"/>
      <c r="C41" s="121"/>
      <c r="D41" s="121"/>
      <c r="E41" s="335"/>
      <c r="F41" s="336"/>
      <c r="G41" s="186"/>
    </row>
    <row r="42" spans="1:11" ht="24" thickBot="1" x14ac:dyDescent="0.4">
      <c r="A42" s="101" t="s">
        <v>18</v>
      </c>
      <c r="B42" s="101"/>
      <c r="C42" s="27"/>
      <c r="D42" s="27"/>
      <c r="E42" s="27"/>
      <c r="F42" s="102"/>
      <c r="G42" s="102"/>
    </row>
    <row r="43" spans="1:11" x14ac:dyDescent="0.2">
      <c r="B43" s="103"/>
      <c r="C43" s="104"/>
      <c r="D43" s="105"/>
      <c r="E43" s="106"/>
      <c r="K43" s="180"/>
    </row>
    <row r="44" spans="1:11" ht="12.75" customHeight="1" x14ac:dyDescent="0.2">
      <c r="A44" s="314"/>
      <c r="B44" s="314"/>
      <c r="C44" s="314"/>
      <c r="D44" s="314"/>
      <c r="E44" s="314"/>
      <c r="F44" s="314"/>
      <c r="G44" s="314"/>
      <c r="H44" s="5"/>
      <c r="K44" s="180"/>
    </row>
    <row r="45" spans="1:11" ht="12.75" customHeight="1" x14ac:dyDescent="0.2">
      <c r="A45" s="314"/>
      <c r="B45" s="314"/>
      <c r="C45" s="314"/>
      <c r="D45" s="314"/>
      <c r="E45" s="314"/>
      <c r="F45" s="314"/>
      <c r="G45" s="314"/>
      <c r="H45" s="5"/>
      <c r="K45" s="180"/>
    </row>
    <row r="46" spans="1:11" ht="12.75" customHeight="1" x14ac:dyDescent="0.2">
      <c r="A46" s="314"/>
      <c r="B46" s="314"/>
      <c r="C46" s="314"/>
      <c r="D46" s="314"/>
      <c r="E46" s="314"/>
      <c r="F46" s="314"/>
      <c r="G46" s="314"/>
      <c r="H46" s="5"/>
      <c r="K46" s="180"/>
    </row>
    <row r="47" spans="1:11" ht="12.75" customHeight="1" x14ac:dyDescent="0.2">
      <c r="A47" s="314"/>
      <c r="B47" s="314"/>
      <c r="C47" s="314"/>
      <c r="D47" s="314"/>
      <c r="E47" s="314"/>
      <c r="F47" s="314"/>
      <c r="G47" s="314"/>
      <c r="H47" s="5"/>
      <c r="K47" s="180"/>
    </row>
    <row r="48" spans="1:11" ht="12.75" customHeight="1" x14ac:dyDescent="0.2">
      <c r="A48" s="314"/>
      <c r="B48" s="314"/>
      <c r="C48" s="314"/>
      <c r="D48" s="314"/>
      <c r="E48" s="314"/>
      <c r="F48" s="314"/>
      <c r="G48" s="314"/>
      <c r="H48" s="5"/>
      <c r="K48" s="180"/>
    </row>
    <row r="49" spans="1:11" ht="12.75" customHeight="1" x14ac:dyDescent="0.2">
      <c r="A49" s="314"/>
      <c r="B49" s="314"/>
      <c r="C49" s="314"/>
      <c r="D49" s="314"/>
      <c r="E49" s="314"/>
      <c r="F49" s="314"/>
      <c r="G49" s="314"/>
      <c r="H49" s="5"/>
      <c r="K49" s="180"/>
    </row>
    <row r="50" spans="1:11" ht="12.75" customHeight="1" x14ac:dyDescent="0.2">
      <c r="A50" s="314"/>
      <c r="B50" s="314"/>
      <c r="C50" s="314"/>
      <c r="D50" s="314"/>
      <c r="E50" s="314"/>
      <c r="F50" s="314"/>
      <c r="G50" s="314"/>
      <c r="H50" s="5"/>
      <c r="K50" s="252"/>
    </row>
    <row r="51" spans="1:11" ht="12.75" customHeight="1" x14ac:dyDescent="0.2">
      <c r="A51" s="314"/>
      <c r="B51" s="314"/>
      <c r="C51" s="314"/>
      <c r="D51" s="314"/>
      <c r="E51" s="314"/>
      <c r="F51" s="314"/>
      <c r="G51" s="314"/>
      <c r="H51" s="5"/>
    </row>
    <row r="52" spans="1:11" ht="12.75" customHeight="1" x14ac:dyDescent="0.2">
      <c r="A52" s="314"/>
      <c r="B52" s="314"/>
      <c r="C52" s="314"/>
      <c r="D52" s="314"/>
      <c r="E52" s="314"/>
      <c r="F52" s="314"/>
      <c r="G52" s="314"/>
      <c r="H52" s="5"/>
    </row>
    <row r="53" spans="1:11" ht="12.75" customHeight="1" x14ac:dyDescent="0.2">
      <c r="A53" s="314"/>
      <c r="B53" s="314"/>
      <c r="C53" s="314"/>
      <c r="D53" s="314"/>
      <c r="E53" s="314"/>
      <c r="F53" s="314"/>
      <c r="G53" s="314"/>
      <c r="H53" s="5"/>
    </row>
    <row r="54" spans="1:11" ht="12.75" customHeight="1" x14ac:dyDescent="0.2">
      <c r="A54" s="314"/>
      <c r="B54" s="314"/>
      <c r="C54" s="314"/>
      <c r="D54" s="314"/>
      <c r="E54" s="314"/>
      <c r="F54" s="314"/>
      <c r="G54" s="314"/>
      <c r="H54" s="5"/>
    </row>
    <row r="55" spans="1:11" ht="12.75" customHeight="1" x14ac:dyDescent="0.2">
      <c r="A55" s="314"/>
      <c r="B55" s="314"/>
      <c r="C55" s="314"/>
      <c r="D55" s="314"/>
      <c r="E55" s="314"/>
      <c r="F55" s="314"/>
      <c r="G55" s="314"/>
      <c r="H55" s="5"/>
    </row>
    <row r="56" spans="1:11" ht="12.75" customHeight="1" x14ac:dyDescent="0.2">
      <c r="A56" s="314"/>
      <c r="B56" s="314"/>
      <c r="C56" s="314"/>
      <c r="D56" s="314"/>
      <c r="E56" s="314"/>
      <c r="F56" s="314"/>
      <c r="G56" s="314"/>
      <c r="H56" s="5"/>
    </row>
    <row r="57" spans="1:11" ht="12.75" customHeight="1" x14ac:dyDescent="0.2">
      <c r="A57" s="5"/>
      <c r="B57" s="5"/>
      <c r="C57" s="5"/>
      <c r="D57" s="5"/>
      <c r="E57" s="5"/>
      <c r="F57" s="5"/>
      <c r="G57" s="5"/>
      <c r="H57" s="5"/>
    </row>
    <row r="58" spans="1:11" ht="12.75" customHeight="1" x14ac:dyDescent="0.2">
      <c r="A58" s="5"/>
      <c r="B58" s="5"/>
      <c r="C58" s="5"/>
      <c r="D58" s="5"/>
      <c r="E58" s="5"/>
      <c r="F58" s="5"/>
      <c r="G58" s="5"/>
      <c r="H58" s="5"/>
    </row>
    <row r="59" spans="1:11" ht="12.75" customHeight="1" x14ac:dyDescent="0.2">
      <c r="A59" s="5"/>
      <c r="B59" s="5"/>
      <c r="C59" s="5"/>
      <c r="D59" s="5"/>
      <c r="E59" s="5"/>
      <c r="F59" s="5"/>
      <c r="G59" s="5"/>
      <c r="H59" s="5"/>
    </row>
    <row r="60" spans="1:11" x14ac:dyDescent="0.2">
      <c r="A60" s="5"/>
      <c r="B60" s="5"/>
      <c r="C60" s="5"/>
      <c r="D60" s="5"/>
      <c r="E60" s="5"/>
      <c r="F60" s="5"/>
      <c r="G60" s="5"/>
      <c r="H60" s="5"/>
    </row>
    <row r="61" spans="1:11" ht="12.75" customHeight="1" x14ac:dyDescent="0.2">
      <c r="A61" s="5"/>
      <c r="B61" s="5"/>
      <c r="C61" s="5"/>
      <c r="D61" s="5"/>
      <c r="E61" s="5"/>
      <c r="F61" s="5"/>
      <c r="G61" s="5"/>
      <c r="H61" s="5"/>
    </row>
    <row r="62" spans="1:11" ht="12.75" customHeight="1" x14ac:dyDescent="0.2"/>
    <row r="63" spans="1:11" ht="12.75" customHeight="1" x14ac:dyDescent="0.2"/>
  </sheetData>
  <mergeCells count="21">
    <mergeCell ref="E36:F37"/>
    <mergeCell ref="E38:F39"/>
    <mergeCell ref="E40:F41"/>
    <mergeCell ref="A44:G56"/>
    <mergeCell ref="E34:F35"/>
    <mergeCell ref="E14:F15"/>
    <mergeCell ref="E16:F17"/>
    <mergeCell ref="E18:F19"/>
    <mergeCell ref="E20:F21"/>
    <mergeCell ref="E22:F23"/>
    <mergeCell ref="E24:F25"/>
    <mergeCell ref="E26:F27"/>
    <mergeCell ref="E28:F29"/>
    <mergeCell ref="E30:F31"/>
    <mergeCell ref="E32:F33"/>
    <mergeCell ref="E12:F13"/>
    <mergeCell ref="A1:D1"/>
    <mergeCell ref="A4:A5"/>
    <mergeCell ref="C4:C5"/>
    <mergeCell ref="J4:J5"/>
    <mergeCell ref="E10:F11"/>
  </mergeCells>
  <conditionalFormatting sqref="I21 H24">
    <cfRule type="expression" dxfId="804" priority="29">
      <formula>ISNUMBER(SEARCH(TEXT(#REF!,"ddd"),#REF!))</formula>
    </cfRule>
  </conditionalFormatting>
  <conditionalFormatting sqref="B18:C18">
    <cfRule type="expression" dxfId="803" priority="30">
      <formula>ISNUMBER(SEARCH(TEXT(#REF!,"ddd"),#REF!))</formula>
    </cfRule>
  </conditionalFormatting>
  <conditionalFormatting sqref="K21:K24">
    <cfRule type="expression" dxfId="802" priority="31">
      <formula>ISNUMBER(SEARCH(TEXT(#REF!,"ddd"),#REF!))</formula>
    </cfRule>
  </conditionalFormatting>
  <conditionalFormatting sqref="A10:D10">
    <cfRule type="expression" dxfId="801" priority="28">
      <formula>ISNUMBER(SEARCH(TEXT(#REF!,"ddd"),#REF!))</formula>
    </cfRule>
  </conditionalFormatting>
  <conditionalFormatting sqref="B16:C16">
    <cfRule type="expression" dxfId="800" priority="27">
      <formula>ISNUMBER(SEARCH(TEXT(#REF!,"ddd"),#REF!))</formula>
    </cfRule>
  </conditionalFormatting>
  <conditionalFormatting sqref="B24:C24">
    <cfRule type="expression" dxfId="799" priority="26">
      <formula>ISNUMBER(SEARCH(TEXT(#REF!,"ddd"),#REF!))</formula>
    </cfRule>
  </conditionalFormatting>
  <conditionalFormatting sqref="B20:C20">
    <cfRule type="expression" dxfId="798" priority="25">
      <formula>ISNUMBER(SEARCH(TEXT(#REF!,"ddd"),#REF!))</formula>
    </cfRule>
  </conditionalFormatting>
  <conditionalFormatting sqref="A18">
    <cfRule type="expression" dxfId="797" priority="24">
      <formula>ISNUMBER(SEARCH(TEXT(#REF!,"ddd"),#REF!))</formula>
    </cfRule>
  </conditionalFormatting>
  <conditionalFormatting sqref="D16">
    <cfRule type="expression" dxfId="796" priority="23">
      <formula>ISNUMBER(SEARCH(TEXT(#REF!,"ddd"),#REF!))</formula>
    </cfRule>
  </conditionalFormatting>
  <conditionalFormatting sqref="D18">
    <cfRule type="expression" dxfId="795" priority="22">
      <formula>ISNUMBER(SEARCH(TEXT(#REF!,"ddd"),#REF!))</formula>
    </cfRule>
  </conditionalFormatting>
  <conditionalFormatting sqref="A20">
    <cfRule type="expression" dxfId="794" priority="21">
      <formula>ISNUMBER(SEARCH(TEXT(#REF!,"ddd"),#REF!))</formula>
    </cfRule>
  </conditionalFormatting>
  <conditionalFormatting sqref="B12:C14">
    <cfRule type="expression" dxfId="793" priority="17">
      <formula>ISNUMBER(SEARCH(TEXT(#REF!,"ddd"),#REF!))</formula>
    </cfRule>
  </conditionalFormatting>
  <conditionalFormatting sqref="D12:D14">
    <cfRule type="expression" dxfId="792" priority="16">
      <formula>ISNUMBER(SEARCH(TEXT(#REF!,"ddd"),#REF!))</formula>
    </cfRule>
  </conditionalFormatting>
  <conditionalFormatting sqref="A26">
    <cfRule type="expression" dxfId="791" priority="15">
      <formula>ISNUMBER(SEARCH(TEXT(#REF!,"ddd"),#REF!))</formula>
    </cfRule>
  </conditionalFormatting>
  <conditionalFormatting sqref="A12:A14">
    <cfRule type="expression" dxfId="790" priority="14">
      <formula>ISNUMBER(SEARCH(TEXT(#REF!,"ddd"),#REF!))</formula>
    </cfRule>
  </conditionalFormatting>
  <conditionalFormatting sqref="A16">
    <cfRule type="expression" dxfId="789" priority="13">
      <formula>ISNUMBER(SEARCH(TEXT(#REF!,"ddd"),#REF!))</formula>
    </cfRule>
  </conditionalFormatting>
  <conditionalFormatting sqref="H26">
    <cfRule type="expression" dxfId="788" priority="12">
      <formula>ISNUMBER(SEARCH(TEXT(#REF!,"ddd"),#REF!))</formula>
    </cfRule>
  </conditionalFormatting>
  <conditionalFormatting sqref="A28">
    <cfRule type="expression" dxfId="787" priority="11">
      <formula>ISNUMBER(SEARCH(TEXT(#REF!,"ddd"),#REF!))</formula>
    </cfRule>
  </conditionalFormatting>
  <conditionalFormatting sqref="A30">
    <cfRule type="expression" dxfId="786" priority="10">
      <formula>ISNUMBER(SEARCH(TEXT(#REF!,"ddd"),#REF!))</formula>
    </cfRule>
  </conditionalFormatting>
  <conditionalFormatting sqref="A32">
    <cfRule type="expression" dxfId="785" priority="9">
      <formula>ISNUMBER(SEARCH(TEXT(#REF!,"ddd"),#REF!))</formula>
    </cfRule>
  </conditionalFormatting>
  <conditionalFormatting sqref="A36">
    <cfRule type="expression" dxfId="784" priority="7">
      <formula>ISNUMBER(SEARCH(TEXT(#REF!,"ddd"),#REF!))</formula>
    </cfRule>
  </conditionalFormatting>
  <conditionalFormatting sqref="A40">
    <cfRule type="expression" dxfId="783" priority="5">
      <formula>ISNUMBER(SEARCH(TEXT(#REF!,"ddd"),#REF!))</formula>
    </cfRule>
  </conditionalFormatting>
  <conditionalFormatting sqref="A38">
    <cfRule type="expression" dxfId="782" priority="4">
      <formula>ISNUMBER(SEARCH(TEXT(#REF!,"ddd"),#REF!))</formula>
    </cfRule>
  </conditionalFormatting>
  <conditionalFormatting sqref="A22">
    <cfRule type="expression" dxfId="781" priority="3">
      <formula>ISNUMBER(SEARCH(TEXT(#REF!,"ddd"),#REF!))</formula>
    </cfRule>
  </conditionalFormatting>
  <conditionalFormatting sqref="A24">
    <cfRule type="expression" dxfId="780" priority="2">
      <formula>ISNUMBER(SEARCH(TEXT(#REF!,"ddd"),#REF!))</formula>
    </cfRule>
  </conditionalFormatting>
  <conditionalFormatting sqref="A34">
    <cfRule type="expression" dxfId="779" priority="1">
      <formula>ISNUMBER(SEARCH(TEXT(#REF!,"ddd"),#REF!))</formula>
    </cfRule>
  </conditionalFormatting>
  <dataValidations disablePrompts="1" count="2">
    <dataValidation type="custom" allowBlank="1" showInputMessage="1" showErrorMessage="1" sqref="C10" xr:uid="{CFD3C234-2AE1-44AD-AD5C-EAA1B1884CE4}">
      <formula1>AND($C10&lt;=1,ISNUMBER($C10),($C10&gt;=$B10))</formula1>
    </dataValidation>
    <dataValidation type="custom" allowBlank="1" showInputMessage="1" showErrorMessage="1" sqref="B18:C18 B20:C20 B24:C24 B10 B16:C16 B12:C14" xr:uid="{CD45354E-2033-4536-A28B-B557C05CB1CD}">
      <formula1>AND($B10&lt;=1,ISNUMBER($B10))</formula1>
    </dataValidation>
  </dataValidations>
  <pageMargins left="0.11811023622047245" right="0" top="0.11811023622047245" bottom="0.15748031496062992" header="0" footer="0"/>
  <pageSetup paperSize="9" scale="49" fitToHeight="0" orientation="portrait" horizontalDpi="4294967293" verticalDpi="4294967293"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EBECE-FF8D-43B6-815F-7DE5FE67155B}">
  <sheetPr codeName="Sheet22">
    <pageSetUpPr fitToPage="1"/>
  </sheetPr>
  <dimension ref="A1:M79"/>
  <sheetViews>
    <sheetView showGridLines="0" topLeftCell="A4" zoomScale="85" zoomScaleNormal="85" workbookViewId="0">
      <selection activeCell="E4" sqref="E4"/>
    </sheetView>
  </sheetViews>
  <sheetFormatPr baseColWidth="10" defaultColWidth="9" defaultRowHeight="12.75" x14ac:dyDescent="0.2"/>
  <cols>
    <col min="1" max="1" width="14.5" customWidth="1"/>
    <col min="2" max="2" width="8.875" customWidth="1"/>
    <col min="3" max="3" width="11.75" customWidth="1"/>
    <col min="4" max="4" width="11.5" customWidth="1"/>
    <col min="5" max="5" width="22.125" bestFit="1" customWidth="1"/>
    <col min="6" max="7" width="18" bestFit="1" customWidth="1"/>
    <col min="8" max="8" width="8.875" customWidth="1"/>
    <col min="9" max="9" width="11.625" customWidth="1"/>
    <col min="10" max="10" width="9.5" customWidth="1"/>
    <col min="11" max="11" width="12.375" customWidth="1"/>
    <col min="12" max="12" width="17.875" bestFit="1" customWidth="1"/>
    <col min="13" max="13" width="19.25" bestFit="1" customWidth="1"/>
  </cols>
  <sheetData>
    <row r="1" spans="1:13" ht="27" thickTop="1" x14ac:dyDescent="0.4">
      <c r="A1" s="301" t="s">
        <v>20</v>
      </c>
      <c r="B1" s="301"/>
      <c r="C1" s="301"/>
      <c r="D1" s="301"/>
      <c r="E1" s="55">
        <f>WEEKNUM(A10)</f>
        <v>14</v>
      </c>
      <c r="F1" s="83"/>
      <c r="G1" s="57"/>
      <c r="H1" s="84"/>
      <c r="J1" s="1"/>
    </row>
    <row r="2" spans="1:13" s="1" customFormat="1" ht="14.25" customHeight="1" x14ac:dyDescent="0.25">
      <c r="A2" s="49" t="s">
        <v>1</v>
      </c>
      <c r="B2" s="49"/>
      <c r="C2" s="49" t="s">
        <v>2</v>
      </c>
      <c r="D2" s="49"/>
      <c r="E2" s="85" t="s">
        <v>3</v>
      </c>
      <c r="F2" s="54" t="s">
        <v>4</v>
      </c>
      <c r="G2" s="54" t="s">
        <v>5</v>
      </c>
      <c r="H2" s="20"/>
      <c r="I2" s="86"/>
      <c r="J2" s="87"/>
      <c r="M2" s="1" t="s">
        <v>21</v>
      </c>
    </row>
    <row r="3" spans="1:13" ht="16.5" thickBot="1" x14ac:dyDescent="0.25">
      <c r="A3" s="136">
        <f>MIN(A10:A112)</f>
        <v>43920</v>
      </c>
      <c r="B3" s="202"/>
      <c r="C3" s="136">
        <f>MAXA(A10:A112)</f>
        <v>43926</v>
      </c>
      <c r="D3" s="188"/>
      <c r="E3" s="88" t="s">
        <v>6</v>
      </c>
      <c r="F3" s="46">
        <f>Sumcolor(E3,D10:D94)</f>
        <v>2.7777777777777901E-2</v>
      </c>
      <c r="G3" s="177">
        <f>SUM(Først:Sist!F3)</f>
        <v>1.0381944444444446</v>
      </c>
      <c r="H3" s="89"/>
      <c r="I3" s="90"/>
      <c r="J3" s="90"/>
      <c r="M3" t="s">
        <v>22</v>
      </c>
    </row>
    <row r="4" spans="1:13" ht="15" customHeight="1" x14ac:dyDescent="0.2">
      <c r="A4" s="293" t="s">
        <v>23</v>
      </c>
      <c r="B4" s="194"/>
      <c r="C4" s="293" t="s">
        <v>24</v>
      </c>
      <c r="D4" s="203"/>
      <c r="E4" s="91" t="s">
        <v>9</v>
      </c>
      <c r="F4" s="46">
        <f>Sumcolor(E4,D10:D94)</f>
        <v>0.77777777777777724</v>
      </c>
      <c r="G4" s="177">
        <f>SUM(Først:Sist!F4)</f>
        <v>8.03125</v>
      </c>
      <c r="H4" s="89"/>
      <c r="I4" s="90"/>
      <c r="J4" s="309"/>
    </row>
    <row r="5" spans="1:13" ht="15.75" x14ac:dyDescent="0.2">
      <c r="A5" s="302"/>
      <c r="B5" s="203"/>
      <c r="C5" s="302"/>
      <c r="D5" s="203"/>
      <c r="E5" s="159" t="s">
        <v>10</v>
      </c>
      <c r="F5" s="46">
        <f>Sumcolor(E5,D10:D94)</f>
        <v>9.7222222222222099E-2</v>
      </c>
      <c r="G5" s="177">
        <f>SUM(Først:Sist!F5)</f>
        <v>1.8090277777777768</v>
      </c>
      <c r="H5" s="89"/>
      <c r="I5" s="90"/>
      <c r="J5" s="309"/>
      <c r="M5" t="s">
        <v>25</v>
      </c>
    </row>
    <row r="6" spans="1:13" ht="18.75" customHeight="1" thickBot="1" x14ac:dyDescent="0.25">
      <c r="A6" s="182">
        <f>SUM(D10:D112)</f>
        <v>0.99999999999999944</v>
      </c>
      <c r="B6" s="51"/>
      <c r="C6" s="82">
        <f>SUM(Først:Sist!A6)</f>
        <v>12.965277777777779</v>
      </c>
      <c r="D6" s="52"/>
      <c r="E6" s="92" t="s">
        <v>11</v>
      </c>
      <c r="F6" s="48">
        <f>Sumcolor(E6,D10:D94)</f>
        <v>9.722222222222221E-2</v>
      </c>
      <c r="G6" s="178">
        <f>SUM(Først:Sist!F6)</f>
        <v>1.9895833333333335</v>
      </c>
      <c r="H6" s="89"/>
      <c r="I6" s="90"/>
      <c r="J6" s="90"/>
      <c r="M6" t="s">
        <v>26</v>
      </c>
    </row>
    <row r="7" spans="1:13" ht="12.75" customHeight="1" x14ac:dyDescent="0.2">
      <c r="A7" s="19"/>
      <c r="B7" s="23"/>
      <c r="C7" s="24"/>
      <c r="D7" s="93"/>
      <c r="E7" s="23"/>
      <c r="F7" s="23"/>
      <c r="G7" s="25"/>
      <c r="H7" s="25"/>
    </row>
    <row r="8" spans="1:13" x14ac:dyDescent="0.2">
      <c r="A8" s="23"/>
      <c r="B8" s="25"/>
      <c r="C8" s="93"/>
      <c r="D8" s="25"/>
      <c r="E8" s="23"/>
      <c r="F8" s="23"/>
      <c r="G8" s="25"/>
      <c r="H8" s="25"/>
      <c r="M8" t="s">
        <v>27</v>
      </c>
    </row>
    <row r="9" spans="1:13" ht="16.5" thickBot="1" x14ac:dyDescent="0.3">
      <c r="A9" s="49" t="s">
        <v>12</v>
      </c>
      <c r="B9" s="49" t="s">
        <v>13</v>
      </c>
      <c r="C9" s="49" t="s">
        <v>14</v>
      </c>
      <c r="D9" s="49" t="s">
        <v>15</v>
      </c>
      <c r="E9" s="107" t="s">
        <v>16</v>
      </c>
      <c r="F9" s="102"/>
      <c r="G9" s="166" t="s">
        <v>17</v>
      </c>
      <c r="H9" s="25"/>
      <c r="M9" t="s">
        <v>28</v>
      </c>
    </row>
    <row r="10" spans="1:13" ht="15.75" customHeight="1" x14ac:dyDescent="0.2">
      <c r="A10" s="125">
        <f>DATE(2020,3,30)</f>
        <v>43920</v>
      </c>
      <c r="B10" s="160">
        <v>0.58680555555555558</v>
      </c>
      <c r="C10" s="160">
        <v>0.59722222222222221</v>
      </c>
      <c r="D10" s="160">
        <f>(C10-B10)</f>
        <v>1.041666666666663E-2</v>
      </c>
      <c r="E10" s="319" t="s">
        <v>78</v>
      </c>
      <c r="F10" s="320"/>
      <c r="G10" s="183"/>
      <c r="H10" s="173"/>
    </row>
    <row r="11" spans="1:13" ht="15.75" thickBot="1" x14ac:dyDescent="0.3">
      <c r="A11" s="126"/>
      <c r="B11" s="161"/>
      <c r="C11" s="161"/>
      <c r="D11" s="161"/>
      <c r="E11" s="321"/>
      <c r="F11" s="322"/>
      <c r="G11" s="184"/>
      <c r="H11" s="25"/>
      <c r="K11" s="257"/>
      <c r="M11" t="s">
        <v>30</v>
      </c>
    </row>
    <row r="12" spans="1:13" ht="15.75" customHeight="1" x14ac:dyDescent="0.25">
      <c r="A12" s="125">
        <f>DATE(2020,3,30)</f>
        <v>43920</v>
      </c>
      <c r="B12" s="163">
        <v>0.625</v>
      </c>
      <c r="C12" s="163">
        <v>0.64583333333333337</v>
      </c>
      <c r="D12" s="160">
        <f>(C12-B12)</f>
        <v>2.083333333333337E-2</v>
      </c>
      <c r="E12" s="319" t="s">
        <v>155</v>
      </c>
      <c r="F12" s="320"/>
      <c r="G12" s="185"/>
      <c r="M12" t="s">
        <v>32</v>
      </c>
    </row>
    <row r="13" spans="1:13" ht="16.5" thickBot="1" x14ac:dyDescent="0.3">
      <c r="A13" s="229"/>
      <c r="B13" s="230"/>
      <c r="C13" s="230"/>
      <c r="D13" s="231"/>
      <c r="E13" s="321"/>
      <c r="F13" s="322"/>
      <c r="G13" s="217"/>
    </row>
    <row r="14" spans="1:13" ht="15.75" x14ac:dyDescent="0.25">
      <c r="A14" s="210">
        <f>DATE(2020,3,30)</f>
        <v>43920</v>
      </c>
      <c r="B14" s="211">
        <v>0.70833333333333337</v>
      </c>
      <c r="C14" s="211">
        <v>0.77083333333333337</v>
      </c>
      <c r="D14" s="212">
        <f>(C14-B14)</f>
        <v>6.25E-2</v>
      </c>
      <c r="E14" s="327" t="s">
        <v>158</v>
      </c>
      <c r="F14" s="328"/>
      <c r="G14" s="184" t="s">
        <v>146</v>
      </c>
    </row>
    <row r="15" spans="1:13" ht="35.25" customHeight="1" thickBot="1" x14ac:dyDescent="0.3">
      <c r="A15" s="213"/>
      <c r="B15" s="138"/>
      <c r="C15" s="138"/>
      <c r="D15" s="138"/>
      <c r="E15" s="329"/>
      <c r="F15" s="330"/>
      <c r="G15" s="186"/>
      <c r="H15" s="5"/>
    </row>
    <row r="16" spans="1:13" ht="15.75" customHeight="1" x14ac:dyDescent="0.25">
      <c r="A16" s="253">
        <f>DATE(2020,3,30)</f>
        <v>43920</v>
      </c>
      <c r="B16" s="254">
        <v>0.79166666666666663</v>
      </c>
      <c r="C16" s="254">
        <v>0.81944444444444453</v>
      </c>
      <c r="D16" s="112">
        <f>(C16-B16)</f>
        <v>2.7777777777777901E-2</v>
      </c>
      <c r="E16" s="323" t="s">
        <v>167</v>
      </c>
      <c r="F16" s="324"/>
      <c r="G16" s="187" t="s">
        <v>156</v>
      </c>
      <c r="H16" s="81"/>
      <c r="I16" s="5"/>
    </row>
    <row r="17" spans="1:12" ht="15.75" thickBot="1" x14ac:dyDescent="0.3">
      <c r="A17" s="255"/>
      <c r="B17" s="256"/>
      <c r="C17" s="256"/>
      <c r="D17" s="256"/>
      <c r="E17" s="325"/>
      <c r="F17" s="326"/>
      <c r="G17" s="184"/>
      <c r="I17" s="5"/>
    </row>
    <row r="18" spans="1:12" ht="15.75" customHeight="1" x14ac:dyDescent="0.2">
      <c r="A18" s="134">
        <f>DATE(2020,3,30)</f>
        <v>43920</v>
      </c>
      <c r="B18" s="123">
        <v>0.81944444444444453</v>
      </c>
      <c r="C18" s="123">
        <v>0.90277777777777779</v>
      </c>
      <c r="D18" s="123">
        <f>(C18-B18)</f>
        <v>8.3333333333333259E-2</v>
      </c>
      <c r="E18" s="327" t="s">
        <v>159</v>
      </c>
      <c r="F18" s="328"/>
      <c r="G18" s="185" t="s">
        <v>156</v>
      </c>
      <c r="I18" s="5"/>
    </row>
    <row r="19" spans="1:12" ht="15.75" customHeight="1" thickBot="1" x14ac:dyDescent="0.3">
      <c r="A19" s="137"/>
      <c r="B19" s="138"/>
      <c r="C19" s="138"/>
      <c r="D19" s="138"/>
      <c r="E19" s="329"/>
      <c r="F19" s="330"/>
      <c r="G19" s="184"/>
      <c r="I19" s="5"/>
    </row>
    <row r="20" spans="1:12" ht="15.75" x14ac:dyDescent="0.2">
      <c r="A20" s="134">
        <f>DATE(2020,3,30)</f>
        <v>43920</v>
      </c>
      <c r="B20" s="123">
        <v>0.83680555555555547</v>
      </c>
      <c r="C20" s="123">
        <v>0.99305555555555547</v>
      </c>
      <c r="D20" s="123">
        <f>(C20-B20)</f>
        <v>0.15625</v>
      </c>
      <c r="E20" s="327" t="s">
        <v>160</v>
      </c>
      <c r="F20" s="328"/>
      <c r="G20" s="185" t="s">
        <v>156</v>
      </c>
    </row>
    <row r="21" spans="1:12" ht="19.5" customHeight="1" thickBot="1" x14ac:dyDescent="0.25">
      <c r="A21" s="139"/>
      <c r="B21" s="140"/>
      <c r="C21" s="140"/>
      <c r="D21" s="140"/>
      <c r="E21" s="329"/>
      <c r="F21" s="330"/>
      <c r="G21" s="184"/>
      <c r="I21" s="96"/>
      <c r="K21" s="96"/>
    </row>
    <row r="22" spans="1:12" ht="15.75" customHeight="1" x14ac:dyDescent="0.2">
      <c r="A22" s="134">
        <f>DATE(2020,3,31)</f>
        <v>43921</v>
      </c>
      <c r="B22" s="122">
        <v>6.9444444444444441E-3</v>
      </c>
      <c r="C22" s="122">
        <v>8.3333333333333329E-2</v>
      </c>
      <c r="D22" s="123">
        <f>(C22-B22)</f>
        <v>7.6388888888888881E-2</v>
      </c>
      <c r="E22" s="327" t="s">
        <v>161</v>
      </c>
      <c r="F22" s="328"/>
      <c r="G22" s="185" t="s">
        <v>156</v>
      </c>
      <c r="I22" s="97"/>
      <c r="K22" s="96"/>
      <c r="L22" s="5"/>
    </row>
    <row r="23" spans="1:12" ht="54" customHeight="1" thickBot="1" x14ac:dyDescent="0.3">
      <c r="A23" s="155"/>
      <c r="B23" s="156"/>
      <c r="C23" s="156"/>
      <c r="D23" s="156"/>
      <c r="E23" s="329"/>
      <c r="F23" s="330"/>
      <c r="G23" s="186"/>
      <c r="I23" s="98"/>
      <c r="K23" s="96"/>
      <c r="L23" s="5"/>
    </row>
    <row r="24" spans="1:12" ht="15.75" customHeight="1" x14ac:dyDescent="0.2">
      <c r="A24" s="125">
        <f>DATE(2020,3,31)</f>
        <v>43921</v>
      </c>
      <c r="B24" s="160">
        <v>0.54166666666666663</v>
      </c>
      <c r="C24" s="160">
        <v>0.56597222222222221</v>
      </c>
      <c r="D24" s="160">
        <f>(C24-B24)</f>
        <v>2.430555555555558E-2</v>
      </c>
      <c r="E24" s="319" t="s">
        <v>78</v>
      </c>
      <c r="F24" s="320"/>
      <c r="G24" s="184"/>
      <c r="H24" s="218"/>
      <c r="K24" s="96"/>
      <c r="L24" s="5"/>
    </row>
    <row r="25" spans="1:12" ht="18" customHeight="1" thickBot="1" x14ac:dyDescent="0.25">
      <c r="A25" s="168"/>
      <c r="B25" s="169"/>
      <c r="C25" s="169"/>
      <c r="D25" s="169"/>
      <c r="E25" s="321"/>
      <c r="F25" s="322"/>
      <c r="G25" s="186"/>
      <c r="H25" s="219"/>
      <c r="K25" s="97"/>
      <c r="L25" s="5"/>
    </row>
    <row r="26" spans="1:12" ht="15.75" customHeight="1" x14ac:dyDescent="0.2">
      <c r="A26" s="134">
        <f>DATE(2020,3,31)</f>
        <v>43921</v>
      </c>
      <c r="B26" s="122">
        <v>0.58333333333333337</v>
      </c>
      <c r="C26" s="122">
        <v>0.65972222222222221</v>
      </c>
      <c r="D26" s="123">
        <f>(C26-B26)</f>
        <v>7.638888888888884E-2</v>
      </c>
      <c r="E26" s="327" t="s">
        <v>162</v>
      </c>
      <c r="F26" s="328"/>
      <c r="G26" s="184" t="s">
        <v>156</v>
      </c>
      <c r="H26" s="218"/>
      <c r="K26" s="99"/>
    </row>
    <row r="27" spans="1:12" ht="16.5" thickBot="1" x14ac:dyDescent="0.3">
      <c r="A27" s="135"/>
      <c r="B27" s="124"/>
      <c r="C27" s="124"/>
      <c r="D27" s="124"/>
      <c r="E27" s="329"/>
      <c r="F27" s="330"/>
      <c r="G27" s="186"/>
      <c r="H27" s="220"/>
      <c r="K27" s="90"/>
    </row>
    <row r="28" spans="1:12" ht="15.75" customHeight="1" x14ac:dyDescent="0.2">
      <c r="A28" s="134">
        <f>DATE(2020,3,31)</f>
        <v>43921</v>
      </c>
      <c r="B28" s="122">
        <v>0.67708333333333337</v>
      </c>
      <c r="C28" s="122">
        <v>0.6875</v>
      </c>
      <c r="D28" s="123">
        <f>(C28-B28)</f>
        <v>1.041666666666663E-2</v>
      </c>
      <c r="E28" s="327" t="s">
        <v>162</v>
      </c>
      <c r="F28" s="328"/>
      <c r="G28" s="184" t="s">
        <v>156</v>
      </c>
      <c r="H28" s="29"/>
      <c r="K28" s="5"/>
    </row>
    <row r="29" spans="1:12" ht="16.5" thickBot="1" x14ac:dyDescent="0.3">
      <c r="A29" s="135"/>
      <c r="B29" s="124"/>
      <c r="C29" s="124"/>
      <c r="D29" s="124"/>
      <c r="E29" s="329"/>
      <c r="F29" s="330"/>
      <c r="G29" s="186"/>
    </row>
    <row r="30" spans="1:12" ht="15.75" customHeight="1" x14ac:dyDescent="0.2">
      <c r="A30" s="134">
        <f>DATE(2020,3,31)</f>
        <v>43921</v>
      </c>
      <c r="B30" s="122">
        <v>0.73611111111111116</v>
      </c>
      <c r="C30" s="122">
        <v>0.75</v>
      </c>
      <c r="D30" s="123">
        <f>(C30-B30)</f>
        <v>1.388888888888884E-2</v>
      </c>
      <c r="E30" s="327" t="s">
        <v>162</v>
      </c>
      <c r="F30" s="328"/>
      <c r="G30" s="184" t="s">
        <v>156</v>
      </c>
    </row>
    <row r="31" spans="1:12" ht="16.5" thickBot="1" x14ac:dyDescent="0.3">
      <c r="A31" s="135"/>
      <c r="B31" s="124"/>
      <c r="C31" s="124"/>
      <c r="D31" s="124"/>
      <c r="E31" s="329"/>
      <c r="F31" s="330"/>
      <c r="G31" s="186"/>
    </row>
    <row r="32" spans="1:12" ht="15.75" customHeight="1" x14ac:dyDescent="0.2">
      <c r="A32" s="221">
        <f>DATE(2020,3,31)</f>
        <v>43921</v>
      </c>
      <c r="B32" s="222">
        <v>0.75</v>
      </c>
      <c r="C32" s="222">
        <v>0.77777777777777779</v>
      </c>
      <c r="D32" s="223">
        <f>(C32-B32)</f>
        <v>2.777777777777779E-2</v>
      </c>
      <c r="E32" s="387" t="s">
        <v>157</v>
      </c>
      <c r="F32" s="388"/>
      <c r="G32" s="184"/>
    </row>
    <row r="33" spans="1:11" ht="15.75" customHeight="1" thickBot="1" x14ac:dyDescent="0.3">
      <c r="A33" s="224"/>
      <c r="B33" s="225"/>
      <c r="C33" s="225"/>
      <c r="D33" s="225"/>
      <c r="E33" s="389"/>
      <c r="F33" s="390"/>
      <c r="G33" s="186"/>
    </row>
    <row r="34" spans="1:11" ht="15.75" customHeight="1" x14ac:dyDescent="0.2">
      <c r="A34" s="134">
        <f>DATE(2020,3,31)</f>
        <v>43921</v>
      </c>
      <c r="B34" s="122">
        <v>0.77777777777777779</v>
      </c>
      <c r="C34" s="122">
        <v>0.78472222222222221</v>
      </c>
      <c r="D34" s="123">
        <f>(C34-B34)</f>
        <v>6.9444444444444198E-3</v>
      </c>
      <c r="E34" s="327" t="s">
        <v>162</v>
      </c>
      <c r="F34" s="328"/>
      <c r="G34" s="184" t="s">
        <v>156</v>
      </c>
    </row>
    <row r="35" spans="1:11" ht="16.5" thickBot="1" x14ac:dyDescent="0.3">
      <c r="A35" s="135"/>
      <c r="B35" s="124"/>
      <c r="C35" s="124"/>
      <c r="D35" s="124"/>
      <c r="E35" s="329"/>
      <c r="F35" s="330"/>
      <c r="G35" s="186"/>
      <c r="K35" s="90"/>
    </row>
    <row r="36" spans="1:11" ht="15.75" customHeight="1" x14ac:dyDescent="0.2">
      <c r="A36" s="221">
        <f>DATE(2020,3,31)</f>
        <v>43921</v>
      </c>
      <c r="B36" s="119">
        <v>0.78472222222222221</v>
      </c>
      <c r="C36" s="119">
        <v>0.84375</v>
      </c>
      <c r="D36" s="223">
        <f>(C36-B36)</f>
        <v>5.902777777777779E-2</v>
      </c>
      <c r="E36" s="387" t="s">
        <v>163</v>
      </c>
      <c r="F36" s="388"/>
      <c r="G36" s="184"/>
    </row>
    <row r="37" spans="1:11" ht="49.5" customHeight="1" thickBot="1" x14ac:dyDescent="0.3">
      <c r="A37" s="133"/>
      <c r="B37" s="121"/>
      <c r="C37" s="121"/>
      <c r="D37" s="121"/>
      <c r="E37" s="389"/>
      <c r="F37" s="390"/>
      <c r="G37" s="186"/>
    </row>
    <row r="38" spans="1:11" ht="15.75" x14ac:dyDescent="0.2">
      <c r="A38" s="134">
        <f>DATE(2020,3,31)</f>
        <v>43921</v>
      </c>
      <c r="B38" s="122">
        <v>0.85069444444444453</v>
      </c>
      <c r="C38" s="122">
        <v>0.875</v>
      </c>
      <c r="D38" s="123">
        <f>(C38-B38)</f>
        <v>2.4305555555555469E-2</v>
      </c>
      <c r="E38" s="327" t="s">
        <v>162</v>
      </c>
      <c r="F38" s="328"/>
      <c r="G38" s="184" t="s">
        <v>156</v>
      </c>
    </row>
    <row r="39" spans="1:11" ht="16.5" thickBot="1" x14ac:dyDescent="0.3">
      <c r="A39" s="135"/>
      <c r="B39" s="124"/>
      <c r="C39" s="124"/>
      <c r="D39" s="124"/>
      <c r="E39" s="329"/>
      <c r="F39" s="330"/>
      <c r="G39" s="186"/>
    </row>
    <row r="40" spans="1:11" ht="15.75" x14ac:dyDescent="0.2">
      <c r="A40" s="134">
        <f>DATE(2020,3,31)</f>
        <v>43921</v>
      </c>
      <c r="B40" s="122">
        <v>0.90277777777777779</v>
      </c>
      <c r="C40" s="122">
        <v>0.99305555555555547</v>
      </c>
      <c r="D40" s="123">
        <f>(C40-B40)</f>
        <v>9.0277777777777679E-2</v>
      </c>
      <c r="E40" s="327" t="s">
        <v>162</v>
      </c>
      <c r="F40" s="328"/>
      <c r="G40" s="184" t="s">
        <v>156</v>
      </c>
    </row>
    <row r="41" spans="1:11" ht="16.5" thickBot="1" x14ac:dyDescent="0.3">
      <c r="A41" s="135"/>
      <c r="B41" s="124"/>
      <c r="C41" s="124"/>
      <c r="D41" s="124"/>
      <c r="E41" s="329"/>
      <c r="F41" s="330"/>
      <c r="G41" s="186"/>
    </row>
    <row r="42" spans="1:11" ht="15.75" x14ac:dyDescent="0.2">
      <c r="A42" s="125">
        <f>DATE(2020,4,2)</f>
        <v>43923</v>
      </c>
      <c r="B42" s="164">
        <v>0.58333333333333337</v>
      </c>
      <c r="C42" s="164">
        <v>0.60416666666666663</v>
      </c>
      <c r="D42" s="160">
        <f>(C42-B42)</f>
        <v>2.0833333333333259E-2</v>
      </c>
      <c r="E42" s="319" t="s">
        <v>78</v>
      </c>
      <c r="F42" s="320"/>
      <c r="G42" s="184"/>
    </row>
    <row r="43" spans="1:11" ht="16.5" thickBot="1" x14ac:dyDescent="0.3">
      <c r="A43" s="131"/>
      <c r="B43" s="165"/>
      <c r="C43" s="165"/>
      <c r="D43" s="165"/>
      <c r="E43" s="321"/>
      <c r="F43" s="322"/>
      <c r="G43" s="186"/>
    </row>
    <row r="44" spans="1:11" ht="15.75" x14ac:dyDescent="0.2">
      <c r="A44" s="134">
        <f>DATE(2020,4,2)</f>
        <v>43923</v>
      </c>
      <c r="B44" s="122">
        <v>0.79166666666666663</v>
      </c>
      <c r="C44" s="122">
        <v>0.8125</v>
      </c>
      <c r="D44" s="123">
        <f>(C44-B44)</f>
        <v>2.083333333333337E-2</v>
      </c>
      <c r="E44" s="327" t="s">
        <v>164</v>
      </c>
      <c r="F44" s="328"/>
      <c r="G44" s="184" t="s">
        <v>165</v>
      </c>
    </row>
    <row r="45" spans="1:11" ht="16.5" thickBot="1" x14ac:dyDescent="0.3">
      <c r="A45" s="135"/>
      <c r="B45" s="124"/>
      <c r="C45" s="124"/>
      <c r="D45" s="124"/>
      <c r="E45" s="329"/>
      <c r="F45" s="330"/>
      <c r="G45" s="186"/>
    </row>
    <row r="46" spans="1:11" ht="15.75" x14ac:dyDescent="0.2">
      <c r="A46" s="134">
        <f>DATE(2020,4,3)</f>
        <v>43924</v>
      </c>
      <c r="B46" s="122">
        <v>0.87152777777777779</v>
      </c>
      <c r="C46" s="122">
        <v>0.89583333333333337</v>
      </c>
      <c r="D46" s="123">
        <f>(C46-B46)</f>
        <v>2.430555555555558E-2</v>
      </c>
      <c r="E46" s="327" t="s">
        <v>162</v>
      </c>
      <c r="F46" s="328"/>
      <c r="G46" s="184" t="s">
        <v>156</v>
      </c>
    </row>
    <row r="47" spans="1:11" ht="16.5" thickBot="1" x14ac:dyDescent="0.3">
      <c r="A47" s="135"/>
      <c r="B47" s="124"/>
      <c r="C47" s="124"/>
      <c r="D47" s="124"/>
      <c r="E47" s="329"/>
      <c r="F47" s="330"/>
      <c r="G47" s="186"/>
    </row>
    <row r="48" spans="1:11" ht="15.75" x14ac:dyDescent="0.2">
      <c r="A48" s="134">
        <f>DATE(2020,4,3)</f>
        <v>43924</v>
      </c>
      <c r="B48" s="122">
        <v>0.93402777777777779</v>
      </c>
      <c r="C48" s="122">
        <v>0.99305555555555547</v>
      </c>
      <c r="D48" s="123">
        <f>(C48-B48)</f>
        <v>5.9027777777777679E-2</v>
      </c>
      <c r="E48" s="327" t="s">
        <v>162</v>
      </c>
      <c r="F48" s="328"/>
      <c r="G48" s="184" t="s">
        <v>156</v>
      </c>
    </row>
    <row r="49" spans="1:11" ht="16.5" thickBot="1" x14ac:dyDescent="0.3">
      <c r="A49" s="135"/>
      <c r="B49" s="124"/>
      <c r="C49" s="124"/>
      <c r="D49" s="124"/>
      <c r="E49" s="329"/>
      <c r="F49" s="330"/>
      <c r="G49" s="186"/>
    </row>
    <row r="50" spans="1:11" ht="15.75" x14ac:dyDescent="0.2">
      <c r="A50" s="134">
        <f>DATE(2020,4,4)</f>
        <v>43925</v>
      </c>
      <c r="B50" s="122">
        <v>0</v>
      </c>
      <c r="C50" s="122">
        <v>7.2916666666666671E-2</v>
      </c>
      <c r="D50" s="123">
        <f>(C50-B50)</f>
        <v>7.2916666666666671E-2</v>
      </c>
      <c r="E50" s="327" t="s">
        <v>166</v>
      </c>
      <c r="F50" s="328"/>
      <c r="G50" s="184" t="s">
        <v>156</v>
      </c>
    </row>
    <row r="51" spans="1:11" ht="16.5" thickBot="1" x14ac:dyDescent="0.3">
      <c r="A51" s="135"/>
      <c r="B51" s="124"/>
      <c r="C51" s="124"/>
      <c r="D51" s="124"/>
      <c r="E51" s="329"/>
      <c r="F51" s="330"/>
      <c r="G51" s="186"/>
    </row>
    <row r="52" spans="1:11" ht="15.75" x14ac:dyDescent="0.2">
      <c r="A52" s="125">
        <f>DATE(2020,4,4)</f>
        <v>43925</v>
      </c>
      <c r="B52" s="164">
        <v>0.58333333333333337</v>
      </c>
      <c r="C52" s="164">
        <v>0.60416666666666663</v>
      </c>
      <c r="D52" s="160">
        <f>(C52-B52)</f>
        <v>2.0833333333333259E-2</v>
      </c>
      <c r="E52" s="319" t="s">
        <v>78</v>
      </c>
      <c r="F52" s="320"/>
      <c r="G52" s="184"/>
    </row>
    <row r="53" spans="1:11" ht="16.5" thickBot="1" x14ac:dyDescent="0.3">
      <c r="A53" s="131"/>
      <c r="B53" s="165"/>
      <c r="C53" s="165"/>
      <c r="D53" s="165"/>
      <c r="E53" s="321"/>
      <c r="F53" s="322"/>
      <c r="G53" s="186"/>
    </row>
    <row r="54" spans="1:11" ht="15.75" x14ac:dyDescent="0.2">
      <c r="A54" s="132">
        <f>DATE(2020,4,5)</f>
        <v>43926</v>
      </c>
      <c r="B54" s="119">
        <v>0.875</v>
      </c>
      <c r="C54" s="119">
        <v>0.88541666666666663</v>
      </c>
      <c r="D54" s="120">
        <f>(C54-B54)</f>
        <v>1.041666666666663E-2</v>
      </c>
      <c r="E54" s="387" t="s">
        <v>163</v>
      </c>
      <c r="F54" s="388"/>
      <c r="G54" s="184"/>
    </row>
    <row r="55" spans="1:11" ht="16.5" thickBot="1" x14ac:dyDescent="0.3">
      <c r="A55" s="133"/>
      <c r="B55" s="121"/>
      <c r="C55" s="121"/>
      <c r="D55" s="121"/>
      <c r="E55" s="389"/>
      <c r="F55" s="390"/>
      <c r="G55" s="186"/>
    </row>
    <row r="56" spans="1:11" ht="15.75" x14ac:dyDescent="0.2">
      <c r="A56" s="238"/>
      <c r="B56" s="239"/>
      <c r="C56" s="239"/>
      <c r="D56" s="240"/>
      <c r="E56" s="383"/>
      <c r="F56" s="384"/>
      <c r="G56" s="184"/>
    </row>
    <row r="57" spans="1:11" ht="16.5" thickBot="1" x14ac:dyDescent="0.3">
      <c r="A57" s="241"/>
      <c r="B57" s="242"/>
      <c r="C57" s="242"/>
      <c r="D57" s="242"/>
      <c r="E57" s="385"/>
      <c r="F57" s="386"/>
      <c r="G57" s="186"/>
    </row>
    <row r="58" spans="1:11" ht="24" thickBot="1" x14ac:dyDescent="0.4">
      <c r="A58" s="101" t="s">
        <v>18</v>
      </c>
      <c r="B58" s="101"/>
      <c r="C58" s="27"/>
      <c r="D58" s="27"/>
      <c r="E58" s="27"/>
      <c r="F58" s="102"/>
      <c r="G58" s="102"/>
    </row>
    <row r="59" spans="1:11" x14ac:dyDescent="0.2">
      <c r="B59" s="103"/>
      <c r="C59" s="104"/>
      <c r="D59" s="105"/>
      <c r="E59" s="106"/>
      <c r="K59" s="180"/>
    </row>
    <row r="60" spans="1:11" ht="12.75" customHeight="1" x14ac:dyDescent="0.2">
      <c r="A60" s="314"/>
      <c r="B60" s="314"/>
      <c r="C60" s="314"/>
      <c r="D60" s="314"/>
      <c r="E60" s="314"/>
      <c r="F60" s="314"/>
      <c r="G60" s="314"/>
      <c r="H60" s="5"/>
      <c r="K60" s="180"/>
    </row>
    <row r="61" spans="1:11" ht="12.75" customHeight="1" x14ac:dyDescent="0.2">
      <c r="A61" s="314"/>
      <c r="B61" s="314"/>
      <c r="C61" s="314"/>
      <c r="D61" s="314"/>
      <c r="E61" s="314"/>
      <c r="F61" s="314"/>
      <c r="G61" s="314"/>
      <c r="H61" s="5"/>
      <c r="K61" s="180"/>
    </row>
    <row r="62" spans="1:11" ht="12.75" customHeight="1" x14ac:dyDescent="0.2">
      <c r="A62" s="314"/>
      <c r="B62" s="314"/>
      <c r="C62" s="314"/>
      <c r="D62" s="314"/>
      <c r="E62" s="314"/>
      <c r="F62" s="314"/>
      <c r="G62" s="314"/>
      <c r="H62" s="5"/>
      <c r="K62" s="180"/>
    </row>
    <row r="63" spans="1:11" ht="12.75" customHeight="1" x14ac:dyDescent="0.2">
      <c r="A63" s="314"/>
      <c r="B63" s="314"/>
      <c r="C63" s="314"/>
      <c r="D63" s="314"/>
      <c r="E63" s="314"/>
      <c r="F63" s="314"/>
      <c r="G63" s="314"/>
      <c r="H63" s="5"/>
      <c r="K63" s="180"/>
    </row>
    <row r="64" spans="1:11" ht="12.75" customHeight="1" x14ac:dyDescent="0.2">
      <c r="A64" s="314"/>
      <c r="B64" s="314"/>
      <c r="C64" s="314"/>
      <c r="D64" s="314"/>
      <c r="E64" s="314"/>
      <c r="F64" s="314"/>
      <c r="G64" s="314"/>
      <c r="H64" s="5"/>
      <c r="K64" s="180"/>
    </row>
    <row r="65" spans="1:11" ht="12.75" customHeight="1" x14ac:dyDescent="0.2">
      <c r="A65" s="314"/>
      <c r="B65" s="314"/>
      <c r="C65" s="314"/>
      <c r="D65" s="314"/>
      <c r="E65" s="314"/>
      <c r="F65" s="314"/>
      <c r="G65" s="314"/>
      <c r="H65" s="5"/>
      <c r="K65" s="180"/>
    </row>
    <row r="66" spans="1:11" ht="12.75" customHeight="1" x14ac:dyDescent="0.2">
      <c r="A66" s="314"/>
      <c r="B66" s="314"/>
      <c r="C66" s="314"/>
      <c r="D66" s="314"/>
      <c r="E66" s="314"/>
      <c r="F66" s="314"/>
      <c r="G66" s="314"/>
      <c r="H66" s="5"/>
      <c r="K66" s="252"/>
    </row>
    <row r="67" spans="1:11" ht="12.75" customHeight="1" x14ac:dyDescent="0.2">
      <c r="A67" s="314"/>
      <c r="B67" s="314"/>
      <c r="C67" s="314"/>
      <c r="D67" s="314"/>
      <c r="E67" s="314"/>
      <c r="F67" s="314"/>
      <c r="G67" s="314"/>
      <c r="H67" s="5"/>
    </row>
    <row r="68" spans="1:11" ht="12.75" customHeight="1" x14ac:dyDescent="0.2">
      <c r="A68" s="314"/>
      <c r="B68" s="314"/>
      <c r="C68" s="314"/>
      <c r="D68" s="314"/>
      <c r="E68" s="314"/>
      <c r="F68" s="314"/>
      <c r="G68" s="314"/>
      <c r="H68" s="5"/>
    </row>
    <row r="69" spans="1:11" ht="12.75" customHeight="1" x14ac:dyDescent="0.2">
      <c r="A69" s="314"/>
      <c r="B69" s="314"/>
      <c r="C69" s="314"/>
      <c r="D69" s="314"/>
      <c r="E69" s="314"/>
      <c r="F69" s="314"/>
      <c r="G69" s="314"/>
      <c r="H69" s="5"/>
    </row>
    <row r="70" spans="1:11" ht="12.75" customHeight="1" x14ac:dyDescent="0.2">
      <c r="A70" s="314"/>
      <c r="B70" s="314"/>
      <c r="C70" s="314"/>
      <c r="D70" s="314"/>
      <c r="E70" s="314"/>
      <c r="F70" s="314"/>
      <c r="G70" s="314"/>
      <c r="H70" s="5"/>
    </row>
    <row r="71" spans="1:11" ht="12.75" customHeight="1" x14ac:dyDescent="0.2">
      <c r="A71" s="314"/>
      <c r="B71" s="314"/>
      <c r="C71" s="314"/>
      <c r="D71" s="314"/>
      <c r="E71" s="314"/>
      <c r="F71" s="314"/>
      <c r="G71" s="314"/>
      <c r="H71" s="5"/>
    </row>
    <row r="72" spans="1:11" ht="12.75" customHeight="1" x14ac:dyDescent="0.2">
      <c r="A72" s="314"/>
      <c r="B72" s="314"/>
      <c r="C72" s="314"/>
      <c r="D72" s="314"/>
      <c r="E72" s="314"/>
      <c r="F72" s="314"/>
      <c r="G72" s="314"/>
      <c r="H72" s="5"/>
    </row>
    <row r="73" spans="1:11" ht="12.75" customHeight="1" x14ac:dyDescent="0.2">
      <c r="A73" s="5"/>
      <c r="B73" s="5"/>
      <c r="C73" s="5"/>
      <c r="D73" s="5"/>
      <c r="E73" s="5"/>
      <c r="F73" s="5"/>
      <c r="G73" s="5"/>
      <c r="H73" s="5"/>
    </row>
    <row r="74" spans="1:11" ht="12.75" customHeight="1" x14ac:dyDescent="0.2">
      <c r="A74" s="5"/>
      <c r="B74" s="5"/>
      <c r="C74" s="5"/>
      <c r="D74" s="5"/>
      <c r="E74" s="5"/>
      <c r="F74" s="5"/>
      <c r="G74" s="5"/>
      <c r="H74" s="5"/>
    </row>
    <row r="75" spans="1:11" ht="12.75" customHeight="1" x14ac:dyDescent="0.2">
      <c r="A75" s="5"/>
      <c r="B75" s="5"/>
      <c r="C75" s="5"/>
      <c r="D75" s="5"/>
      <c r="E75" s="5"/>
      <c r="F75" s="5"/>
      <c r="G75" s="5"/>
      <c r="H75" s="5"/>
    </row>
    <row r="76" spans="1:11" x14ac:dyDescent="0.2">
      <c r="A76" s="5"/>
      <c r="B76" s="5"/>
      <c r="C76" s="5"/>
      <c r="D76" s="5"/>
      <c r="E76" s="5"/>
      <c r="F76" s="5"/>
      <c r="G76" s="5"/>
      <c r="H76" s="5"/>
    </row>
    <row r="77" spans="1:11" ht="12.75" customHeight="1" x14ac:dyDescent="0.2">
      <c r="A77" s="5"/>
      <c r="B77" s="5"/>
      <c r="C77" s="5"/>
      <c r="D77" s="5"/>
      <c r="E77" s="5"/>
      <c r="F77" s="5"/>
      <c r="G77" s="5"/>
      <c r="H77" s="5"/>
    </row>
    <row r="78" spans="1:11" ht="12.75" customHeight="1" x14ac:dyDescent="0.2"/>
    <row r="79" spans="1:11" ht="12.75" customHeight="1" x14ac:dyDescent="0.2"/>
  </sheetData>
  <mergeCells count="29">
    <mergeCell ref="A60:G72"/>
    <mergeCell ref="E26:F27"/>
    <mergeCell ref="E28:F29"/>
    <mergeCell ref="E30:F31"/>
    <mergeCell ref="E32:F33"/>
    <mergeCell ref="E34:F35"/>
    <mergeCell ref="E36:F37"/>
    <mergeCell ref="E40:F41"/>
    <mergeCell ref="E42:F43"/>
    <mergeCell ref="E44:F45"/>
    <mergeCell ref="E38:F39"/>
    <mergeCell ref="E46:F47"/>
    <mergeCell ref="E48:F49"/>
    <mergeCell ref="E50:F51"/>
    <mergeCell ref="E52:F53"/>
    <mergeCell ref="E54:F55"/>
    <mergeCell ref="J4:J5"/>
    <mergeCell ref="E10:F11"/>
    <mergeCell ref="E12:F13"/>
    <mergeCell ref="E14:F15"/>
    <mergeCell ref="E16:F17"/>
    <mergeCell ref="E56:F57"/>
    <mergeCell ref="E24:F25"/>
    <mergeCell ref="A1:D1"/>
    <mergeCell ref="A4:A5"/>
    <mergeCell ref="C4:C5"/>
    <mergeCell ref="E18:F19"/>
    <mergeCell ref="E20:F21"/>
    <mergeCell ref="E22:F23"/>
  </mergeCells>
  <conditionalFormatting sqref="I21 H24">
    <cfRule type="expression" dxfId="778" priority="61">
      <formula>ISNUMBER(SEARCH(TEXT(#REF!,"ddd"),#REF!))</formula>
    </cfRule>
  </conditionalFormatting>
  <conditionalFormatting sqref="B18:C18">
    <cfRule type="expression" dxfId="777" priority="62">
      <formula>ISNUMBER(SEARCH(TEXT(#REF!,"ddd"),#REF!))</formula>
    </cfRule>
  </conditionalFormatting>
  <conditionalFormatting sqref="K21:K24">
    <cfRule type="expression" dxfId="776" priority="63">
      <formula>ISNUMBER(SEARCH(TEXT(#REF!,"ddd"),#REF!))</formula>
    </cfRule>
  </conditionalFormatting>
  <conditionalFormatting sqref="A10:D10">
    <cfRule type="expression" dxfId="775" priority="60">
      <formula>ISNUMBER(SEARCH(TEXT(#REF!,"ddd"),#REF!))</formula>
    </cfRule>
  </conditionalFormatting>
  <conditionalFormatting sqref="B16:C16">
    <cfRule type="expression" dxfId="774" priority="59">
      <formula>ISNUMBER(SEARCH(TEXT(#REF!,"ddd"),#REF!))</formula>
    </cfRule>
  </conditionalFormatting>
  <conditionalFormatting sqref="B24:C24">
    <cfRule type="expression" dxfId="773" priority="58">
      <formula>ISNUMBER(SEARCH(TEXT(#REF!,"ddd"),#REF!))</formula>
    </cfRule>
  </conditionalFormatting>
  <conditionalFormatting sqref="B20:C20">
    <cfRule type="expression" dxfId="772" priority="57">
      <formula>ISNUMBER(SEARCH(TEXT(#REF!,"ddd"),#REF!))</formula>
    </cfRule>
  </conditionalFormatting>
  <conditionalFormatting sqref="A18">
    <cfRule type="expression" dxfId="771" priority="56">
      <formula>ISNUMBER(SEARCH(TEXT(#REF!,"ddd"),#REF!))</formula>
    </cfRule>
  </conditionalFormatting>
  <conditionalFormatting sqref="D16">
    <cfRule type="expression" dxfId="770" priority="55">
      <formula>ISNUMBER(SEARCH(TEXT(#REF!,"ddd"),#REF!))</formula>
    </cfRule>
  </conditionalFormatting>
  <conditionalFormatting sqref="D18">
    <cfRule type="expression" dxfId="769" priority="54">
      <formula>ISNUMBER(SEARCH(TEXT(#REF!,"ddd"),#REF!))</formula>
    </cfRule>
  </conditionalFormatting>
  <conditionalFormatting sqref="B12:C14">
    <cfRule type="expression" dxfId="768" priority="52">
      <formula>ISNUMBER(SEARCH(TEXT(#REF!,"ddd"),#REF!))</formula>
    </cfRule>
  </conditionalFormatting>
  <conditionalFormatting sqref="D12:D14">
    <cfRule type="expression" dxfId="767" priority="51">
      <formula>ISNUMBER(SEARCH(TEXT(#REF!,"ddd"),#REF!))</formula>
    </cfRule>
  </conditionalFormatting>
  <conditionalFormatting sqref="A26">
    <cfRule type="expression" dxfId="766" priority="50">
      <formula>ISNUMBER(SEARCH(TEXT(#REF!,"ddd"),#REF!))</formula>
    </cfRule>
  </conditionalFormatting>
  <conditionalFormatting sqref="A13:A14">
    <cfRule type="expression" dxfId="765" priority="49">
      <formula>ISNUMBER(SEARCH(TEXT(#REF!,"ddd"),#REF!))</formula>
    </cfRule>
  </conditionalFormatting>
  <conditionalFormatting sqref="A16">
    <cfRule type="expression" dxfId="764" priority="48">
      <formula>ISNUMBER(SEARCH(TEXT(#REF!,"ddd"),#REF!))</formula>
    </cfRule>
  </conditionalFormatting>
  <conditionalFormatting sqref="H26">
    <cfRule type="expression" dxfId="763" priority="47">
      <formula>ISNUMBER(SEARCH(TEXT(#REF!,"ddd"),#REF!))</formula>
    </cfRule>
  </conditionalFormatting>
  <conditionalFormatting sqref="A28">
    <cfRule type="expression" dxfId="762" priority="46">
      <formula>ISNUMBER(SEARCH(TEXT(#REF!,"ddd"),#REF!))</formula>
    </cfRule>
  </conditionalFormatting>
  <conditionalFormatting sqref="A30">
    <cfRule type="expression" dxfId="761" priority="45">
      <formula>ISNUMBER(SEARCH(TEXT(#REF!,"ddd"),#REF!))</formula>
    </cfRule>
  </conditionalFormatting>
  <conditionalFormatting sqref="A24">
    <cfRule type="expression" dxfId="760" priority="39">
      <formula>ISNUMBER(SEARCH(TEXT(#REF!,"ddd"),#REF!))</formula>
    </cfRule>
  </conditionalFormatting>
  <conditionalFormatting sqref="A32">
    <cfRule type="expression" dxfId="759" priority="34">
      <formula>ISNUMBER(SEARCH(TEXT(#REF!,"ddd"),#REF!))</formula>
    </cfRule>
  </conditionalFormatting>
  <conditionalFormatting sqref="A12">
    <cfRule type="expression" dxfId="758" priority="37">
      <formula>ISNUMBER(SEARCH(TEXT(#REF!,"ddd"),#REF!))</formula>
    </cfRule>
  </conditionalFormatting>
  <conditionalFormatting sqref="A20">
    <cfRule type="expression" dxfId="757" priority="36">
      <formula>ISNUMBER(SEARCH(TEXT(#REF!,"ddd"),#REF!))</formula>
    </cfRule>
  </conditionalFormatting>
  <conditionalFormatting sqref="A22">
    <cfRule type="expression" dxfId="756" priority="35">
      <formula>ISNUMBER(SEARCH(TEXT(#REF!,"ddd"),#REF!))</formula>
    </cfRule>
  </conditionalFormatting>
  <conditionalFormatting sqref="A38">
    <cfRule type="expression" dxfId="755" priority="30">
      <formula>ISNUMBER(SEARCH(TEXT(#REF!,"ddd"),#REF!))</formula>
    </cfRule>
  </conditionalFormatting>
  <conditionalFormatting sqref="A34">
    <cfRule type="expression" dxfId="754" priority="33">
      <formula>ISNUMBER(SEARCH(TEXT(#REF!,"ddd"),#REF!))</formula>
    </cfRule>
  </conditionalFormatting>
  <conditionalFormatting sqref="A36">
    <cfRule type="expression" dxfId="753" priority="32">
      <formula>ISNUMBER(SEARCH(TEXT(#REF!,"ddd"),#REF!))</formula>
    </cfRule>
  </conditionalFormatting>
  <conditionalFormatting sqref="A40">
    <cfRule type="expression" dxfId="752" priority="29">
      <formula>ISNUMBER(SEARCH(TEXT(#REF!,"ddd"),#REF!))</formula>
    </cfRule>
  </conditionalFormatting>
  <conditionalFormatting sqref="A42">
    <cfRule type="expression" dxfId="751" priority="28">
      <formula>ISNUMBER(SEARCH(TEXT(#REF!,"ddd"),#REF!))</formula>
    </cfRule>
  </conditionalFormatting>
  <conditionalFormatting sqref="A44">
    <cfRule type="expression" dxfId="750" priority="25">
      <formula>ISNUMBER(SEARCH(TEXT(#REF!,"ddd"),#REF!))</formula>
    </cfRule>
  </conditionalFormatting>
  <conditionalFormatting sqref="A46">
    <cfRule type="expression" dxfId="749" priority="24">
      <formula>ISNUMBER(SEARCH(TEXT(#REF!,"ddd"),#REF!))</formula>
    </cfRule>
  </conditionalFormatting>
  <conditionalFormatting sqref="A54">
    <cfRule type="expression" dxfId="748" priority="20">
      <formula>ISNUMBER(SEARCH(TEXT(#REF!,"ddd"),#REF!))</formula>
    </cfRule>
  </conditionalFormatting>
  <conditionalFormatting sqref="A56">
    <cfRule type="expression" dxfId="747" priority="19">
      <formula>ISNUMBER(SEARCH(TEXT(#REF!,"ddd"),#REF!))</formula>
    </cfRule>
  </conditionalFormatting>
  <conditionalFormatting sqref="A48">
    <cfRule type="expression" dxfId="746" priority="3">
      <formula>ISNUMBER(SEARCH(TEXT(#REF!,"ddd"),#REF!))</formula>
    </cfRule>
  </conditionalFormatting>
  <conditionalFormatting sqref="A50">
    <cfRule type="expression" dxfId="745" priority="2">
      <formula>ISNUMBER(SEARCH(TEXT(#REF!,"ddd"),#REF!))</formula>
    </cfRule>
  </conditionalFormatting>
  <conditionalFormatting sqref="A52">
    <cfRule type="expression" dxfId="744" priority="1">
      <formula>ISNUMBER(SEARCH(TEXT(#REF!,"ddd"),#REF!))</formula>
    </cfRule>
  </conditionalFormatting>
  <dataValidations count="2">
    <dataValidation type="custom" allowBlank="1" showInputMessage="1" showErrorMessage="1" sqref="B18:C18 B20:C20 B24:C24 B10 B16:C16 B12:C14" xr:uid="{0828DC34-8D6E-46A6-9E3B-7662FD20AB1E}">
      <formula1>AND($B10&lt;=1,ISNUMBER($B10))</formula1>
    </dataValidation>
    <dataValidation type="custom" allowBlank="1" showInputMessage="1" showErrorMessage="1" sqref="C10" xr:uid="{CCABBD0D-E9CC-4398-9AFD-8EB5E878B8A6}">
      <formula1>AND($C10&lt;=1,ISNUMBER($C10),($C10&gt;=$B10))</formula1>
    </dataValidation>
  </dataValidations>
  <pageMargins left="0.11811023622047245" right="0" top="0.11811023622047245" bottom="0.15748031496062992" header="0" footer="0"/>
  <pageSetup paperSize="9" scale="49" fitToHeight="0" orientation="portrait" horizontalDpi="4294967293" verticalDpi="4294967293"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64671-693E-4527-9379-7D0ED2990FD3}">
  <sheetPr codeName="Sheet23">
    <pageSetUpPr fitToPage="1"/>
  </sheetPr>
  <dimension ref="A1:M49"/>
  <sheetViews>
    <sheetView showGridLines="0" zoomScale="85" zoomScaleNormal="85" workbookViewId="0">
      <selection activeCell="F3" sqref="F3"/>
    </sheetView>
  </sheetViews>
  <sheetFormatPr baseColWidth="10" defaultColWidth="9" defaultRowHeight="12.75" x14ac:dyDescent="0.2"/>
  <cols>
    <col min="1" max="1" width="15.5" customWidth="1"/>
    <col min="2" max="2" width="8.875" customWidth="1"/>
    <col min="3" max="3" width="11.75" customWidth="1"/>
    <col min="4" max="4" width="11.5" customWidth="1"/>
    <col min="5" max="5" width="22.125" bestFit="1" customWidth="1"/>
    <col min="6" max="7" width="18" bestFit="1" customWidth="1"/>
    <col min="8" max="8" width="8.875" customWidth="1"/>
    <col min="9" max="9" width="11.625" customWidth="1"/>
    <col min="10" max="10" width="9.5" customWidth="1"/>
    <col min="11" max="11" width="12.375" customWidth="1"/>
    <col min="12" max="12" width="17.875" bestFit="1" customWidth="1"/>
    <col min="13" max="13" width="19.25" bestFit="1" customWidth="1"/>
  </cols>
  <sheetData>
    <row r="1" spans="1:13" ht="27" thickTop="1" x14ac:dyDescent="0.4">
      <c r="A1" s="301" t="s">
        <v>20</v>
      </c>
      <c r="B1" s="301"/>
      <c r="C1" s="301"/>
      <c r="D1" s="301"/>
      <c r="E1" s="55">
        <f>WEEKNUM(A10)</f>
        <v>15</v>
      </c>
      <c r="F1" s="83"/>
      <c r="G1" s="57"/>
      <c r="H1" s="84"/>
      <c r="J1" s="1"/>
    </row>
    <row r="2" spans="1:13" s="1" customFormat="1" ht="14.25" customHeight="1" x14ac:dyDescent="0.25">
      <c r="A2" s="49" t="s">
        <v>1</v>
      </c>
      <c r="B2" s="49"/>
      <c r="C2" s="49" t="s">
        <v>2</v>
      </c>
      <c r="D2" s="49"/>
      <c r="E2" s="85" t="s">
        <v>3</v>
      </c>
      <c r="F2" s="54" t="s">
        <v>4</v>
      </c>
      <c r="G2" s="54" t="s">
        <v>5</v>
      </c>
      <c r="H2" s="20"/>
      <c r="I2" s="86"/>
      <c r="J2" s="87"/>
      <c r="M2" s="1" t="s">
        <v>21</v>
      </c>
    </row>
    <row r="3" spans="1:13" ht="16.5" thickBot="1" x14ac:dyDescent="0.25">
      <c r="A3" s="136">
        <f>MIN(A10:A82)</f>
        <v>43927</v>
      </c>
      <c r="B3" s="202"/>
      <c r="C3" s="136">
        <f>MAXA(A10:A82)</f>
        <v>43933</v>
      </c>
      <c r="D3" s="188"/>
      <c r="E3" s="88" t="s">
        <v>6</v>
      </c>
      <c r="F3" s="46">
        <f>Sumcolor(E3,D10:D64)</f>
        <v>0</v>
      </c>
      <c r="G3" s="177">
        <f>SUM(Først:Sist!F3)</f>
        <v>1.0381944444444446</v>
      </c>
      <c r="H3" s="89"/>
      <c r="I3" s="90"/>
      <c r="J3" s="90"/>
      <c r="M3" t="s">
        <v>22</v>
      </c>
    </row>
    <row r="4" spans="1:13" ht="15" customHeight="1" x14ac:dyDescent="0.2">
      <c r="A4" s="391" t="s">
        <v>23</v>
      </c>
      <c r="B4" s="194"/>
      <c r="C4" s="293" t="s">
        <v>24</v>
      </c>
      <c r="D4" s="203"/>
      <c r="E4" s="91" t="s">
        <v>9</v>
      </c>
      <c r="F4" s="46">
        <f>Sumcolor(E4,D10:D64)</f>
        <v>0.17361111111111099</v>
      </c>
      <c r="G4" s="177">
        <f>SUM(Først:Sist!F4)</f>
        <v>8.03125</v>
      </c>
      <c r="H4" s="89"/>
      <c r="I4" s="90"/>
      <c r="J4" s="309"/>
    </row>
    <row r="5" spans="1:13" ht="15.75" x14ac:dyDescent="0.2">
      <c r="A5" s="302"/>
      <c r="B5" s="203"/>
      <c r="C5" s="302"/>
      <c r="D5" s="203"/>
      <c r="E5" s="159" t="s">
        <v>10</v>
      </c>
      <c r="F5" s="46">
        <f>Sumcolor(E5,D10:D64)</f>
        <v>6.2499999999999778E-2</v>
      </c>
      <c r="G5" s="177">
        <f>SUM(Først:Sist!F5)</f>
        <v>1.8090277777777768</v>
      </c>
      <c r="H5" s="89"/>
      <c r="I5" s="90"/>
      <c r="J5" s="309"/>
      <c r="M5" t="s">
        <v>25</v>
      </c>
    </row>
    <row r="6" spans="1:13" ht="18.75" customHeight="1" thickBot="1" x14ac:dyDescent="0.25">
      <c r="A6" s="182">
        <f>SUM(D10:D82)</f>
        <v>0.34027777777777751</v>
      </c>
      <c r="B6" s="51"/>
      <c r="C6" s="82">
        <f>SUM(Først:Sist!A6)</f>
        <v>12.965277777777779</v>
      </c>
      <c r="D6" s="52"/>
      <c r="E6" s="92" t="s">
        <v>11</v>
      </c>
      <c r="F6" s="48">
        <f>Sumcolor(E6,D10:D64)</f>
        <v>6.9444444444444198E-3</v>
      </c>
      <c r="G6" s="178">
        <f>SUM(Først:Sist!F6)</f>
        <v>1.9895833333333335</v>
      </c>
      <c r="H6" s="89"/>
      <c r="I6" s="90"/>
      <c r="J6" s="90"/>
      <c r="M6" t="s">
        <v>26</v>
      </c>
    </row>
    <row r="7" spans="1:13" ht="12.75" customHeight="1" x14ac:dyDescent="0.2">
      <c r="A7" s="19"/>
      <c r="B7" s="23"/>
      <c r="C7" s="24"/>
      <c r="D7" s="93"/>
      <c r="E7" s="23"/>
      <c r="F7" s="23"/>
      <c r="G7" s="25"/>
      <c r="H7" s="25"/>
    </row>
    <row r="8" spans="1:13" x14ac:dyDescent="0.2">
      <c r="A8" s="23"/>
      <c r="B8" s="25"/>
      <c r="C8" s="93"/>
      <c r="D8" s="25"/>
      <c r="E8" s="23"/>
      <c r="F8" s="23"/>
      <c r="G8" s="25"/>
      <c r="H8" s="25"/>
      <c r="M8" t="s">
        <v>27</v>
      </c>
    </row>
    <row r="9" spans="1:13" ht="16.5" thickBot="1" x14ac:dyDescent="0.3">
      <c r="A9" s="49" t="s">
        <v>12</v>
      </c>
      <c r="B9" s="49" t="s">
        <v>13</v>
      </c>
      <c r="C9" s="49" t="s">
        <v>14</v>
      </c>
      <c r="D9" s="49" t="s">
        <v>15</v>
      </c>
      <c r="E9" s="107" t="s">
        <v>16</v>
      </c>
      <c r="F9" s="102"/>
      <c r="G9" s="166" t="s">
        <v>17</v>
      </c>
      <c r="H9" s="25"/>
      <c r="M9" t="s">
        <v>28</v>
      </c>
    </row>
    <row r="10" spans="1:13" ht="15.75" customHeight="1" x14ac:dyDescent="0.2">
      <c r="A10" s="125">
        <f>DATE(2020,4,6)</f>
        <v>43927</v>
      </c>
      <c r="B10" s="160">
        <v>0.58333333333333337</v>
      </c>
      <c r="C10" s="160">
        <v>0.60416666666666663</v>
      </c>
      <c r="D10" s="160">
        <f>(C10-B10)</f>
        <v>2.0833333333333259E-2</v>
      </c>
      <c r="E10" s="319" t="s">
        <v>78</v>
      </c>
      <c r="F10" s="320"/>
      <c r="G10" s="183"/>
      <c r="H10" s="173"/>
    </row>
    <row r="11" spans="1:13" ht="15.75" thickBot="1" x14ac:dyDescent="0.3">
      <c r="A11" s="126"/>
      <c r="B11" s="161"/>
      <c r="C11" s="161"/>
      <c r="D11" s="161"/>
      <c r="E11" s="321"/>
      <c r="F11" s="322"/>
      <c r="G11" s="184"/>
      <c r="H11" s="25"/>
      <c r="K11" s="257"/>
      <c r="M11" t="s">
        <v>30</v>
      </c>
    </row>
    <row r="12" spans="1:13" ht="15.75" customHeight="1" x14ac:dyDescent="0.25">
      <c r="A12" s="125">
        <f>DATE(2020,4,8)</f>
        <v>43929</v>
      </c>
      <c r="B12" s="163">
        <v>0.58333333333333337</v>
      </c>
      <c r="C12" s="163">
        <v>0.60416666666666663</v>
      </c>
      <c r="D12" s="160">
        <f>(C12-B12)</f>
        <v>2.0833333333333259E-2</v>
      </c>
      <c r="E12" s="319" t="s">
        <v>78</v>
      </c>
      <c r="F12" s="320"/>
      <c r="G12" s="185"/>
      <c r="M12" t="s">
        <v>32</v>
      </c>
    </row>
    <row r="13" spans="1:13" ht="16.5" thickBot="1" x14ac:dyDescent="0.3">
      <c r="A13" s="229"/>
      <c r="B13" s="230"/>
      <c r="C13" s="230"/>
      <c r="D13" s="231"/>
      <c r="E13" s="321"/>
      <c r="F13" s="322"/>
      <c r="G13" s="217"/>
    </row>
    <row r="14" spans="1:13" ht="15.75" x14ac:dyDescent="0.25">
      <c r="A14" s="210">
        <f>DATE(2020,4,11)</f>
        <v>43932</v>
      </c>
      <c r="B14" s="211">
        <v>0</v>
      </c>
      <c r="C14" s="211">
        <v>8.3333333333333329E-2</v>
      </c>
      <c r="D14" s="123">
        <f>(C14-B14)</f>
        <v>8.3333333333333329E-2</v>
      </c>
      <c r="E14" s="327" t="s">
        <v>168</v>
      </c>
      <c r="F14" s="328"/>
      <c r="G14" s="184" t="s">
        <v>156</v>
      </c>
    </row>
    <row r="15" spans="1:13" ht="52.5" customHeight="1" thickBot="1" x14ac:dyDescent="0.3">
      <c r="A15" s="213"/>
      <c r="B15" s="138"/>
      <c r="C15" s="138"/>
      <c r="D15" s="138"/>
      <c r="E15" s="329"/>
      <c r="F15" s="330"/>
      <c r="G15" s="186"/>
      <c r="H15" s="5"/>
    </row>
    <row r="16" spans="1:13" ht="15.75" customHeight="1" x14ac:dyDescent="0.2">
      <c r="A16" s="210">
        <f>DATE(2020,4,11)</f>
        <v>43932</v>
      </c>
      <c r="B16" s="123">
        <v>0.58333333333333337</v>
      </c>
      <c r="C16" s="123">
        <v>0.64583333333333337</v>
      </c>
      <c r="D16" s="123">
        <f>(C16-B16)</f>
        <v>6.25E-2</v>
      </c>
      <c r="E16" s="327" t="s">
        <v>184</v>
      </c>
      <c r="F16" s="328"/>
      <c r="G16" s="187"/>
      <c r="H16" s="81"/>
      <c r="I16" s="5"/>
    </row>
    <row r="17" spans="1:12" ht="78.75" customHeight="1" thickBot="1" x14ac:dyDescent="0.25">
      <c r="A17" s="139"/>
      <c r="B17" s="140"/>
      <c r="C17" s="140"/>
      <c r="D17" s="140"/>
      <c r="E17" s="329"/>
      <c r="F17" s="330"/>
      <c r="G17" s="184"/>
      <c r="I17" s="5"/>
    </row>
    <row r="18" spans="1:12" ht="15.75" customHeight="1" x14ac:dyDescent="0.25">
      <c r="A18" s="232">
        <f>DATE(2020,4,11)</f>
        <v>43932</v>
      </c>
      <c r="B18" s="163">
        <v>0.58333333333333337</v>
      </c>
      <c r="C18" s="163">
        <v>0.60416666666666663</v>
      </c>
      <c r="D18" s="160">
        <f>(C18-B18)</f>
        <v>2.0833333333333259E-2</v>
      </c>
      <c r="E18" s="319" t="s">
        <v>78</v>
      </c>
      <c r="F18" s="320"/>
      <c r="G18" s="185"/>
      <c r="I18" s="5"/>
    </row>
    <row r="19" spans="1:12" ht="15.75" thickBot="1" x14ac:dyDescent="0.3">
      <c r="A19" s="126"/>
      <c r="B19" s="161"/>
      <c r="C19" s="161"/>
      <c r="D19" s="161"/>
      <c r="E19" s="321"/>
      <c r="F19" s="322"/>
      <c r="G19" s="184"/>
      <c r="I19" s="5"/>
    </row>
    <row r="20" spans="1:12" ht="15.75" customHeight="1" x14ac:dyDescent="0.2">
      <c r="A20" s="134">
        <f>DATE(2020,4,12)</f>
        <v>43933</v>
      </c>
      <c r="B20" s="123">
        <v>0.58333333333333337</v>
      </c>
      <c r="C20" s="123">
        <v>0.61111111111111105</v>
      </c>
      <c r="D20" s="123">
        <f>(C20-B20)</f>
        <v>2.7777777777777679E-2</v>
      </c>
      <c r="E20" s="327" t="s">
        <v>169</v>
      </c>
      <c r="F20" s="328"/>
      <c r="G20" s="185"/>
    </row>
    <row r="21" spans="1:12" ht="37.5" customHeight="1" thickBot="1" x14ac:dyDescent="0.3">
      <c r="A21" s="137"/>
      <c r="B21" s="138"/>
      <c r="C21" s="138"/>
      <c r="D21" s="138"/>
      <c r="E21" s="329"/>
      <c r="F21" s="330"/>
      <c r="G21" s="184"/>
      <c r="I21" s="96"/>
      <c r="K21" s="96"/>
    </row>
    <row r="22" spans="1:12" ht="15.75" customHeight="1" x14ac:dyDescent="0.2">
      <c r="A22" s="260">
        <f>DATE(2020,4,12)</f>
        <v>43933</v>
      </c>
      <c r="B22" s="261">
        <v>0.61111111111111105</v>
      </c>
      <c r="C22" s="261">
        <v>0.70833333333333337</v>
      </c>
      <c r="D22" s="261">
        <f>(C22-B22)</f>
        <v>9.7222222222222321E-2</v>
      </c>
      <c r="E22" s="327" t="s">
        <v>170</v>
      </c>
      <c r="F22" s="328"/>
      <c r="G22" s="185" t="s">
        <v>146</v>
      </c>
      <c r="I22" s="97"/>
      <c r="K22" s="96"/>
      <c r="L22" s="5"/>
    </row>
    <row r="23" spans="1:12" ht="50.25" customHeight="1" thickBot="1" x14ac:dyDescent="0.3">
      <c r="A23" s="262"/>
      <c r="B23" s="263"/>
      <c r="C23" s="263"/>
      <c r="D23" s="263"/>
      <c r="E23" s="329"/>
      <c r="F23" s="330"/>
      <c r="G23" s="186"/>
      <c r="I23" s="98"/>
      <c r="K23" s="96"/>
      <c r="L23" s="5"/>
    </row>
    <row r="24" spans="1:12" ht="15.75" customHeight="1" x14ac:dyDescent="0.2">
      <c r="A24" s="132">
        <f>DATE(2020,4,12)</f>
        <v>43933</v>
      </c>
      <c r="B24" s="119">
        <v>0.80208333333333337</v>
      </c>
      <c r="C24" s="119">
        <v>0.80902777777777779</v>
      </c>
      <c r="D24" s="120">
        <f>(C24-B24)</f>
        <v>6.9444444444444198E-3</v>
      </c>
      <c r="E24" s="347" t="s">
        <v>171</v>
      </c>
      <c r="F24" s="348"/>
      <c r="G24" s="184"/>
      <c r="H24" s="218"/>
      <c r="K24" s="96"/>
      <c r="L24" s="5"/>
    </row>
    <row r="25" spans="1:12" ht="18" customHeight="1" thickBot="1" x14ac:dyDescent="0.3">
      <c r="A25" s="133"/>
      <c r="B25" s="121"/>
      <c r="C25" s="121"/>
      <c r="D25" s="121"/>
      <c r="E25" s="349"/>
      <c r="F25" s="350"/>
      <c r="G25" s="186"/>
      <c r="H25" s="219"/>
      <c r="K25" s="97"/>
      <c r="L25" s="5"/>
    </row>
    <row r="26" spans="1:12" ht="15.75" customHeight="1" x14ac:dyDescent="0.2">
      <c r="A26" s="259"/>
      <c r="B26" s="259"/>
      <c r="C26" s="259"/>
      <c r="D26" s="259"/>
      <c r="E26" s="259"/>
      <c r="F26" s="259"/>
      <c r="G26" s="184"/>
      <c r="H26" s="218"/>
      <c r="K26" s="99"/>
    </row>
    <row r="27" spans="1:12" ht="13.5" thickBot="1" x14ac:dyDescent="0.25">
      <c r="A27" s="258"/>
      <c r="B27" s="258"/>
      <c r="C27" s="258"/>
      <c r="D27" s="258"/>
      <c r="E27" s="258"/>
      <c r="F27" s="264"/>
      <c r="G27" s="186"/>
      <c r="H27" s="220"/>
      <c r="K27" s="90"/>
    </row>
    <row r="28" spans="1:12" ht="24" thickBot="1" x14ac:dyDescent="0.4">
      <c r="A28" s="101" t="s">
        <v>18</v>
      </c>
      <c r="B28" s="101"/>
      <c r="C28" s="27"/>
      <c r="D28" s="27"/>
      <c r="E28" s="27"/>
      <c r="F28" s="102"/>
      <c r="G28" s="102"/>
    </row>
    <row r="29" spans="1:12" x14ac:dyDescent="0.2">
      <c r="B29" s="103"/>
      <c r="C29" s="104"/>
      <c r="D29" s="105"/>
      <c r="E29" s="106"/>
      <c r="K29" s="180"/>
    </row>
    <row r="30" spans="1:12" ht="12.75" customHeight="1" x14ac:dyDescent="0.2">
      <c r="A30" s="314"/>
      <c r="B30" s="314"/>
      <c r="C30" s="314"/>
      <c r="D30" s="314"/>
      <c r="E30" s="314"/>
      <c r="F30" s="314"/>
      <c r="G30" s="314"/>
      <c r="H30" s="5"/>
      <c r="K30" s="180"/>
    </row>
    <row r="31" spans="1:12" ht="12.75" customHeight="1" x14ac:dyDescent="0.2">
      <c r="A31" s="314"/>
      <c r="B31" s="314"/>
      <c r="C31" s="314"/>
      <c r="D31" s="314"/>
      <c r="E31" s="314"/>
      <c r="F31" s="314"/>
      <c r="G31" s="314"/>
      <c r="H31" s="5"/>
      <c r="K31" s="180"/>
    </row>
    <row r="32" spans="1:12" ht="12.75" customHeight="1" x14ac:dyDescent="0.2">
      <c r="A32" s="314"/>
      <c r="B32" s="314"/>
      <c r="C32" s="314"/>
      <c r="D32" s="314"/>
      <c r="E32" s="314"/>
      <c r="F32" s="314"/>
      <c r="G32" s="314"/>
      <c r="H32" s="5"/>
      <c r="K32" s="180"/>
    </row>
    <row r="33" spans="1:11" ht="12.75" customHeight="1" x14ac:dyDescent="0.2">
      <c r="A33" s="314"/>
      <c r="B33" s="314"/>
      <c r="C33" s="314"/>
      <c r="D33" s="314"/>
      <c r="E33" s="314"/>
      <c r="F33" s="314"/>
      <c r="G33" s="314"/>
      <c r="H33" s="5"/>
      <c r="K33" s="180"/>
    </row>
    <row r="34" spans="1:11" ht="12.75" customHeight="1" x14ac:dyDescent="0.2">
      <c r="A34" s="314"/>
      <c r="B34" s="314"/>
      <c r="C34" s="314"/>
      <c r="D34" s="314"/>
      <c r="E34" s="314"/>
      <c r="F34" s="314"/>
      <c r="G34" s="314"/>
      <c r="H34" s="5"/>
      <c r="K34" s="180"/>
    </row>
    <row r="35" spans="1:11" ht="12.75" customHeight="1" x14ac:dyDescent="0.2">
      <c r="A35" s="314"/>
      <c r="B35" s="314"/>
      <c r="C35" s="314"/>
      <c r="D35" s="314"/>
      <c r="E35" s="314"/>
      <c r="F35" s="314"/>
      <c r="G35" s="314"/>
      <c r="H35" s="5"/>
      <c r="K35" s="180"/>
    </row>
    <row r="36" spans="1:11" ht="12.75" customHeight="1" x14ac:dyDescent="0.2">
      <c r="A36" s="314"/>
      <c r="B36" s="314"/>
      <c r="C36" s="314"/>
      <c r="D36" s="314"/>
      <c r="E36" s="314"/>
      <c r="F36" s="314"/>
      <c r="G36" s="314"/>
      <c r="H36" s="5"/>
      <c r="K36" s="252"/>
    </row>
    <row r="37" spans="1:11" ht="12.75" customHeight="1" x14ac:dyDescent="0.2">
      <c r="A37" s="314"/>
      <c r="B37" s="314"/>
      <c r="C37" s="314"/>
      <c r="D37" s="314"/>
      <c r="E37" s="314"/>
      <c r="F37" s="314"/>
      <c r="G37" s="314"/>
      <c r="H37" s="5"/>
    </row>
    <row r="38" spans="1:11" ht="12.75" customHeight="1" x14ac:dyDescent="0.2">
      <c r="A38" s="314"/>
      <c r="B38" s="314"/>
      <c r="C38" s="314"/>
      <c r="D38" s="314"/>
      <c r="E38" s="314"/>
      <c r="F38" s="314"/>
      <c r="G38" s="314"/>
      <c r="H38" s="5"/>
    </row>
    <row r="39" spans="1:11" ht="12.75" customHeight="1" x14ac:dyDescent="0.2">
      <c r="A39" s="314"/>
      <c r="B39" s="314"/>
      <c r="C39" s="314"/>
      <c r="D39" s="314"/>
      <c r="E39" s="314"/>
      <c r="F39" s="314"/>
      <c r="G39" s="314"/>
      <c r="H39" s="5"/>
    </row>
    <row r="40" spans="1:11" ht="12.75" customHeight="1" x14ac:dyDescent="0.2">
      <c r="A40" s="314"/>
      <c r="B40" s="314"/>
      <c r="C40" s="314"/>
      <c r="D40" s="314"/>
      <c r="E40" s="314"/>
      <c r="F40" s="314"/>
      <c r="G40" s="314"/>
      <c r="H40" s="5"/>
    </row>
    <row r="41" spans="1:11" ht="12.75" customHeight="1" x14ac:dyDescent="0.2">
      <c r="A41" s="314"/>
      <c r="B41" s="314"/>
      <c r="C41" s="314"/>
      <c r="D41" s="314"/>
      <c r="E41" s="314"/>
      <c r="F41" s="314"/>
      <c r="G41" s="314"/>
      <c r="H41" s="5"/>
    </row>
    <row r="42" spans="1:11" ht="12.75" customHeight="1" x14ac:dyDescent="0.2">
      <c r="A42" s="314"/>
      <c r="B42" s="314"/>
      <c r="C42" s="314"/>
      <c r="D42" s="314"/>
      <c r="E42" s="314"/>
      <c r="F42" s="314"/>
      <c r="G42" s="314"/>
      <c r="H42" s="5"/>
    </row>
    <row r="43" spans="1:11" ht="12.75" customHeight="1" x14ac:dyDescent="0.2">
      <c r="A43" s="5"/>
      <c r="B43" s="5"/>
      <c r="C43" s="5"/>
      <c r="D43" s="5"/>
      <c r="E43" s="5"/>
      <c r="F43" s="5"/>
      <c r="G43" s="5"/>
      <c r="H43" s="5"/>
    </row>
    <row r="44" spans="1:11" ht="12.75" customHeight="1" x14ac:dyDescent="0.2">
      <c r="A44" s="5"/>
      <c r="B44" s="5"/>
      <c r="C44" s="5"/>
      <c r="D44" s="5"/>
      <c r="E44" s="5"/>
      <c r="F44" s="5"/>
      <c r="G44" s="5"/>
      <c r="H44" s="5"/>
    </row>
    <row r="45" spans="1:11" ht="12.75" customHeight="1" x14ac:dyDescent="0.2">
      <c r="A45" s="5"/>
      <c r="B45" s="5"/>
      <c r="C45" s="5"/>
      <c r="D45" s="5"/>
      <c r="E45" s="5"/>
      <c r="F45" s="5"/>
      <c r="G45" s="5"/>
      <c r="H45" s="5"/>
    </row>
    <row r="46" spans="1:11" ht="15.75" customHeight="1" x14ac:dyDescent="0.2">
      <c r="A46" s="5"/>
      <c r="B46" s="5"/>
      <c r="C46" s="5"/>
      <c r="D46" s="5"/>
      <c r="E46" s="5"/>
      <c r="F46" s="5"/>
      <c r="G46" s="5"/>
      <c r="H46" s="5"/>
    </row>
    <row r="47" spans="1:11" ht="12.75" customHeight="1" x14ac:dyDescent="0.2">
      <c r="A47" s="5"/>
      <c r="B47" s="5"/>
      <c r="C47" s="5"/>
      <c r="D47" s="5"/>
      <c r="E47" s="5"/>
      <c r="F47" s="5"/>
      <c r="G47" s="5"/>
      <c r="H47" s="5"/>
    </row>
    <row r="48" spans="1:11" ht="12.75" customHeight="1" x14ac:dyDescent="0.2"/>
    <row r="49" ht="12.75" customHeight="1" x14ac:dyDescent="0.2"/>
  </sheetData>
  <mergeCells count="13">
    <mergeCell ref="E16:F17"/>
    <mergeCell ref="A1:D1"/>
    <mergeCell ref="A4:A5"/>
    <mergeCell ref="C4:C5"/>
    <mergeCell ref="J4:J5"/>
    <mergeCell ref="E10:F11"/>
    <mergeCell ref="E12:F13"/>
    <mergeCell ref="E14:F15"/>
    <mergeCell ref="E20:F21"/>
    <mergeCell ref="E22:F23"/>
    <mergeCell ref="E18:F19"/>
    <mergeCell ref="E24:F25"/>
    <mergeCell ref="A30:G42"/>
  </mergeCells>
  <phoneticPr fontId="31" type="noConversion"/>
  <conditionalFormatting sqref="I21 H24">
    <cfRule type="expression" dxfId="743" priority="64">
      <formula>ISNUMBER(SEARCH(TEXT(#REF!,"ddd"),#REF!))</formula>
    </cfRule>
  </conditionalFormatting>
  <conditionalFormatting sqref="B22:C22">
    <cfRule type="expression" dxfId="742" priority="65">
      <formula>ISNUMBER(SEARCH(TEXT(#REF!,"ddd"),#REF!))</formula>
    </cfRule>
  </conditionalFormatting>
  <conditionalFormatting sqref="K21:K24">
    <cfRule type="expression" dxfId="741" priority="66">
      <formula>ISNUMBER(SEARCH(TEXT(#REF!,"ddd"),#REF!))</formula>
    </cfRule>
  </conditionalFormatting>
  <conditionalFormatting sqref="A10:D10">
    <cfRule type="expression" dxfId="740" priority="63">
      <formula>ISNUMBER(SEARCH(TEXT(#REF!,"ddd"),#REF!))</formula>
    </cfRule>
  </conditionalFormatting>
  <conditionalFormatting sqref="B20:C20">
    <cfRule type="expression" dxfId="739" priority="62">
      <formula>ISNUMBER(SEARCH(TEXT(#REF!,"ddd"),#REF!))</formula>
    </cfRule>
  </conditionalFormatting>
  <conditionalFormatting sqref="B16:C16">
    <cfRule type="expression" dxfId="738" priority="61">
      <formula>ISNUMBER(SEARCH(TEXT(#REF!,"ddd"),#REF!))</formula>
    </cfRule>
  </conditionalFormatting>
  <conditionalFormatting sqref="A12">
    <cfRule type="expression" dxfId="737" priority="47">
      <formula>ISNUMBER(SEARCH(TEXT(#REF!,"ddd"),#REF!))</formula>
    </cfRule>
  </conditionalFormatting>
  <conditionalFormatting sqref="A22 A64">
    <cfRule type="expression" dxfId="736" priority="59">
      <formula>ISNUMBER(SEARCH(TEXT(#REF!,"ddd"),#REF!))</formula>
    </cfRule>
  </conditionalFormatting>
  <conditionalFormatting sqref="B12:C14 B54:C56">
    <cfRule type="expression" dxfId="735" priority="56">
      <formula>ISNUMBER(SEARCH(TEXT(#REF!,"ddd"),#REF!))</formula>
    </cfRule>
  </conditionalFormatting>
  <conditionalFormatting sqref="D12:D14 D54:D56">
    <cfRule type="expression" dxfId="734" priority="55">
      <formula>ISNUMBER(SEARCH(TEXT(#REF!,"ddd"),#REF!))</formula>
    </cfRule>
  </conditionalFormatting>
  <conditionalFormatting sqref="A18 A60">
    <cfRule type="expression" dxfId="733" priority="54">
      <formula>ISNUMBER(SEARCH(TEXT(#REF!,"ddd"),#REF!))</formula>
    </cfRule>
  </conditionalFormatting>
  <conditionalFormatting sqref="A13:A14 A55:A56">
    <cfRule type="expression" dxfId="732" priority="53">
      <formula>ISNUMBER(SEARCH(TEXT(#REF!,"ddd"),#REF!))</formula>
    </cfRule>
  </conditionalFormatting>
  <conditionalFormatting sqref="A20 A62">
    <cfRule type="expression" dxfId="731" priority="52">
      <formula>ISNUMBER(SEARCH(TEXT(#REF!,"ddd"),#REF!))</formula>
    </cfRule>
  </conditionalFormatting>
  <conditionalFormatting sqref="H26">
    <cfRule type="expression" dxfId="730" priority="51">
      <formula>ISNUMBER(SEARCH(TEXT(#REF!,"ddd"),#REF!))</formula>
    </cfRule>
  </conditionalFormatting>
  <conditionalFormatting sqref="D20 D62">
    <cfRule type="expression" dxfId="729" priority="15">
      <formula>ISNUMBER(SEARCH(TEXT(#REF!,"ddd"),#REF!))</formula>
    </cfRule>
  </conditionalFormatting>
  <conditionalFormatting sqref="D16 D58">
    <cfRule type="expression" dxfId="728" priority="13">
      <formula>ISNUMBER(SEARCH(TEXT(#REF!,"ddd"),#REF!))</formula>
    </cfRule>
  </conditionalFormatting>
  <conditionalFormatting sqref="A16 A58">
    <cfRule type="expression" dxfId="727" priority="12">
      <formula>ISNUMBER(SEARCH(TEXT(#REF!,"ddd"),#REF!))</formula>
    </cfRule>
  </conditionalFormatting>
  <conditionalFormatting sqref="B20:C20">
    <cfRule type="expression" dxfId="726" priority="11">
      <formula>ISNUMBER(SEARCH(TEXT(#REF!,"ddd"),#REF!))</formula>
    </cfRule>
  </conditionalFormatting>
  <conditionalFormatting sqref="B18:C18">
    <cfRule type="expression" dxfId="725" priority="10">
      <formula>ISNUMBER(SEARCH(TEXT(#REF!,"ddd"),#REF!))</formula>
    </cfRule>
  </conditionalFormatting>
  <conditionalFormatting sqref="A20">
    <cfRule type="expression" dxfId="724" priority="9">
      <formula>ISNUMBER(SEARCH(TEXT(#REF!,"ddd"),#REF!))</formula>
    </cfRule>
  </conditionalFormatting>
  <conditionalFormatting sqref="A18 A60">
    <cfRule type="expression" dxfId="723" priority="8">
      <formula>ISNUMBER(SEARCH(TEXT(#REF!,"ddd"),#REF!))</formula>
    </cfRule>
  </conditionalFormatting>
  <conditionalFormatting sqref="D18 D60">
    <cfRule type="expression" dxfId="722" priority="7">
      <formula>ISNUMBER(SEARCH(TEXT(#REF!,"ddd"),#REF!))</formula>
    </cfRule>
  </conditionalFormatting>
  <conditionalFormatting sqref="D20 D62">
    <cfRule type="expression" dxfId="721" priority="6">
      <formula>ISNUMBER(SEARCH(TEXT(#REF!,"ddd"),#REF!))</formula>
    </cfRule>
  </conditionalFormatting>
  <conditionalFormatting sqref="A24 A66">
    <cfRule type="expression" dxfId="720" priority="5">
      <formula>ISNUMBER(SEARCH(TEXT(#REF!,"ddd"),#REF!))</formula>
    </cfRule>
  </conditionalFormatting>
  <conditionalFormatting sqref="D22 D64">
    <cfRule type="expression" dxfId="719" priority="4">
      <formula>ISNUMBER(SEARCH(TEXT(#REF!,"ddd"),#REF!))</formula>
    </cfRule>
  </conditionalFormatting>
  <conditionalFormatting sqref="D22 D64">
    <cfRule type="expression" dxfId="718" priority="3">
      <formula>ISNUMBER(SEARCH(TEXT(#REF!,"ddd"),#REF!))</formula>
    </cfRule>
  </conditionalFormatting>
  <conditionalFormatting sqref="D24 D66">
    <cfRule type="expression" dxfId="717" priority="2">
      <formula>ISNUMBER(SEARCH(TEXT(#REF!,"ddd"),#REF!))</formula>
    </cfRule>
  </conditionalFormatting>
  <conditionalFormatting sqref="D24 D66">
    <cfRule type="expression" dxfId="716" priority="1">
      <formula>ISNUMBER(SEARCH(TEXT(#REF!,"ddd"),#REF!))</formula>
    </cfRule>
  </conditionalFormatting>
  <dataValidations count="2">
    <dataValidation type="custom" allowBlank="1" showInputMessage="1" showErrorMessage="1" sqref="C10" xr:uid="{A2643F10-20FC-429F-9BC4-7FFFBDBB92A9}">
      <formula1>AND($C10&lt;=1,ISNUMBER($C10),($C10&gt;=$B10))</formula1>
    </dataValidation>
    <dataValidation type="custom" allowBlank="1" showInputMessage="1" showErrorMessage="1" sqref="B10 B12:C14 B16:C16 B22:C22 B18:C18 B20:C20" xr:uid="{21AB8CCB-E91A-466D-BEAB-A7A38051CE53}">
      <formula1>AND($B10&lt;=1,ISNUMBER($B10))</formula1>
    </dataValidation>
  </dataValidations>
  <pageMargins left="0.11811023622047245" right="0" top="0.11811023622047245" bottom="0.15748031496062992" header="0" footer="0"/>
  <pageSetup paperSize="9" scale="49" fitToHeight="0" orientation="portrait" horizontalDpi="4294967293" verticalDpi="4294967293"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02678-3EED-4DA5-932C-6F1554EEBAFC}">
  <sheetPr codeName="Sheet24">
    <pageSetUpPr fitToPage="1"/>
  </sheetPr>
  <dimension ref="A1:M81"/>
  <sheetViews>
    <sheetView showGridLines="0" zoomScale="70" zoomScaleNormal="70" workbookViewId="0">
      <selection activeCell="J21" sqref="J21:K46"/>
    </sheetView>
  </sheetViews>
  <sheetFormatPr baseColWidth="10" defaultColWidth="9" defaultRowHeight="12.75" x14ac:dyDescent="0.2"/>
  <cols>
    <col min="1" max="1" width="15.5" customWidth="1"/>
    <col min="2" max="2" width="8.875" customWidth="1"/>
    <col min="3" max="3" width="11.75" customWidth="1"/>
    <col min="4" max="4" width="11.5" customWidth="1"/>
    <col min="5" max="5" width="22.125" bestFit="1" customWidth="1"/>
    <col min="6" max="7" width="18" bestFit="1" customWidth="1"/>
    <col min="8" max="8" width="8.875" customWidth="1"/>
    <col min="9" max="9" width="11.625" customWidth="1"/>
    <col min="10" max="10" width="9.5" customWidth="1"/>
    <col min="11" max="11" width="12.375" customWidth="1"/>
    <col min="12" max="12" width="17.875" bestFit="1" customWidth="1"/>
    <col min="13" max="13" width="19.25" bestFit="1" customWidth="1"/>
  </cols>
  <sheetData>
    <row r="1" spans="1:13" ht="27" thickTop="1" x14ac:dyDescent="0.4">
      <c r="A1" s="301" t="s">
        <v>20</v>
      </c>
      <c r="B1" s="301"/>
      <c r="C1" s="301"/>
      <c r="D1" s="301"/>
      <c r="E1" s="55">
        <f>WEEKNUM(A10)</f>
        <v>16</v>
      </c>
      <c r="F1" s="83"/>
      <c r="G1" s="57"/>
      <c r="H1" s="84"/>
      <c r="J1" s="1"/>
    </row>
    <row r="2" spans="1:13" s="1" customFormat="1" ht="14.25" customHeight="1" x14ac:dyDescent="0.25">
      <c r="A2" s="49" t="s">
        <v>1</v>
      </c>
      <c r="B2" s="49"/>
      <c r="C2" s="49" t="s">
        <v>2</v>
      </c>
      <c r="D2" s="49"/>
      <c r="E2" s="85" t="s">
        <v>3</v>
      </c>
      <c r="F2" s="54" t="s">
        <v>4</v>
      </c>
      <c r="G2" s="54" t="s">
        <v>5</v>
      </c>
      <c r="H2" s="20"/>
      <c r="I2" s="86"/>
      <c r="J2" s="87"/>
      <c r="M2" s="1" t="s">
        <v>21</v>
      </c>
    </row>
    <row r="3" spans="1:13" ht="16.5" thickBot="1" x14ac:dyDescent="0.25">
      <c r="A3" s="136">
        <f>MIN(A10:A114)</f>
        <v>43934</v>
      </c>
      <c r="B3" s="202"/>
      <c r="C3" s="136">
        <f>MAXA(A10:A114)</f>
        <v>43940</v>
      </c>
      <c r="D3" s="188"/>
      <c r="E3" s="88" t="s">
        <v>6</v>
      </c>
      <c r="F3" s="46">
        <f>Sumcolor(E3,D10:D96)</f>
        <v>0</v>
      </c>
      <c r="G3" s="177">
        <f>SUM(Først:Sist!F3)</f>
        <v>1.0381944444444446</v>
      </c>
      <c r="H3" s="89"/>
      <c r="I3" s="90"/>
      <c r="J3" s="90"/>
      <c r="M3" t="s">
        <v>22</v>
      </c>
    </row>
    <row r="4" spans="1:13" ht="15" customHeight="1" x14ac:dyDescent="0.2">
      <c r="A4" s="391" t="s">
        <v>23</v>
      </c>
      <c r="B4" s="194"/>
      <c r="C4" s="293" t="s">
        <v>24</v>
      </c>
      <c r="D4" s="203"/>
      <c r="E4" s="91" t="s">
        <v>9</v>
      </c>
      <c r="F4" s="46">
        <f>Sumcolor(E4,D10:D96)</f>
        <v>0.58680555555555547</v>
      </c>
      <c r="G4" s="177">
        <f>SUM(Først:Sist!F4)</f>
        <v>8.03125</v>
      </c>
      <c r="H4" s="89"/>
      <c r="I4" s="90"/>
      <c r="J4" s="309"/>
    </row>
    <row r="5" spans="1:13" ht="15.75" x14ac:dyDescent="0.2">
      <c r="A5" s="302"/>
      <c r="B5" s="203"/>
      <c r="C5" s="302"/>
      <c r="D5" s="203"/>
      <c r="E5" s="159" t="s">
        <v>10</v>
      </c>
      <c r="F5" s="46">
        <f>Sumcolor(E5,D10:D96)</f>
        <v>6.2499999999999778E-2</v>
      </c>
      <c r="G5" s="177">
        <f>SUM(Først:Sist!F5)</f>
        <v>1.8090277777777768</v>
      </c>
      <c r="H5" s="89"/>
      <c r="I5" s="90"/>
      <c r="J5" s="309"/>
      <c r="M5" t="s">
        <v>25</v>
      </c>
    </row>
    <row r="6" spans="1:13" ht="18.75" customHeight="1" thickBot="1" x14ac:dyDescent="0.25">
      <c r="A6" s="182">
        <f>SUM(D10:D114)</f>
        <v>0.96874999999999956</v>
      </c>
      <c r="B6" s="51"/>
      <c r="C6" s="82">
        <f>SUM(Først:Sist!A6)</f>
        <v>12.965277777777779</v>
      </c>
      <c r="D6" s="52"/>
      <c r="E6" s="92" t="s">
        <v>11</v>
      </c>
      <c r="F6" s="48">
        <f>Sumcolor(E6,D10:D96)</f>
        <v>0.31944444444444431</v>
      </c>
      <c r="G6" s="178">
        <f>SUM(Først:Sist!F6)</f>
        <v>1.9895833333333335</v>
      </c>
      <c r="H6" s="89"/>
      <c r="I6" s="90"/>
      <c r="J6" s="90"/>
      <c r="M6" t="s">
        <v>26</v>
      </c>
    </row>
    <row r="7" spans="1:13" ht="12.75" customHeight="1" x14ac:dyDescent="0.2">
      <c r="A7" s="19"/>
      <c r="B7" s="23"/>
      <c r="C7" s="24"/>
      <c r="D7" s="93"/>
      <c r="E7" s="23"/>
      <c r="F7" s="267">
        <f>SUM(F3:F6)</f>
        <v>0.96874999999999956</v>
      </c>
      <c r="G7" s="25"/>
      <c r="H7" s="25"/>
    </row>
    <row r="8" spans="1:13" x14ac:dyDescent="0.2">
      <c r="A8" s="23"/>
      <c r="B8" s="25"/>
      <c r="C8" s="93"/>
      <c r="D8" s="25"/>
      <c r="E8" s="23"/>
      <c r="F8" s="23"/>
      <c r="G8" s="25"/>
      <c r="H8" s="25"/>
      <c r="M8" t="s">
        <v>27</v>
      </c>
    </row>
    <row r="9" spans="1:13" ht="16.5" thickBot="1" x14ac:dyDescent="0.3">
      <c r="A9" s="49" t="s">
        <v>12</v>
      </c>
      <c r="B9" s="49" t="s">
        <v>13</v>
      </c>
      <c r="C9" s="49" t="s">
        <v>14</v>
      </c>
      <c r="D9" s="49" t="s">
        <v>15</v>
      </c>
      <c r="E9" s="107" t="s">
        <v>16</v>
      </c>
      <c r="F9" s="102"/>
      <c r="G9" s="166" t="s">
        <v>17</v>
      </c>
      <c r="H9" s="25"/>
      <c r="M9" t="s">
        <v>28</v>
      </c>
    </row>
    <row r="10" spans="1:13" ht="15.75" customHeight="1" x14ac:dyDescent="0.2">
      <c r="A10" s="125">
        <f>DATE(2020,4,13)</f>
        <v>43934</v>
      </c>
      <c r="B10" s="160">
        <v>0.58333333333333337</v>
      </c>
      <c r="C10" s="160">
        <v>0.60416666666666663</v>
      </c>
      <c r="D10" s="160">
        <f>(C10-B10)</f>
        <v>2.0833333333333259E-2</v>
      </c>
      <c r="E10" s="319" t="s">
        <v>78</v>
      </c>
      <c r="F10" s="320"/>
      <c r="G10" s="183"/>
      <c r="H10" s="173"/>
    </row>
    <row r="11" spans="1:13" ht="15.75" thickBot="1" x14ac:dyDescent="0.3">
      <c r="A11" s="126"/>
      <c r="B11" s="161"/>
      <c r="C11" s="161"/>
      <c r="D11" s="161"/>
      <c r="E11" s="321"/>
      <c r="F11" s="322"/>
      <c r="G11" s="184"/>
      <c r="H11" s="25"/>
      <c r="K11" s="257"/>
      <c r="M11" t="s">
        <v>30</v>
      </c>
    </row>
    <row r="12" spans="1:13" ht="15.75" customHeight="1" x14ac:dyDescent="0.25">
      <c r="A12" s="134">
        <f>DATE(2020,4,13)</f>
        <v>43934</v>
      </c>
      <c r="B12" s="170">
        <v>0.61111111111111105</v>
      </c>
      <c r="C12" s="170">
        <v>0.63541666666666663</v>
      </c>
      <c r="D12" s="123">
        <f>(C12-B12)</f>
        <v>2.430555555555558E-2</v>
      </c>
      <c r="E12" s="392" t="s">
        <v>172</v>
      </c>
      <c r="F12" s="393"/>
      <c r="G12" s="185"/>
      <c r="M12" t="s">
        <v>32</v>
      </c>
    </row>
    <row r="13" spans="1:13" ht="37.5" customHeight="1" thickBot="1" x14ac:dyDescent="0.3">
      <c r="A13" s="214"/>
      <c r="B13" s="215"/>
      <c r="C13" s="215"/>
      <c r="D13" s="216"/>
      <c r="E13" s="394"/>
      <c r="F13" s="395"/>
      <c r="G13" s="217"/>
    </row>
    <row r="14" spans="1:13" ht="15.75" x14ac:dyDescent="0.25">
      <c r="A14" s="134">
        <f>DATE(2020,4,13)</f>
        <v>43934</v>
      </c>
      <c r="B14" s="211">
        <v>0.85069444444444453</v>
      </c>
      <c r="C14" s="211">
        <v>0.85763888888888884</v>
      </c>
      <c r="D14" s="123">
        <f>(C14-B14)</f>
        <v>6.9444444444443088E-3</v>
      </c>
      <c r="E14" s="392" t="s">
        <v>173</v>
      </c>
      <c r="F14" s="393"/>
      <c r="G14" s="184"/>
    </row>
    <row r="15" spans="1:13" ht="87.75" customHeight="1" thickBot="1" x14ac:dyDescent="0.3">
      <c r="A15" s="213"/>
      <c r="B15" s="138"/>
      <c r="C15" s="138"/>
      <c r="D15" s="138"/>
      <c r="E15" s="394"/>
      <c r="F15" s="395"/>
      <c r="G15" s="186"/>
      <c r="H15" s="5"/>
    </row>
    <row r="16" spans="1:13" ht="15.75" customHeight="1" x14ac:dyDescent="0.2">
      <c r="A16" s="125">
        <f>DATE(2020,4,16)</f>
        <v>43937</v>
      </c>
      <c r="B16" s="160">
        <v>0.58333333333333337</v>
      </c>
      <c r="C16" s="160">
        <v>0.60416666666666663</v>
      </c>
      <c r="D16" s="160">
        <f>(C16-B16)</f>
        <v>2.0833333333333259E-2</v>
      </c>
      <c r="E16" s="319" t="s">
        <v>78</v>
      </c>
      <c r="F16" s="320"/>
      <c r="G16" s="187"/>
      <c r="H16" s="81"/>
      <c r="I16" s="5"/>
    </row>
    <row r="17" spans="1:12" ht="13.5" customHeight="1" thickBot="1" x14ac:dyDescent="0.25">
      <c r="A17" s="168"/>
      <c r="B17" s="169"/>
      <c r="C17" s="169"/>
      <c r="D17" s="169"/>
      <c r="E17" s="321"/>
      <c r="F17" s="322"/>
      <c r="G17" s="184"/>
      <c r="I17" s="5"/>
    </row>
    <row r="18" spans="1:12" ht="15.75" customHeight="1" x14ac:dyDescent="0.25">
      <c r="A18" s="132">
        <f>DATE(2020,4,16)</f>
        <v>43937</v>
      </c>
      <c r="B18" s="244">
        <v>0.60763888888888895</v>
      </c>
      <c r="C18" s="244">
        <v>0.61111111111111105</v>
      </c>
      <c r="D18" s="120">
        <f>(C18-B18)</f>
        <v>3.4722222222220989E-3</v>
      </c>
      <c r="E18" s="333" t="s">
        <v>174</v>
      </c>
      <c r="F18" s="334"/>
      <c r="G18" s="185"/>
      <c r="I18" s="5"/>
    </row>
    <row r="19" spans="1:12" ht="15.75" thickBot="1" x14ac:dyDescent="0.3">
      <c r="A19" s="265"/>
      <c r="B19" s="251"/>
      <c r="C19" s="251"/>
      <c r="D19" s="251"/>
      <c r="E19" s="335"/>
      <c r="F19" s="336"/>
      <c r="G19" s="184"/>
      <c r="I19" s="5"/>
    </row>
    <row r="20" spans="1:12" ht="15.75" customHeight="1" x14ac:dyDescent="0.2">
      <c r="A20" s="132">
        <f>DATE(2020,4,16)</f>
        <v>43937</v>
      </c>
      <c r="B20" s="120">
        <v>0.61458333333333337</v>
      </c>
      <c r="C20" s="120">
        <v>0.61805555555555558</v>
      </c>
      <c r="D20" s="120">
        <f>(C20-B20)</f>
        <v>3.4722222222222099E-3</v>
      </c>
      <c r="E20" s="333" t="s">
        <v>175</v>
      </c>
      <c r="F20" s="334"/>
      <c r="G20" s="185"/>
    </row>
    <row r="21" spans="1:12" ht="15.75" customHeight="1" thickBot="1" x14ac:dyDescent="0.3">
      <c r="A21" s="265"/>
      <c r="B21" s="251"/>
      <c r="C21" s="251"/>
      <c r="D21" s="251"/>
      <c r="E21" s="335"/>
      <c r="F21" s="336"/>
      <c r="G21" s="184"/>
      <c r="I21" s="96"/>
      <c r="K21" s="96"/>
    </row>
    <row r="22" spans="1:12" ht="15.75" customHeight="1" x14ac:dyDescent="0.2">
      <c r="A22" s="134">
        <f>DATE(2020,4,16)</f>
        <v>43937</v>
      </c>
      <c r="B22" s="123">
        <v>0.75</v>
      </c>
      <c r="C22" s="123">
        <v>0.87847222222222221</v>
      </c>
      <c r="D22" s="123">
        <f>(C22-B22)</f>
        <v>0.12847222222222221</v>
      </c>
      <c r="E22" s="327" t="s">
        <v>176</v>
      </c>
      <c r="F22" s="328"/>
      <c r="G22" s="185" t="s">
        <v>177</v>
      </c>
      <c r="I22" s="97"/>
      <c r="J22" s="180"/>
      <c r="K22" s="96"/>
      <c r="L22" s="5"/>
    </row>
    <row r="23" spans="1:12" ht="15.75" thickBot="1" x14ac:dyDescent="0.3">
      <c r="A23" s="137"/>
      <c r="B23" s="138"/>
      <c r="C23" s="138"/>
      <c r="D23" s="138"/>
      <c r="E23" s="329"/>
      <c r="F23" s="330"/>
      <c r="G23" s="186"/>
      <c r="I23" s="98"/>
      <c r="J23" s="180"/>
      <c r="K23" s="96"/>
      <c r="L23" s="5"/>
    </row>
    <row r="24" spans="1:12" ht="15.75" customHeight="1" x14ac:dyDescent="0.2">
      <c r="A24" s="134">
        <f>DATE(2020,4,17)</f>
        <v>43938</v>
      </c>
      <c r="B24" s="122">
        <v>0.6875</v>
      </c>
      <c r="C24" s="122">
        <v>0.80902777777777779</v>
      </c>
      <c r="D24" s="123">
        <f>(C24-B24)</f>
        <v>0.12152777777777779</v>
      </c>
      <c r="E24" s="327" t="s">
        <v>178</v>
      </c>
      <c r="F24" s="328"/>
      <c r="G24" s="185" t="s">
        <v>177</v>
      </c>
      <c r="H24" s="218"/>
      <c r="J24" s="180"/>
      <c r="K24" s="96"/>
      <c r="L24" s="5"/>
    </row>
    <row r="25" spans="1:12" ht="18" customHeight="1" thickBot="1" x14ac:dyDescent="0.3">
      <c r="A25" s="135"/>
      <c r="B25" s="124"/>
      <c r="C25" s="124"/>
      <c r="D25" s="124"/>
      <c r="E25" s="329"/>
      <c r="F25" s="330"/>
      <c r="G25" s="186"/>
      <c r="H25" s="219"/>
      <c r="J25" s="180"/>
      <c r="K25" s="97"/>
      <c r="L25" s="5"/>
    </row>
    <row r="26" spans="1:12" ht="15.75" customHeight="1" x14ac:dyDescent="0.2">
      <c r="A26" s="134">
        <f>DATE(2020,4,17)</f>
        <v>43938</v>
      </c>
      <c r="B26" s="122">
        <v>0.91666666666666663</v>
      </c>
      <c r="C26" s="122">
        <v>0.97916666666666663</v>
      </c>
      <c r="D26" s="123">
        <f>(C26-B26)</f>
        <v>6.25E-2</v>
      </c>
      <c r="E26" s="327" t="s">
        <v>178</v>
      </c>
      <c r="F26" s="328"/>
      <c r="G26" s="185" t="s">
        <v>177</v>
      </c>
      <c r="H26" s="218"/>
      <c r="J26" s="180"/>
      <c r="K26" s="99"/>
    </row>
    <row r="27" spans="1:12" ht="13.5" thickBot="1" x14ac:dyDescent="0.25">
      <c r="A27" s="266"/>
      <c r="B27" s="266"/>
      <c r="C27" s="266"/>
      <c r="D27" s="266"/>
      <c r="E27" s="329"/>
      <c r="F27" s="330"/>
      <c r="G27" s="186"/>
      <c r="H27" s="220"/>
      <c r="J27" s="180"/>
      <c r="K27" s="90"/>
    </row>
    <row r="28" spans="1:12" ht="15.75" customHeight="1" x14ac:dyDescent="0.2">
      <c r="A28" s="134">
        <f>DATE(2020,4,18)</f>
        <v>43939</v>
      </c>
      <c r="B28" s="122">
        <v>0.53125</v>
      </c>
      <c r="C28" s="122">
        <v>0.58333333333333337</v>
      </c>
      <c r="D28" s="123">
        <f>(C28-B28)</f>
        <v>5.208333333333337E-2</v>
      </c>
      <c r="E28" s="327" t="s">
        <v>178</v>
      </c>
      <c r="F28" s="328"/>
      <c r="G28" s="185" t="s">
        <v>177</v>
      </c>
      <c r="H28" s="29"/>
      <c r="J28" s="180"/>
      <c r="K28" s="5"/>
    </row>
    <row r="29" spans="1:12" ht="16.5" thickBot="1" x14ac:dyDescent="0.3">
      <c r="A29" s="135"/>
      <c r="B29" s="124"/>
      <c r="C29" s="124"/>
      <c r="D29" s="124"/>
      <c r="E29" s="329"/>
      <c r="F29" s="330"/>
      <c r="G29" s="186"/>
      <c r="J29" s="180"/>
    </row>
    <row r="30" spans="1:12" ht="15.75" customHeight="1" x14ac:dyDescent="0.2">
      <c r="A30" s="125">
        <f>DATE(2020,4,18)</f>
        <v>43939</v>
      </c>
      <c r="B30" s="164">
        <v>0.58333333333333337</v>
      </c>
      <c r="C30" s="164">
        <v>0.60416666666666663</v>
      </c>
      <c r="D30" s="160">
        <f>(C30-B30)</f>
        <v>2.0833333333333259E-2</v>
      </c>
      <c r="E30" s="319" t="s">
        <v>78</v>
      </c>
      <c r="F30" s="320"/>
      <c r="G30" s="185"/>
      <c r="J30" s="180"/>
    </row>
    <row r="31" spans="1:12" ht="16.5" thickBot="1" x14ac:dyDescent="0.3">
      <c r="A31" s="131"/>
      <c r="B31" s="165"/>
      <c r="C31" s="165"/>
      <c r="D31" s="165"/>
      <c r="E31" s="321"/>
      <c r="F31" s="322"/>
      <c r="G31" s="186"/>
      <c r="J31" s="180"/>
    </row>
    <row r="32" spans="1:12" ht="15.75" customHeight="1" x14ac:dyDescent="0.2">
      <c r="A32" s="134">
        <f>DATE(2020,4,18)</f>
        <v>43939</v>
      </c>
      <c r="B32" s="122">
        <v>0.61458333333333337</v>
      </c>
      <c r="C32" s="122">
        <v>0.62152777777777779</v>
      </c>
      <c r="D32" s="123">
        <f>(C32-B32)</f>
        <v>6.9444444444444198E-3</v>
      </c>
      <c r="E32" s="327" t="s">
        <v>179</v>
      </c>
      <c r="F32" s="328"/>
      <c r="G32" s="184"/>
      <c r="J32" s="180"/>
    </row>
    <row r="33" spans="1:11" ht="15.75" customHeight="1" thickBot="1" x14ac:dyDescent="0.3">
      <c r="A33" s="135"/>
      <c r="B33" s="124"/>
      <c r="C33" s="124"/>
      <c r="D33" s="124"/>
      <c r="E33" s="329"/>
      <c r="F33" s="330"/>
      <c r="G33" s="186"/>
    </row>
    <row r="34" spans="1:11" ht="15.75" customHeight="1" x14ac:dyDescent="0.2">
      <c r="A34" s="134">
        <f>DATE(2020,4,18)</f>
        <v>43939</v>
      </c>
      <c r="B34" s="122">
        <v>0.64583333333333337</v>
      </c>
      <c r="C34" s="122">
        <v>0.69444444444444453</v>
      </c>
      <c r="D34" s="123">
        <f>(C34-B34)</f>
        <v>4.861111111111116E-2</v>
      </c>
      <c r="E34" s="327" t="s">
        <v>178</v>
      </c>
      <c r="F34" s="328"/>
      <c r="G34" s="185" t="s">
        <v>177</v>
      </c>
    </row>
    <row r="35" spans="1:11" ht="16.5" thickBot="1" x14ac:dyDescent="0.3">
      <c r="A35" s="135"/>
      <c r="B35" s="124"/>
      <c r="C35" s="124"/>
      <c r="D35" s="124"/>
      <c r="E35" s="329"/>
      <c r="F35" s="330"/>
      <c r="G35" s="186"/>
      <c r="K35" s="90"/>
    </row>
    <row r="36" spans="1:11" ht="15.75" customHeight="1" x14ac:dyDescent="0.2">
      <c r="A36" s="134">
        <f>DATE(2020,4,18)</f>
        <v>43939</v>
      </c>
      <c r="B36" s="122">
        <v>0.69444444444444453</v>
      </c>
      <c r="C36" s="122">
        <v>0.72916666666666663</v>
      </c>
      <c r="D36" s="123">
        <f>(C36-B36)</f>
        <v>3.4722222222222099E-2</v>
      </c>
      <c r="E36" s="327" t="s">
        <v>178</v>
      </c>
      <c r="F36" s="328"/>
      <c r="G36" s="185" t="s">
        <v>177</v>
      </c>
    </row>
    <row r="37" spans="1:11" ht="16.5" thickBot="1" x14ac:dyDescent="0.3">
      <c r="A37" s="135"/>
      <c r="B37" s="124"/>
      <c r="C37" s="124"/>
      <c r="D37" s="124"/>
      <c r="E37" s="329"/>
      <c r="F37" s="330"/>
      <c r="G37" s="186"/>
    </row>
    <row r="38" spans="1:11" ht="15.75" x14ac:dyDescent="0.2">
      <c r="A38" s="132">
        <f>DATE(2020,4,18)</f>
        <v>43939</v>
      </c>
      <c r="B38" s="119">
        <v>0.73611111111111116</v>
      </c>
      <c r="C38" s="119">
        <v>0.86111111111111116</v>
      </c>
      <c r="D38" s="120">
        <f>(C38-B38)</f>
        <v>0.125</v>
      </c>
      <c r="E38" s="333" t="s">
        <v>180</v>
      </c>
      <c r="F38" s="334"/>
      <c r="G38" s="184"/>
    </row>
    <row r="39" spans="1:11" ht="32.25" customHeight="1" thickBot="1" x14ac:dyDescent="0.3">
      <c r="A39" s="133"/>
      <c r="B39" s="121"/>
      <c r="C39" s="121"/>
      <c r="D39" s="121"/>
      <c r="E39" s="335"/>
      <c r="F39" s="336"/>
      <c r="G39" s="186"/>
    </row>
    <row r="40" spans="1:11" ht="15.75" x14ac:dyDescent="0.2">
      <c r="A40" s="134">
        <f>DATE(2020,4,18)</f>
        <v>43939</v>
      </c>
      <c r="B40" s="122">
        <v>0.86805555555555547</v>
      </c>
      <c r="C40" s="122">
        <v>0.87152777777777779</v>
      </c>
      <c r="D40" s="123">
        <f>(C40-B40)</f>
        <v>3.4722222222223209E-3</v>
      </c>
      <c r="E40" s="327" t="s">
        <v>181</v>
      </c>
      <c r="F40" s="328"/>
      <c r="G40" s="185"/>
    </row>
    <row r="41" spans="1:11" ht="16.5" thickBot="1" x14ac:dyDescent="0.3">
      <c r="A41" s="135"/>
      <c r="B41" s="124"/>
      <c r="C41" s="124"/>
      <c r="D41" s="124"/>
      <c r="E41" s="329"/>
      <c r="F41" s="330"/>
      <c r="G41" s="186"/>
    </row>
    <row r="42" spans="1:11" ht="15.75" x14ac:dyDescent="0.2">
      <c r="A42" s="134">
        <f>DATE(2020,4,18)</f>
        <v>43939</v>
      </c>
      <c r="B42" s="122">
        <v>0.875</v>
      </c>
      <c r="C42" s="122">
        <v>0.88888888888888884</v>
      </c>
      <c r="D42" s="123">
        <f>(C42-B42)</f>
        <v>1.388888888888884E-2</v>
      </c>
      <c r="E42" s="327" t="s">
        <v>178</v>
      </c>
      <c r="F42" s="328"/>
      <c r="G42" s="185" t="s">
        <v>177</v>
      </c>
    </row>
    <row r="43" spans="1:11" ht="16.5" thickBot="1" x14ac:dyDescent="0.3">
      <c r="A43" s="135"/>
      <c r="B43" s="124"/>
      <c r="C43" s="124"/>
      <c r="D43" s="124"/>
      <c r="E43" s="329"/>
      <c r="F43" s="330"/>
      <c r="G43" s="186"/>
    </row>
    <row r="44" spans="1:11" ht="15.75" x14ac:dyDescent="0.2">
      <c r="A44" s="221">
        <f>DATE(2020,4,19)</f>
        <v>43940</v>
      </c>
      <c r="B44" s="222">
        <v>0.64583333333333337</v>
      </c>
      <c r="C44" s="222">
        <v>0.69097222222222221</v>
      </c>
      <c r="D44" s="223">
        <f>(C44-B44)</f>
        <v>4.513888888888884E-2</v>
      </c>
      <c r="E44" s="333" t="s">
        <v>182</v>
      </c>
      <c r="F44" s="334"/>
      <c r="G44" s="184"/>
    </row>
    <row r="45" spans="1:11" ht="16.5" thickBot="1" x14ac:dyDescent="0.3">
      <c r="A45" s="224"/>
      <c r="B45" s="225"/>
      <c r="C45" s="225"/>
      <c r="D45" s="225"/>
      <c r="E45" s="335"/>
      <c r="F45" s="336"/>
      <c r="G45" s="186"/>
    </row>
    <row r="46" spans="1:11" ht="15.75" x14ac:dyDescent="0.2">
      <c r="A46" s="134">
        <f>DATE(2020,4,19)</f>
        <v>43940</v>
      </c>
      <c r="B46" s="122">
        <v>0.69791666666666663</v>
      </c>
      <c r="C46" s="122">
        <v>0.75</v>
      </c>
      <c r="D46" s="123">
        <f>(C46-B46)</f>
        <v>5.208333333333337E-2</v>
      </c>
      <c r="E46" s="327" t="s">
        <v>178</v>
      </c>
      <c r="F46" s="328"/>
      <c r="G46" s="185" t="s">
        <v>177</v>
      </c>
    </row>
    <row r="47" spans="1:11" ht="16.5" thickBot="1" x14ac:dyDescent="0.3">
      <c r="A47" s="135"/>
      <c r="B47" s="124"/>
      <c r="C47" s="124"/>
      <c r="D47" s="124"/>
      <c r="E47" s="329"/>
      <c r="F47" s="330"/>
      <c r="G47" s="186"/>
    </row>
    <row r="48" spans="1:11" ht="15.75" x14ac:dyDescent="0.2">
      <c r="A48" s="132">
        <f>DATE(2020,4,19)</f>
        <v>43940</v>
      </c>
      <c r="B48" s="119">
        <v>0.8125</v>
      </c>
      <c r="C48" s="119">
        <v>0.84375</v>
      </c>
      <c r="D48" s="223">
        <f>(C48-B48)</f>
        <v>3.125E-2</v>
      </c>
      <c r="E48" s="333" t="s">
        <v>183</v>
      </c>
      <c r="F48" s="334"/>
      <c r="G48" s="184"/>
    </row>
    <row r="49" spans="1:11" ht="16.5" thickBot="1" x14ac:dyDescent="0.3">
      <c r="A49" s="133"/>
      <c r="B49" s="121"/>
      <c r="C49" s="121"/>
      <c r="D49" s="121"/>
      <c r="E49" s="335"/>
      <c r="F49" s="336"/>
      <c r="G49" s="186"/>
    </row>
    <row r="50" spans="1:11" ht="15.75" x14ac:dyDescent="0.2">
      <c r="A50" s="134">
        <f>DATE(2020,4,19)</f>
        <v>43940</v>
      </c>
      <c r="B50" s="122">
        <v>0.84375</v>
      </c>
      <c r="C50" s="122">
        <v>0.875</v>
      </c>
      <c r="D50" s="123">
        <f>(C50-B50)</f>
        <v>3.125E-2</v>
      </c>
      <c r="E50" s="327" t="s">
        <v>185</v>
      </c>
      <c r="F50" s="328"/>
      <c r="G50" s="184"/>
    </row>
    <row r="51" spans="1:11" ht="16.5" thickBot="1" x14ac:dyDescent="0.3">
      <c r="A51" s="135"/>
      <c r="B51" s="124"/>
      <c r="C51" s="124"/>
      <c r="D51" s="124"/>
      <c r="E51" s="329"/>
      <c r="F51" s="330"/>
      <c r="G51" s="186"/>
    </row>
    <row r="52" spans="1:11" ht="15.75" x14ac:dyDescent="0.2">
      <c r="A52" s="132">
        <f>DATE(2020,4,19)</f>
        <v>43940</v>
      </c>
      <c r="B52" s="119">
        <v>0.875</v>
      </c>
      <c r="C52" s="119">
        <v>0.89583333333333337</v>
      </c>
      <c r="D52" s="120">
        <f>(C52-B52)</f>
        <v>2.083333333333337E-2</v>
      </c>
      <c r="E52" s="333" t="s">
        <v>182</v>
      </c>
      <c r="F52" s="334"/>
      <c r="G52" s="184"/>
    </row>
    <row r="53" spans="1:11" ht="16.5" thickBot="1" x14ac:dyDescent="0.3">
      <c r="A53" s="133"/>
      <c r="B53" s="121"/>
      <c r="C53" s="121"/>
      <c r="D53" s="121"/>
      <c r="E53" s="335"/>
      <c r="F53" s="336"/>
      <c r="G53" s="186"/>
    </row>
    <row r="54" spans="1:11" ht="15.75" x14ac:dyDescent="0.2">
      <c r="A54" s="132">
        <f>DATE(2020,4,19)</f>
        <v>43940</v>
      </c>
      <c r="B54" s="119">
        <v>0.89583333333333337</v>
      </c>
      <c r="C54" s="119">
        <v>0.92361111111111116</v>
      </c>
      <c r="D54" s="120">
        <f>(C54-B54)</f>
        <v>2.777777777777779E-2</v>
      </c>
      <c r="E54" s="333" t="s">
        <v>186</v>
      </c>
      <c r="F54" s="334"/>
      <c r="G54" s="184"/>
    </row>
    <row r="55" spans="1:11" ht="16.5" thickBot="1" x14ac:dyDescent="0.3">
      <c r="A55" s="133"/>
      <c r="B55" s="121"/>
      <c r="C55" s="121"/>
      <c r="D55" s="121"/>
      <c r="E55" s="335"/>
      <c r="F55" s="336"/>
      <c r="G55" s="186"/>
    </row>
    <row r="56" spans="1:11" ht="15.75" x14ac:dyDescent="0.2">
      <c r="A56" s="132">
        <f>DATE(2020,4,19)</f>
        <v>43940</v>
      </c>
      <c r="B56" s="119">
        <v>0.92361111111111116</v>
      </c>
      <c r="C56" s="119">
        <v>0.98611111111111116</v>
      </c>
      <c r="D56" s="120">
        <f>(C56-B56)</f>
        <v>6.25E-2</v>
      </c>
      <c r="E56" s="396" t="s">
        <v>187</v>
      </c>
      <c r="F56" s="397"/>
      <c r="G56" s="184"/>
    </row>
    <row r="57" spans="1:11" ht="16.5" thickBot="1" x14ac:dyDescent="0.3">
      <c r="A57" s="133"/>
      <c r="B57" s="121"/>
      <c r="C57" s="121"/>
      <c r="D57" s="121"/>
      <c r="E57" s="398"/>
      <c r="F57" s="399"/>
      <c r="G57" s="186"/>
    </row>
    <row r="58" spans="1:11" ht="15.75" x14ac:dyDescent="0.2">
      <c r="A58" s="238"/>
      <c r="B58" s="239"/>
      <c r="C58" s="239"/>
      <c r="D58" s="240"/>
      <c r="E58" s="383"/>
      <c r="F58" s="384"/>
      <c r="G58" s="184"/>
    </row>
    <row r="59" spans="1:11" ht="16.5" thickBot="1" x14ac:dyDescent="0.3">
      <c r="A59" s="241"/>
      <c r="B59" s="242"/>
      <c r="C59" s="242"/>
      <c r="D59" s="242"/>
      <c r="E59" s="385"/>
      <c r="F59" s="386"/>
      <c r="G59" s="186"/>
    </row>
    <row r="60" spans="1:11" ht="24" thickBot="1" x14ac:dyDescent="0.4">
      <c r="A60" s="101" t="s">
        <v>18</v>
      </c>
      <c r="B60" s="101"/>
      <c r="C60" s="27"/>
      <c r="D60" s="27"/>
      <c r="E60" s="27"/>
      <c r="F60" s="102"/>
      <c r="G60" s="102"/>
    </row>
    <row r="61" spans="1:11" x14ac:dyDescent="0.2">
      <c r="B61" s="103"/>
      <c r="C61" s="104"/>
      <c r="D61" s="105"/>
      <c r="E61" s="106"/>
      <c r="K61" s="180"/>
    </row>
    <row r="62" spans="1:11" ht="12.75" customHeight="1" x14ac:dyDescent="0.2">
      <c r="A62" s="314"/>
      <c r="B62" s="314"/>
      <c r="C62" s="314"/>
      <c r="D62" s="314"/>
      <c r="E62" s="314"/>
      <c r="F62" s="314"/>
      <c r="G62" s="314"/>
      <c r="H62" s="5"/>
      <c r="K62" s="180"/>
    </row>
    <row r="63" spans="1:11" ht="12.75" customHeight="1" x14ac:dyDescent="0.2">
      <c r="A63" s="314"/>
      <c r="B63" s="314"/>
      <c r="C63" s="314"/>
      <c r="D63" s="314"/>
      <c r="E63" s="314"/>
      <c r="F63" s="314"/>
      <c r="G63" s="314"/>
      <c r="H63" s="5"/>
      <c r="K63" s="180"/>
    </row>
    <row r="64" spans="1:11" ht="12.75" customHeight="1" x14ac:dyDescent="0.2">
      <c r="A64" s="314"/>
      <c r="B64" s="314"/>
      <c r="C64" s="314"/>
      <c r="D64" s="314"/>
      <c r="E64" s="314"/>
      <c r="F64" s="314"/>
      <c r="G64" s="314"/>
      <c r="H64" s="5"/>
      <c r="K64" s="180"/>
    </row>
    <row r="65" spans="1:11" ht="12.75" customHeight="1" x14ac:dyDescent="0.2">
      <c r="A65" s="314"/>
      <c r="B65" s="314"/>
      <c r="C65" s="314"/>
      <c r="D65" s="314"/>
      <c r="E65" s="314"/>
      <c r="F65" s="314"/>
      <c r="G65" s="314"/>
      <c r="H65" s="5"/>
      <c r="K65" s="180"/>
    </row>
    <row r="66" spans="1:11" ht="12.75" customHeight="1" x14ac:dyDescent="0.2">
      <c r="A66" s="314"/>
      <c r="B66" s="314"/>
      <c r="C66" s="314"/>
      <c r="D66" s="314"/>
      <c r="E66" s="314"/>
      <c r="F66" s="314"/>
      <c r="G66" s="314"/>
      <c r="H66" s="5"/>
      <c r="K66" s="180"/>
    </row>
    <row r="67" spans="1:11" ht="12.75" customHeight="1" x14ac:dyDescent="0.2">
      <c r="A67" s="314"/>
      <c r="B67" s="314"/>
      <c r="C67" s="314"/>
      <c r="D67" s="314"/>
      <c r="E67" s="314"/>
      <c r="F67" s="314"/>
      <c r="G67" s="314"/>
      <c r="H67" s="5"/>
      <c r="K67" s="180"/>
    </row>
    <row r="68" spans="1:11" ht="12.75" customHeight="1" x14ac:dyDescent="0.2">
      <c r="A68" s="314"/>
      <c r="B68" s="314"/>
      <c r="C68" s="314"/>
      <c r="D68" s="314"/>
      <c r="E68" s="314"/>
      <c r="F68" s="314"/>
      <c r="G68" s="314"/>
      <c r="H68" s="5"/>
      <c r="K68" s="252"/>
    </row>
    <row r="69" spans="1:11" ht="12.75" customHeight="1" x14ac:dyDescent="0.2">
      <c r="A69" s="314"/>
      <c r="B69" s="314"/>
      <c r="C69" s="314"/>
      <c r="D69" s="314"/>
      <c r="E69" s="314"/>
      <c r="F69" s="314"/>
      <c r="G69" s="314"/>
      <c r="H69" s="5"/>
    </row>
    <row r="70" spans="1:11" ht="12.75" customHeight="1" x14ac:dyDescent="0.2">
      <c r="A70" s="314"/>
      <c r="B70" s="314"/>
      <c r="C70" s="314"/>
      <c r="D70" s="314"/>
      <c r="E70" s="314"/>
      <c r="F70" s="314"/>
      <c r="G70" s="314"/>
      <c r="H70" s="5"/>
    </row>
    <row r="71" spans="1:11" ht="12.75" customHeight="1" x14ac:dyDescent="0.2">
      <c r="A71" s="314"/>
      <c r="B71" s="314"/>
      <c r="C71" s="314"/>
      <c r="D71" s="314"/>
      <c r="E71" s="314"/>
      <c r="F71" s="314"/>
      <c r="G71" s="314"/>
      <c r="H71" s="5"/>
    </row>
    <row r="72" spans="1:11" ht="12.75" customHeight="1" x14ac:dyDescent="0.2">
      <c r="A72" s="314"/>
      <c r="B72" s="314"/>
      <c r="C72" s="314"/>
      <c r="D72" s="314"/>
      <c r="E72" s="314"/>
      <c r="F72" s="314"/>
      <c r="G72" s="314"/>
      <c r="H72" s="5"/>
    </row>
    <row r="73" spans="1:11" ht="12.75" customHeight="1" x14ac:dyDescent="0.2">
      <c r="A73" s="314"/>
      <c r="B73" s="314"/>
      <c r="C73" s="314"/>
      <c r="D73" s="314"/>
      <c r="E73" s="314"/>
      <c r="F73" s="314"/>
      <c r="G73" s="314"/>
      <c r="H73" s="5"/>
    </row>
    <row r="74" spans="1:11" ht="12.75" customHeight="1" x14ac:dyDescent="0.2">
      <c r="A74" s="314"/>
      <c r="B74" s="314"/>
      <c r="C74" s="314"/>
      <c r="D74" s="314"/>
      <c r="E74" s="314"/>
      <c r="F74" s="314"/>
      <c r="G74" s="314"/>
      <c r="H74" s="5"/>
    </row>
    <row r="75" spans="1:11" ht="12.75" customHeight="1" x14ac:dyDescent="0.2">
      <c r="A75" s="5"/>
      <c r="B75" s="5"/>
      <c r="C75" s="5"/>
      <c r="D75" s="5"/>
      <c r="E75" s="5"/>
      <c r="F75" s="5"/>
      <c r="G75" s="5"/>
      <c r="H75" s="5"/>
    </row>
    <row r="76" spans="1:11" ht="12.75" customHeight="1" x14ac:dyDescent="0.2">
      <c r="A76" s="5"/>
      <c r="B76" s="5"/>
      <c r="C76" s="5"/>
      <c r="D76" s="5"/>
      <c r="E76" s="5"/>
      <c r="F76" s="5"/>
      <c r="G76" s="5"/>
      <c r="H76" s="5"/>
    </row>
    <row r="77" spans="1:11" ht="12.75" customHeight="1" x14ac:dyDescent="0.2">
      <c r="A77" s="5"/>
      <c r="B77" s="5"/>
      <c r="C77" s="5"/>
      <c r="D77" s="5"/>
      <c r="E77" s="5"/>
      <c r="F77" s="5"/>
      <c r="G77" s="5"/>
      <c r="H77" s="5"/>
    </row>
    <row r="78" spans="1:11" x14ac:dyDescent="0.2">
      <c r="A78" s="5"/>
      <c r="B78" s="5"/>
      <c r="C78" s="5"/>
      <c r="D78" s="5"/>
      <c r="E78" s="5"/>
      <c r="F78" s="5"/>
      <c r="G78" s="5"/>
      <c r="H78" s="5"/>
    </row>
    <row r="79" spans="1:11" ht="12.75" customHeight="1" x14ac:dyDescent="0.2">
      <c r="A79" s="5"/>
      <c r="B79" s="5"/>
      <c r="C79" s="5"/>
      <c r="D79" s="5"/>
      <c r="E79" s="5"/>
      <c r="F79" s="5"/>
      <c r="G79" s="5"/>
      <c r="H79" s="5"/>
    </row>
    <row r="80" spans="1:11" ht="12.75" customHeight="1" x14ac:dyDescent="0.2"/>
    <row r="81" ht="12.75" customHeight="1" x14ac:dyDescent="0.2"/>
  </sheetData>
  <mergeCells count="30">
    <mergeCell ref="E52:F53"/>
    <mergeCell ref="E54:F55"/>
    <mergeCell ref="E56:F57"/>
    <mergeCell ref="E58:F59"/>
    <mergeCell ref="A62:G74"/>
    <mergeCell ref="E50:F51"/>
    <mergeCell ref="E28:F29"/>
    <mergeCell ref="E30:F31"/>
    <mergeCell ref="E32:F33"/>
    <mergeCell ref="E34:F35"/>
    <mergeCell ref="E36:F37"/>
    <mergeCell ref="E38:F39"/>
    <mergeCell ref="E40:F41"/>
    <mergeCell ref="E42:F43"/>
    <mergeCell ref="E44:F45"/>
    <mergeCell ref="E46:F47"/>
    <mergeCell ref="E48:F49"/>
    <mergeCell ref="J4:J5"/>
    <mergeCell ref="E10:F11"/>
    <mergeCell ref="E12:F13"/>
    <mergeCell ref="E14:F15"/>
    <mergeCell ref="E16:F17"/>
    <mergeCell ref="E26:F27"/>
    <mergeCell ref="E24:F25"/>
    <mergeCell ref="A1:D1"/>
    <mergeCell ref="A4:A5"/>
    <mergeCell ref="C4:C5"/>
    <mergeCell ref="E18:F19"/>
    <mergeCell ref="E20:F21"/>
    <mergeCell ref="E22:F23"/>
  </mergeCells>
  <conditionalFormatting sqref="I21 H24">
    <cfRule type="expression" dxfId="715" priority="92">
      <formula>ISNUMBER(SEARCH(TEXT(#REF!,"ddd"),#REF!))</formula>
    </cfRule>
  </conditionalFormatting>
  <conditionalFormatting sqref="B22:C22">
    <cfRule type="expression" dxfId="714" priority="93">
      <formula>ISNUMBER(SEARCH(TEXT(#REF!,"ddd"),#REF!))</formula>
    </cfRule>
  </conditionalFormatting>
  <conditionalFormatting sqref="K21:K24">
    <cfRule type="expression" dxfId="713" priority="94">
      <formula>ISNUMBER(SEARCH(TEXT(#REF!,"ddd"),#REF!))</formula>
    </cfRule>
  </conditionalFormatting>
  <conditionalFormatting sqref="A10:D10">
    <cfRule type="expression" dxfId="712" priority="91">
      <formula>ISNUMBER(SEARCH(TEXT(#REF!,"ddd"),#REF!))</formula>
    </cfRule>
  </conditionalFormatting>
  <conditionalFormatting sqref="B20:C20">
    <cfRule type="expression" dxfId="711" priority="90">
      <formula>ISNUMBER(SEARCH(TEXT(#REF!,"ddd"),#REF!))</formula>
    </cfRule>
  </conditionalFormatting>
  <conditionalFormatting sqref="B12:C14">
    <cfRule type="expression" dxfId="710" priority="87">
      <formula>ISNUMBER(SEARCH(TEXT(#REF!,"ddd"),#REF!))</formula>
    </cfRule>
  </conditionalFormatting>
  <conditionalFormatting sqref="D13">
    <cfRule type="expression" dxfId="709" priority="86">
      <formula>ISNUMBER(SEARCH(TEXT(#REF!,"ddd"),#REF!))</formula>
    </cfRule>
  </conditionalFormatting>
  <conditionalFormatting sqref="A13">
    <cfRule type="expression" dxfId="708" priority="84">
      <formula>ISNUMBER(SEARCH(TEXT(#REF!,"ddd"),#REF!))</formula>
    </cfRule>
  </conditionalFormatting>
  <conditionalFormatting sqref="H26">
    <cfRule type="expression" dxfId="707" priority="82">
      <formula>ISNUMBER(SEARCH(TEXT(#REF!,"ddd"),#REF!))</formula>
    </cfRule>
  </conditionalFormatting>
  <conditionalFormatting sqref="A28">
    <cfRule type="expression" dxfId="706" priority="81">
      <formula>ISNUMBER(SEARCH(TEXT(#REF!,"ddd"),#REF!))</formula>
    </cfRule>
  </conditionalFormatting>
  <conditionalFormatting sqref="A32">
    <cfRule type="expression" dxfId="705" priority="78">
      <formula>ISNUMBER(SEARCH(TEXT(#REF!,"ddd"),#REF!))</formula>
    </cfRule>
  </conditionalFormatting>
  <conditionalFormatting sqref="A58">
    <cfRule type="expression" dxfId="704" priority="72">
      <formula>ISNUMBER(SEARCH(TEXT(#REF!,"ddd"),#REF!))</formula>
    </cfRule>
  </conditionalFormatting>
  <conditionalFormatting sqref="B20:C20">
    <cfRule type="expression" dxfId="703" priority="46">
      <formula>ISNUMBER(SEARCH(TEXT(#REF!,"ddd"),#REF!))</formula>
    </cfRule>
  </conditionalFormatting>
  <conditionalFormatting sqref="B18:C18">
    <cfRule type="expression" dxfId="702" priority="45">
      <formula>ISNUMBER(SEARCH(TEXT(#REF!,"ddd"),#REF!))</formula>
    </cfRule>
  </conditionalFormatting>
  <conditionalFormatting sqref="A24">
    <cfRule type="expression" dxfId="701" priority="40">
      <formula>ISNUMBER(SEARCH(TEXT(#REF!,"ddd"),#REF!))</formula>
    </cfRule>
  </conditionalFormatting>
  <conditionalFormatting sqref="A12">
    <cfRule type="expression" dxfId="700" priority="35">
      <formula>ISNUMBER(SEARCH(TEXT(#REF!,"ddd"),#REF!))</formula>
    </cfRule>
  </conditionalFormatting>
  <conditionalFormatting sqref="D12">
    <cfRule type="expression" dxfId="699" priority="34">
      <formula>ISNUMBER(SEARCH(TEXT(#REF!,"ddd"),#REF!))</formula>
    </cfRule>
  </conditionalFormatting>
  <conditionalFormatting sqref="A14">
    <cfRule type="expression" dxfId="698" priority="33">
      <formula>ISNUMBER(SEARCH(TEXT(#REF!,"ddd"),#REF!))</formula>
    </cfRule>
  </conditionalFormatting>
  <conditionalFormatting sqref="D14">
    <cfRule type="expression" dxfId="697" priority="32">
      <formula>ISNUMBER(SEARCH(TEXT(#REF!,"ddd"),#REF!))</formula>
    </cfRule>
  </conditionalFormatting>
  <conditionalFormatting sqref="A16">
    <cfRule type="expression" dxfId="696" priority="31">
      <formula>ISNUMBER(SEARCH(TEXT(#REF!,"ddd"),#REF!))</formula>
    </cfRule>
  </conditionalFormatting>
  <conditionalFormatting sqref="B16">
    <cfRule type="expression" dxfId="695" priority="30">
      <formula>ISNUMBER(SEARCH(TEXT(#REF!,"ddd"),#REF!))</formula>
    </cfRule>
  </conditionalFormatting>
  <conditionalFormatting sqref="C16">
    <cfRule type="expression" dxfId="694" priority="29">
      <formula>ISNUMBER(SEARCH(TEXT(#REF!,"ddd"),#REF!))</formula>
    </cfRule>
  </conditionalFormatting>
  <conditionalFormatting sqref="D16">
    <cfRule type="expression" dxfId="693" priority="28">
      <formula>ISNUMBER(SEARCH(TEXT(#REF!,"ddd"),#REF!))</formula>
    </cfRule>
  </conditionalFormatting>
  <conditionalFormatting sqref="D18">
    <cfRule type="expression" dxfId="692" priority="27">
      <formula>ISNUMBER(SEARCH(TEXT(#REF!,"ddd"),#REF!))</formula>
    </cfRule>
  </conditionalFormatting>
  <conditionalFormatting sqref="A18">
    <cfRule type="expression" dxfId="691" priority="26">
      <formula>ISNUMBER(SEARCH(TEXT(#REF!,"ddd"),#REF!))</formula>
    </cfRule>
  </conditionalFormatting>
  <conditionalFormatting sqref="D20">
    <cfRule type="expression" dxfId="690" priority="25">
      <formula>ISNUMBER(SEARCH(TEXT(#REF!,"ddd"),#REF!))</formula>
    </cfRule>
  </conditionalFormatting>
  <conditionalFormatting sqref="A20">
    <cfRule type="expression" dxfId="689" priority="24">
      <formula>ISNUMBER(SEARCH(TEXT(#REF!,"ddd"),#REF!))</formula>
    </cfRule>
  </conditionalFormatting>
  <conditionalFormatting sqref="A22">
    <cfRule type="expression" dxfId="688" priority="23">
      <formula>ISNUMBER(SEARCH(TEXT(#REF!,"ddd"),#REF!))</formula>
    </cfRule>
  </conditionalFormatting>
  <conditionalFormatting sqref="D22">
    <cfRule type="expression" dxfId="687" priority="22">
      <formula>ISNUMBER(SEARCH(TEXT(#REF!,"ddd"),#REF!))</formula>
    </cfRule>
  </conditionalFormatting>
  <conditionalFormatting sqref="D24">
    <cfRule type="expression" dxfId="686" priority="21">
      <formula>ISNUMBER(SEARCH(TEXT(#REF!,"ddd"),#REF!))</formula>
    </cfRule>
  </conditionalFormatting>
  <conditionalFormatting sqref="A26">
    <cfRule type="expression" dxfId="685" priority="20">
      <formula>ISNUMBER(SEARCH(TEXT(#REF!,"ddd"),#REF!))</formula>
    </cfRule>
  </conditionalFormatting>
  <conditionalFormatting sqref="D26">
    <cfRule type="expression" dxfId="684" priority="19">
      <formula>ISNUMBER(SEARCH(TEXT(#REF!,"ddd"),#REF!))</formula>
    </cfRule>
  </conditionalFormatting>
  <conditionalFormatting sqref="D28">
    <cfRule type="expression" dxfId="683" priority="18">
      <formula>ISNUMBER(SEARCH(TEXT(#REF!,"ddd"),#REF!))</formula>
    </cfRule>
  </conditionalFormatting>
  <conditionalFormatting sqref="A30">
    <cfRule type="expression" dxfId="682" priority="17">
      <formula>ISNUMBER(SEARCH(TEXT(#REF!,"ddd"),#REF!))</formula>
    </cfRule>
  </conditionalFormatting>
  <conditionalFormatting sqref="D30">
    <cfRule type="expression" dxfId="681" priority="16">
      <formula>ISNUMBER(SEARCH(TEXT(#REF!,"ddd"),#REF!))</formula>
    </cfRule>
  </conditionalFormatting>
  <conditionalFormatting sqref="D32">
    <cfRule type="expression" dxfId="680" priority="15">
      <formula>ISNUMBER(SEARCH(TEXT(#REF!,"ddd"),#REF!))</formula>
    </cfRule>
  </conditionalFormatting>
  <conditionalFormatting sqref="A34">
    <cfRule type="expression" dxfId="679" priority="14">
      <formula>ISNUMBER(SEARCH(TEXT(#REF!,"ddd"),#REF!))</formula>
    </cfRule>
  </conditionalFormatting>
  <conditionalFormatting sqref="D34">
    <cfRule type="expression" dxfId="678" priority="13">
      <formula>ISNUMBER(SEARCH(TEXT(#REF!,"ddd"),#REF!))</formula>
    </cfRule>
  </conditionalFormatting>
  <conditionalFormatting sqref="A36">
    <cfRule type="expression" dxfId="677" priority="12">
      <formula>ISNUMBER(SEARCH(TEXT(#REF!,"ddd"),#REF!))</formula>
    </cfRule>
  </conditionalFormatting>
  <conditionalFormatting sqref="D36">
    <cfRule type="expression" dxfId="676" priority="11">
      <formula>ISNUMBER(SEARCH(TEXT(#REF!,"ddd"),#REF!))</formula>
    </cfRule>
  </conditionalFormatting>
  <conditionalFormatting sqref="A38">
    <cfRule type="expression" dxfId="675" priority="10">
      <formula>ISNUMBER(SEARCH(TEXT(#REF!,"ddd"),#REF!))</formula>
    </cfRule>
  </conditionalFormatting>
  <conditionalFormatting sqref="A40">
    <cfRule type="expression" dxfId="674" priority="9">
      <formula>ISNUMBER(SEARCH(TEXT(#REF!,"ddd"),#REF!))</formula>
    </cfRule>
  </conditionalFormatting>
  <conditionalFormatting sqref="A42">
    <cfRule type="expression" dxfId="673" priority="8">
      <formula>ISNUMBER(SEARCH(TEXT(#REF!,"ddd"),#REF!))</formula>
    </cfRule>
  </conditionalFormatting>
  <conditionalFormatting sqref="A44">
    <cfRule type="expression" dxfId="672" priority="7">
      <formula>ISNUMBER(SEARCH(TEXT(#REF!,"ddd"),#REF!))</formula>
    </cfRule>
  </conditionalFormatting>
  <conditionalFormatting sqref="A46">
    <cfRule type="expression" dxfId="671" priority="6">
      <formula>ISNUMBER(SEARCH(TEXT(#REF!,"ddd"),#REF!))</formula>
    </cfRule>
  </conditionalFormatting>
  <conditionalFormatting sqref="A48">
    <cfRule type="expression" dxfId="670" priority="5">
      <formula>ISNUMBER(SEARCH(TEXT(#REF!,"ddd"),#REF!))</formula>
    </cfRule>
  </conditionalFormatting>
  <conditionalFormatting sqref="A50">
    <cfRule type="expression" dxfId="669" priority="4">
      <formula>ISNUMBER(SEARCH(TEXT(#REF!,"ddd"),#REF!))</formula>
    </cfRule>
  </conditionalFormatting>
  <conditionalFormatting sqref="A52">
    <cfRule type="expression" dxfId="668" priority="3">
      <formula>ISNUMBER(SEARCH(TEXT(#REF!,"ddd"),#REF!))</formula>
    </cfRule>
  </conditionalFormatting>
  <conditionalFormatting sqref="A54">
    <cfRule type="expression" dxfId="667" priority="2">
      <formula>ISNUMBER(SEARCH(TEXT(#REF!,"ddd"),#REF!))</formula>
    </cfRule>
  </conditionalFormatting>
  <conditionalFormatting sqref="A56">
    <cfRule type="expression" dxfId="666" priority="1">
      <formula>ISNUMBER(SEARCH(TEXT(#REF!,"ddd"),#REF!))</formula>
    </cfRule>
  </conditionalFormatting>
  <dataValidations count="2">
    <dataValidation type="custom" allowBlank="1" showInputMessage="1" showErrorMessage="1" sqref="B10 B12:C14 B20:C20 B22:C22 B18:C18 B16" xr:uid="{8E959396-DD2A-43A6-ADF0-124999AF6780}">
      <formula1>AND($B10&lt;=1,ISNUMBER($B10))</formula1>
    </dataValidation>
    <dataValidation type="custom" allowBlank="1" showInputMessage="1" showErrorMessage="1" sqref="C10 C16" xr:uid="{24CF1E63-EDFB-4D99-9D66-A5A976B85769}">
      <formula1>AND($C10&lt;=1,ISNUMBER($C10),($C10&gt;=$B10))</formula1>
    </dataValidation>
  </dataValidations>
  <pageMargins left="0.11811023622047245" right="0" top="0.11811023622047245" bottom="0.15748031496062992" header="0" footer="0"/>
  <pageSetup paperSize="9" scale="49" fitToHeight="0" orientation="portrait" horizontalDpi="4294967293" verticalDpi="4294967293"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07829-4161-4BFA-AC21-0BB01A97F723}">
  <sheetPr codeName="Sheet25">
    <pageSetUpPr fitToPage="1"/>
  </sheetPr>
  <dimension ref="A1:M107"/>
  <sheetViews>
    <sheetView showGridLines="0" tabSelected="1" zoomScale="85" zoomScaleNormal="85" workbookViewId="0">
      <selection activeCell="F4" sqref="F4"/>
    </sheetView>
  </sheetViews>
  <sheetFormatPr baseColWidth="10" defaultColWidth="9" defaultRowHeight="12.75" x14ac:dyDescent="0.2"/>
  <cols>
    <col min="1" max="1" width="15.5" customWidth="1"/>
    <col min="2" max="2" width="8.875" customWidth="1"/>
    <col min="3" max="3" width="11.75" customWidth="1"/>
    <col min="4" max="4" width="11.5" customWidth="1"/>
    <col min="5" max="5" width="22.125" bestFit="1" customWidth="1"/>
    <col min="6" max="7" width="18" bestFit="1" customWidth="1"/>
    <col min="8" max="8" width="8.875" customWidth="1"/>
    <col min="9" max="9" width="11.625" customWidth="1"/>
    <col min="10" max="10" width="9.5" customWidth="1"/>
    <col min="11" max="11" width="12.375" customWidth="1"/>
    <col min="12" max="12" width="17.875" bestFit="1" customWidth="1"/>
    <col min="13" max="13" width="19.25" bestFit="1" customWidth="1"/>
  </cols>
  <sheetData>
    <row r="1" spans="1:13" ht="27" thickTop="1" x14ac:dyDescent="0.4">
      <c r="A1" s="301" t="s">
        <v>20</v>
      </c>
      <c r="B1" s="301"/>
      <c r="C1" s="301"/>
      <c r="D1" s="301"/>
      <c r="E1" s="55">
        <f>WEEKNUM(A10)</f>
        <v>17</v>
      </c>
      <c r="F1" s="83"/>
      <c r="G1" s="57"/>
      <c r="H1" s="84"/>
      <c r="J1" s="1"/>
    </row>
    <row r="2" spans="1:13" s="1" customFormat="1" ht="14.25" customHeight="1" x14ac:dyDescent="0.25">
      <c r="A2" s="49" t="s">
        <v>1</v>
      </c>
      <c r="B2" s="49"/>
      <c r="C2" s="49" t="s">
        <v>2</v>
      </c>
      <c r="D2" s="49"/>
      <c r="E2" s="85" t="s">
        <v>3</v>
      </c>
      <c r="F2" s="54" t="s">
        <v>4</v>
      </c>
      <c r="G2" s="54" t="s">
        <v>5</v>
      </c>
      <c r="H2" s="20"/>
      <c r="I2" s="86"/>
      <c r="J2" s="87"/>
      <c r="M2" s="1" t="s">
        <v>21</v>
      </c>
    </row>
    <row r="3" spans="1:13" ht="16.5" thickBot="1" x14ac:dyDescent="0.25">
      <c r="A3" s="136">
        <f>MIN(A10:A140)</f>
        <v>43941</v>
      </c>
      <c r="B3" s="202"/>
      <c r="C3" s="136">
        <f>MAXA(A10:A140)</f>
        <v>43947</v>
      </c>
      <c r="D3" s="188"/>
      <c r="E3" s="88" t="s">
        <v>6</v>
      </c>
      <c r="F3" s="177">
        <f>Sumcolor(E3,D10:D122)</f>
        <v>0</v>
      </c>
      <c r="G3" s="177">
        <f>SUM(Først:Sist!F3)</f>
        <v>1.0381944444444446</v>
      </c>
      <c r="H3" s="89"/>
      <c r="I3" s="90"/>
      <c r="J3" s="90"/>
      <c r="M3" t="s">
        <v>22</v>
      </c>
    </row>
    <row r="4" spans="1:13" ht="15" customHeight="1" x14ac:dyDescent="0.2">
      <c r="A4" s="391" t="s">
        <v>23</v>
      </c>
      <c r="B4" s="194"/>
      <c r="C4" s="293" t="s">
        <v>24</v>
      </c>
      <c r="D4" s="203"/>
      <c r="E4" s="91" t="s">
        <v>9</v>
      </c>
      <c r="F4" s="177">
        <f>Sumcolor(E4,D10:D122)</f>
        <v>1.3368055555555558</v>
      </c>
      <c r="G4" s="177">
        <f>SUM(Først:Sist!F4)</f>
        <v>8.03125</v>
      </c>
      <c r="H4" s="89"/>
      <c r="I4" s="90"/>
      <c r="J4" s="309"/>
    </row>
    <row r="5" spans="1:13" ht="15.75" x14ac:dyDescent="0.2">
      <c r="A5" s="302"/>
      <c r="B5" s="203"/>
      <c r="C5" s="302"/>
      <c r="D5" s="203"/>
      <c r="E5" s="159" t="s">
        <v>10</v>
      </c>
      <c r="F5" s="177">
        <f>Sumcolor(E5,D10:D122)</f>
        <v>9.3749999999999778E-2</v>
      </c>
      <c r="G5" s="177">
        <f>SUM(Først:Sist!F5)</f>
        <v>1.8090277777777768</v>
      </c>
      <c r="H5" s="89"/>
      <c r="I5" s="90"/>
      <c r="J5" s="309"/>
      <c r="M5" t="s">
        <v>25</v>
      </c>
    </row>
    <row r="6" spans="1:13" ht="18.75" customHeight="1" thickBot="1" x14ac:dyDescent="0.25">
      <c r="A6" s="182">
        <f>SUM(D10:D140)</f>
        <v>1.5937499999999998</v>
      </c>
      <c r="B6" s="51"/>
      <c r="C6" s="82">
        <f>SUM(Først:Sist!A6)</f>
        <v>12.965277777777779</v>
      </c>
      <c r="D6" s="52"/>
      <c r="E6" s="92" t="s">
        <v>11</v>
      </c>
      <c r="F6" s="178">
        <f>Sumcolor(E6,D10:D122)</f>
        <v>0.16319444444444425</v>
      </c>
      <c r="G6" s="178">
        <f>SUM(Først:Sist!F6)</f>
        <v>1.9895833333333335</v>
      </c>
      <c r="H6" s="89"/>
      <c r="I6" s="90"/>
      <c r="J6" s="90"/>
      <c r="M6" t="s">
        <v>26</v>
      </c>
    </row>
    <row r="7" spans="1:13" ht="12.75" customHeight="1" x14ac:dyDescent="0.2">
      <c r="A7" s="19"/>
      <c r="B7" s="23"/>
      <c r="C7" s="24"/>
      <c r="D7" s="93"/>
      <c r="E7" s="23"/>
      <c r="F7" s="271">
        <f>SUM(F3:F6)</f>
        <v>1.5937499999999998</v>
      </c>
      <c r="G7" s="25"/>
      <c r="H7" s="25"/>
    </row>
    <row r="8" spans="1:13" x14ac:dyDescent="0.2">
      <c r="A8" s="23"/>
      <c r="B8" s="25"/>
      <c r="C8" s="93"/>
      <c r="D8" s="25"/>
      <c r="E8" s="23"/>
      <c r="F8" s="23"/>
      <c r="G8" s="25"/>
      <c r="H8" s="25"/>
      <c r="M8" t="s">
        <v>27</v>
      </c>
    </row>
    <row r="9" spans="1:13" ht="16.5" thickBot="1" x14ac:dyDescent="0.3">
      <c r="A9" s="49" t="s">
        <v>12</v>
      </c>
      <c r="B9" s="49" t="s">
        <v>13</v>
      </c>
      <c r="C9" s="49" t="s">
        <v>14</v>
      </c>
      <c r="D9" s="49" t="s">
        <v>15</v>
      </c>
      <c r="E9" s="107" t="s">
        <v>16</v>
      </c>
      <c r="F9" s="102"/>
      <c r="G9" s="166" t="s">
        <v>17</v>
      </c>
      <c r="H9" s="25"/>
      <c r="M9" t="s">
        <v>28</v>
      </c>
    </row>
    <row r="10" spans="1:13" ht="15.75" customHeight="1" x14ac:dyDescent="0.2">
      <c r="A10" s="125">
        <f>DATE(2020,4,20)</f>
        <v>43941</v>
      </c>
      <c r="B10" s="160">
        <v>0.58333333333333337</v>
      </c>
      <c r="C10" s="160">
        <v>0.60416666666666663</v>
      </c>
      <c r="D10" s="160">
        <f>(C10-B10)</f>
        <v>2.0833333333333259E-2</v>
      </c>
      <c r="E10" s="319" t="s">
        <v>78</v>
      </c>
      <c r="F10" s="320"/>
      <c r="G10" s="183"/>
      <c r="H10" s="173"/>
    </row>
    <row r="11" spans="1:13" ht="15.75" thickBot="1" x14ac:dyDescent="0.3">
      <c r="A11" s="126"/>
      <c r="B11" s="161"/>
      <c r="C11" s="161"/>
      <c r="D11" s="161"/>
      <c r="E11" s="321"/>
      <c r="F11" s="322"/>
      <c r="G11" s="184"/>
      <c r="H11" s="25"/>
      <c r="K11" s="257"/>
      <c r="M11" t="s">
        <v>30</v>
      </c>
    </row>
    <row r="12" spans="1:13" ht="15.75" customHeight="1" x14ac:dyDescent="0.25">
      <c r="A12" s="125">
        <f>DATE(2020,4,20)</f>
        <v>43941</v>
      </c>
      <c r="B12" s="163">
        <v>0.625</v>
      </c>
      <c r="C12" s="163">
        <v>0.65625</v>
      </c>
      <c r="D12" s="160">
        <f>(C12-B12)</f>
        <v>3.125E-2</v>
      </c>
      <c r="E12" s="319" t="s">
        <v>188</v>
      </c>
      <c r="F12" s="320"/>
      <c r="G12" s="185"/>
      <c r="M12" t="s">
        <v>32</v>
      </c>
    </row>
    <row r="13" spans="1:13" ht="16.5" thickBot="1" x14ac:dyDescent="0.3">
      <c r="A13" s="229"/>
      <c r="B13" s="230"/>
      <c r="C13" s="230"/>
      <c r="D13" s="231"/>
      <c r="E13" s="321"/>
      <c r="F13" s="322"/>
      <c r="G13" s="217"/>
    </row>
    <row r="14" spans="1:13" ht="15.75" x14ac:dyDescent="0.25">
      <c r="A14" s="132">
        <f>DATE(2020,4,20)</f>
        <v>43941</v>
      </c>
      <c r="B14" s="249">
        <v>0.65625</v>
      </c>
      <c r="C14" s="249">
        <v>0.6875</v>
      </c>
      <c r="D14" s="120">
        <f>(C14-B14)</f>
        <v>3.125E-2</v>
      </c>
      <c r="E14" s="396" t="s">
        <v>189</v>
      </c>
      <c r="F14" s="397"/>
      <c r="G14" s="184"/>
    </row>
    <row r="15" spans="1:13" ht="34.5" customHeight="1" thickBot="1" x14ac:dyDescent="0.3">
      <c r="A15" s="250"/>
      <c r="B15" s="251"/>
      <c r="C15" s="251"/>
      <c r="D15" s="251"/>
      <c r="E15" s="398"/>
      <c r="F15" s="399"/>
      <c r="G15" s="186"/>
      <c r="H15" s="5"/>
    </row>
    <row r="16" spans="1:13" ht="15.75" customHeight="1" x14ac:dyDescent="0.2">
      <c r="A16" s="134">
        <f>DATE(2020,4,20)</f>
        <v>43941</v>
      </c>
      <c r="B16" s="123">
        <v>0.77083333333333337</v>
      </c>
      <c r="C16" s="123">
        <v>0.79166666666666663</v>
      </c>
      <c r="D16" s="123">
        <f>(C16-B16)</f>
        <v>2.0833333333333259E-2</v>
      </c>
      <c r="E16" s="400" t="s">
        <v>190</v>
      </c>
      <c r="F16" s="401"/>
      <c r="G16" s="187"/>
      <c r="H16" s="81"/>
      <c r="I16" s="5"/>
    </row>
    <row r="17" spans="1:12" ht="66" customHeight="1" thickBot="1" x14ac:dyDescent="0.25">
      <c r="A17" s="139"/>
      <c r="B17" s="140"/>
      <c r="C17" s="140"/>
      <c r="D17" s="140"/>
      <c r="E17" s="402"/>
      <c r="F17" s="403"/>
      <c r="G17" s="184"/>
      <c r="I17" s="5"/>
    </row>
    <row r="18" spans="1:12" ht="15.75" customHeight="1" x14ac:dyDescent="0.25">
      <c r="A18" s="134">
        <f>DATE(2020,4,20)</f>
        <v>43941</v>
      </c>
      <c r="B18" s="170">
        <v>0.86111111111111116</v>
      </c>
      <c r="C18" s="170">
        <v>0.88888888888888884</v>
      </c>
      <c r="D18" s="123">
        <f>(C18-B18)</f>
        <v>2.7777777777777679E-2</v>
      </c>
      <c r="E18" s="400" t="s">
        <v>193</v>
      </c>
      <c r="F18" s="401"/>
      <c r="G18" s="185" t="s">
        <v>192</v>
      </c>
      <c r="I18" s="5"/>
    </row>
    <row r="19" spans="1:12" ht="33.75" customHeight="1" thickBot="1" x14ac:dyDescent="0.3">
      <c r="A19" s="137"/>
      <c r="B19" s="138"/>
      <c r="C19" s="138"/>
      <c r="D19" s="138"/>
      <c r="E19" s="402"/>
      <c r="F19" s="403"/>
      <c r="G19" s="184"/>
      <c r="I19" s="5"/>
      <c r="L19" s="21"/>
    </row>
    <row r="20" spans="1:12" ht="15.75" customHeight="1" x14ac:dyDescent="0.2">
      <c r="A20" s="134">
        <f>DATE(2020,4,20)</f>
        <v>43941</v>
      </c>
      <c r="B20" s="123">
        <v>0.90625</v>
      </c>
      <c r="C20" s="123">
        <v>0.99652777777777779</v>
      </c>
      <c r="D20" s="123">
        <f>(C20-B20)</f>
        <v>9.027777777777779E-2</v>
      </c>
      <c r="E20" s="400" t="s">
        <v>194</v>
      </c>
      <c r="F20" s="401"/>
      <c r="G20" s="185" t="s">
        <v>192</v>
      </c>
    </row>
    <row r="21" spans="1:12" ht="51" customHeight="1" thickBot="1" x14ac:dyDescent="0.3">
      <c r="A21" s="137"/>
      <c r="B21" s="138"/>
      <c r="C21" s="138"/>
      <c r="D21" s="138"/>
      <c r="E21" s="402"/>
      <c r="F21" s="403"/>
      <c r="G21" s="184"/>
      <c r="I21" s="268"/>
      <c r="J21" s="257"/>
      <c r="K21" s="268"/>
      <c r="L21" s="257"/>
    </row>
    <row r="22" spans="1:12" ht="15.75" customHeight="1" x14ac:dyDescent="0.2">
      <c r="A22" s="134">
        <f>DATE(2020,4,21)</f>
        <v>43942</v>
      </c>
      <c r="B22" s="123">
        <v>0.52083333333333337</v>
      </c>
      <c r="C22" s="123">
        <v>0.53472222222222221</v>
      </c>
      <c r="D22" s="123">
        <f>(C22-B22)</f>
        <v>1.388888888888884E-2</v>
      </c>
      <c r="E22" s="400" t="s">
        <v>200</v>
      </c>
      <c r="F22" s="401"/>
      <c r="G22" s="185" t="s">
        <v>192</v>
      </c>
      <c r="I22" s="404"/>
      <c r="J22" s="405"/>
      <c r="K22" s="406"/>
      <c r="L22" s="269"/>
    </row>
    <row r="23" spans="1:12" ht="35.25" customHeight="1" thickBot="1" x14ac:dyDescent="0.3">
      <c r="A23" s="137"/>
      <c r="B23" s="138"/>
      <c r="C23" s="138"/>
      <c r="D23" s="138"/>
      <c r="E23" s="402"/>
      <c r="F23" s="403"/>
      <c r="G23" s="186"/>
      <c r="I23" s="405"/>
      <c r="J23" s="405"/>
      <c r="K23" s="406"/>
      <c r="L23" s="269"/>
    </row>
    <row r="24" spans="1:12" ht="15.75" customHeight="1" x14ac:dyDescent="0.2">
      <c r="A24" s="134">
        <f>DATE(2020,4,21)</f>
        <v>43942</v>
      </c>
      <c r="B24" s="122">
        <v>0.54166666666666663</v>
      </c>
      <c r="C24" s="122">
        <v>0.54861111111111105</v>
      </c>
      <c r="D24" s="123">
        <f>(C24-B24)</f>
        <v>6.9444444444444198E-3</v>
      </c>
      <c r="E24" s="400" t="s">
        <v>195</v>
      </c>
      <c r="F24" s="401"/>
      <c r="G24" s="185" t="s">
        <v>191</v>
      </c>
      <c r="H24" s="218"/>
      <c r="I24" s="405"/>
      <c r="J24" s="405"/>
      <c r="K24" s="406"/>
      <c r="L24" s="269"/>
    </row>
    <row r="25" spans="1:12" ht="35.25" customHeight="1" thickBot="1" x14ac:dyDescent="0.3">
      <c r="A25" s="135"/>
      <c r="B25" s="124"/>
      <c r="C25" s="124"/>
      <c r="D25" s="124"/>
      <c r="E25" s="402"/>
      <c r="F25" s="403"/>
      <c r="G25" s="186"/>
      <c r="H25" s="219"/>
      <c r="I25" s="405"/>
      <c r="J25" s="405"/>
      <c r="K25" s="406"/>
      <c r="L25" s="269"/>
    </row>
    <row r="26" spans="1:12" ht="15.75" customHeight="1" x14ac:dyDescent="0.2">
      <c r="A26" s="134">
        <f>DATE(2020,4,21)</f>
        <v>43942</v>
      </c>
      <c r="B26" s="122">
        <v>0.60416666666666663</v>
      </c>
      <c r="C26" s="122">
        <v>0.66666666666666663</v>
      </c>
      <c r="D26" s="123">
        <f>(C26-B26)</f>
        <v>6.25E-2</v>
      </c>
      <c r="E26" s="400" t="s">
        <v>196</v>
      </c>
      <c r="F26" s="401"/>
      <c r="G26" s="185" t="s">
        <v>191</v>
      </c>
      <c r="H26" s="218"/>
      <c r="I26" s="269"/>
      <c r="J26" s="269"/>
      <c r="K26" s="270"/>
      <c r="L26" s="257"/>
    </row>
    <row r="27" spans="1:12" ht="35.25" customHeight="1" thickBot="1" x14ac:dyDescent="0.25">
      <c r="A27" s="266"/>
      <c r="B27" s="266"/>
      <c r="C27" s="266"/>
      <c r="D27" s="266"/>
      <c r="E27" s="402"/>
      <c r="F27" s="403"/>
      <c r="G27" s="186"/>
      <c r="H27" s="220"/>
      <c r="I27" s="257"/>
      <c r="J27" s="257"/>
      <c r="K27" s="269"/>
      <c r="L27" s="257"/>
    </row>
    <row r="28" spans="1:12" ht="15.75" customHeight="1" x14ac:dyDescent="0.2">
      <c r="A28" s="132">
        <f>DATE(2020,4,21)</f>
        <v>43942</v>
      </c>
      <c r="B28" s="119">
        <v>0.75694444444444453</v>
      </c>
      <c r="C28" s="119">
        <v>0.77083333333333337</v>
      </c>
      <c r="D28" s="120">
        <f>(C28-B28)</f>
        <v>1.388888888888884E-2</v>
      </c>
      <c r="E28" s="396" t="s">
        <v>197</v>
      </c>
      <c r="F28" s="397"/>
      <c r="G28" s="185"/>
      <c r="H28" s="29"/>
      <c r="K28" s="5"/>
    </row>
    <row r="29" spans="1:12" ht="16.5" thickBot="1" x14ac:dyDescent="0.3">
      <c r="A29" s="133"/>
      <c r="B29" s="121"/>
      <c r="C29" s="121"/>
      <c r="D29" s="121"/>
      <c r="E29" s="398"/>
      <c r="F29" s="399"/>
      <c r="G29" s="186"/>
    </row>
    <row r="30" spans="1:12" ht="15.75" customHeight="1" x14ac:dyDescent="0.2">
      <c r="A30" s="134">
        <f>DATE(2020,4,21)</f>
        <v>43942</v>
      </c>
      <c r="B30" s="122">
        <v>0.77083333333333337</v>
      </c>
      <c r="C30" s="122">
        <v>0.875</v>
      </c>
      <c r="D30" s="123">
        <f>(C30-B30)</f>
        <v>0.10416666666666663</v>
      </c>
      <c r="E30" s="400" t="s">
        <v>198</v>
      </c>
      <c r="F30" s="401"/>
      <c r="G30" s="185" t="s">
        <v>191</v>
      </c>
    </row>
    <row r="31" spans="1:12" ht="38.25" customHeight="1" thickBot="1" x14ac:dyDescent="0.3">
      <c r="A31" s="135"/>
      <c r="B31" s="124"/>
      <c r="C31" s="124"/>
      <c r="D31" s="124"/>
      <c r="E31" s="402"/>
      <c r="F31" s="403"/>
      <c r="G31" s="186"/>
    </row>
    <row r="32" spans="1:12" ht="15.75" customHeight="1" x14ac:dyDescent="0.2">
      <c r="A32" s="132">
        <f>DATE(2020,4,21)</f>
        <v>43942</v>
      </c>
      <c r="B32" s="119">
        <v>0.875</v>
      </c>
      <c r="C32" s="119">
        <v>0.88541666666666663</v>
      </c>
      <c r="D32" s="120">
        <f>(C32-B32)</f>
        <v>1.041666666666663E-2</v>
      </c>
      <c r="E32" s="396" t="s">
        <v>197</v>
      </c>
      <c r="F32" s="397"/>
      <c r="G32" s="184"/>
    </row>
    <row r="33" spans="1:11" ht="15.75" customHeight="1" thickBot="1" x14ac:dyDescent="0.3">
      <c r="A33" s="133"/>
      <c r="B33" s="121"/>
      <c r="C33" s="121"/>
      <c r="D33" s="121"/>
      <c r="E33" s="398"/>
      <c r="F33" s="399"/>
      <c r="G33" s="186"/>
    </row>
    <row r="34" spans="1:11" ht="15.75" customHeight="1" x14ac:dyDescent="0.2">
      <c r="A34" s="134">
        <f>DATE(2020,4,21)</f>
        <v>43942</v>
      </c>
      <c r="B34" s="122">
        <v>0.88541666666666663</v>
      </c>
      <c r="C34" s="122">
        <v>0.89236111111111116</v>
      </c>
      <c r="D34" s="123">
        <f>(C34-B34)</f>
        <v>6.9444444444445308E-3</v>
      </c>
      <c r="E34" s="400" t="s">
        <v>199</v>
      </c>
      <c r="F34" s="401"/>
      <c r="G34" s="185" t="s">
        <v>191</v>
      </c>
    </row>
    <row r="35" spans="1:11" ht="16.5" thickBot="1" x14ac:dyDescent="0.3">
      <c r="A35" s="135"/>
      <c r="B35" s="124"/>
      <c r="C35" s="124"/>
      <c r="D35" s="124"/>
      <c r="E35" s="402"/>
      <c r="F35" s="403"/>
      <c r="G35" s="186"/>
      <c r="K35" s="90"/>
    </row>
    <row r="36" spans="1:11" ht="15.75" customHeight="1" x14ac:dyDescent="0.2">
      <c r="A36" s="132">
        <f>DATE(2020,4,21)</f>
        <v>43942</v>
      </c>
      <c r="B36" s="119">
        <v>0.89236111111111116</v>
      </c>
      <c r="C36" s="119">
        <v>0.90277777777777779</v>
      </c>
      <c r="D36" s="120">
        <f>(C36-B36)</f>
        <v>1.041666666666663E-2</v>
      </c>
      <c r="E36" s="396" t="s">
        <v>197</v>
      </c>
      <c r="F36" s="397"/>
      <c r="G36" s="185"/>
    </row>
    <row r="37" spans="1:11" ht="16.5" thickBot="1" x14ac:dyDescent="0.3">
      <c r="A37" s="133"/>
      <c r="B37" s="121"/>
      <c r="C37" s="121"/>
      <c r="D37" s="121"/>
      <c r="E37" s="398"/>
      <c r="F37" s="399"/>
      <c r="G37" s="186"/>
    </row>
    <row r="38" spans="1:11" ht="15.75" x14ac:dyDescent="0.2">
      <c r="A38" s="134">
        <f>DATE(2020,4,21)</f>
        <v>43942</v>
      </c>
      <c r="B38" s="122">
        <v>0.93055555555555547</v>
      </c>
      <c r="C38" s="122">
        <v>0.94444444444444453</v>
      </c>
      <c r="D38" s="123">
        <f>(C38-B38)</f>
        <v>1.3888888888889062E-2</v>
      </c>
      <c r="E38" s="400" t="s">
        <v>201</v>
      </c>
      <c r="F38" s="401"/>
      <c r="G38" s="185" t="s">
        <v>191</v>
      </c>
    </row>
    <row r="39" spans="1:11" ht="16.5" thickBot="1" x14ac:dyDescent="0.3">
      <c r="A39" s="135"/>
      <c r="B39" s="124"/>
      <c r="C39" s="124"/>
      <c r="D39" s="124"/>
      <c r="E39" s="402"/>
      <c r="F39" s="403"/>
      <c r="G39" s="186"/>
    </row>
    <row r="40" spans="1:11" ht="15.75" x14ac:dyDescent="0.2">
      <c r="A40" s="132">
        <f>DATE(2020,4,21)</f>
        <v>43942</v>
      </c>
      <c r="B40" s="119">
        <v>0.94444444444444453</v>
      </c>
      <c r="C40" s="119">
        <v>0.99652777777777779</v>
      </c>
      <c r="D40" s="120">
        <f>(C40-B40)</f>
        <v>5.2083333333333259E-2</v>
      </c>
      <c r="E40" s="396" t="s">
        <v>197</v>
      </c>
      <c r="F40" s="397"/>
      <c r="G40" s="184"/>
    </row>
    <row r="41" spans="1:11" ht="16.5" thickBot="1" x14ac:dyDescent="0.3">
      <c r="A41" s="133"/>
      <c r="B41" s="121"/>
      <c r="C41" s="121"/>
      <c r="D41" s="121"/>
      <c r="E41" s="398"/>
      <c r="F41" s="399"/>
      <c r="G41" s="186"/>
    </row>
    <row r="42" spans="1:11" ht="15.75" x14ac:dyDescent="0.2">
      <c r="A42" s="132">
        <f>DATE(2020,4,22)</f>
        <v>43943</v>
      </c>
      <c r="B42" s="119">
        <v>3.472222222222222E-3</v>
      </c>
      <c r="C42" s="119">
        <v>2.0833333333333332E-2</v>
      </c>
      <c r="D42" s="120">
        <f>(C42-B42)</f>
        <v>1.7361111111111112E-2</v>
      </c>
      <c r="E42" s="396" t="s">
        <v>202</v>
      </c>
      <c r="F42" s="397"/>
      <c r="G42" s="184"/>
    </row>
    <row r="43" spans="1:11" ht="38.25" customHeight="1" thickBot="1" x14ac:dyDescent="0.3">
      <c r="A43" s="133"/>
      <c r="B43" s="121"/>
      <c r="C43" s="121"/>
      <c r="D43" s="121"/>
      <c r="E43" s="398"/>
      <c r="F43" s="399"/>
      <c r="G43" s="186"/>
    </row>
    <row r="44" spans="1:11" ht="15.75" customHeight="1" x14ac:dyDescent="0.2">
      <c r="A44" s="132">
        <f>DATE(2020,4,22)</f>
        <v>43943</v>
      </c>
      <c r="B44" s="119">
        <v>0.51041666666666663</v>
      </c>
      <c r="C44" s="119">
        <v>0.53125</v>
      </c>
      <c r="D44" s="120">
        <f>(C44-B44)</f>
        <v>2.083333333333337E-2</v>
      </c>
      <c r="E44" s="396" t="s">
        <v>203</v>
      </c>
      <c r="F44" s="397"/>
      <c r="G44" s="185"/>
    </row>
    <row r="45" spans="1:11" ht="16.5" thickBot="1" x14ac:dyDescent="0.3">
      <c r="A45" s="133"/>
      <c r="B45" s="121"/>
      <c r="C45" s="121"/>
      <c r="D45" s="121"/>
      <c r="E45" s="398"/>
      <c r="F45" s="399"/>
      <c r="G45" s="186"/>
    </row>
    <row r="46" spans="1:11" ht="15.75" x14ac:dyDescent="0.2">
      <c r="A46" s="134">
        <f>DATE(2020,4,22)</f>
        <v>43943</v>
      </c>
      <c r="B46" s="122">
        <v>0.55208333333333337</v>
      </c>
      <c r="C46" s="122">
        <v>0.67361111111111116</v>
      </c>
      <c r="D46" s="123">
        <f>(C46-B46)</f>
        <v>0.12152777777777779</v>
      </c>
      <c r="E46" s="400" t="s">
        <v>204</v>
      </c>
      <c r="F46" s="401"/>
      <c r="G46" s="184" t="s">
        <v>191</v>
      </c>
    </row>
    <row r="47" spans="1:11" ht="36" customHeight="1" thickBot="1" x14ac:dyDescent="0.3">
      <c r="A47" s="135"/>
      <c r="B47" s="124"/>
      <c r="C47" s="124"/>
      <c r="D47" s="124"/>
      <c r="E47" s="402"/>
      <c r="F47" s="403"/>
      <c r="G47" s="186"/>
    </row>
    <row r="48" spans="1:11" ht="15.75" x14ac:dyDescent="0.2">
      <c r="A48" s="134">
        <f>DATE(2020,4,22)</f>
        <v>43943</v>
      </c>
      <c r="B48" s="122">
        <v>0.75</v>
      </c>
      <c r="C48" s="122">
        <v>0.91666666666666663</v>
      </c>
      <c r="D48" s="123">
        <f>(C48-B48)</f>
        <v>0.16666666666666663</v>
      </c>
      <c r="E48" s="400" t="s">
        <v>205</v>
      </c>
      <c r="F48" s="401"/>
      <c r="G48" s="184" t="s">
        <v>191</v>
      </c>
    </row>
    <row r="49" spans="1:7" ht="6" customHeight="1" thickBot="1" x14ac:dyDescent="0.3">
      <c r="A49" s="135"/>
      <c r="B49" s="124"/>
      <c r="C49" s="124"/>
      <c r="D49" s="124"/>
      <c r="E49" s="402"/>
      <c r="F49" s="403"/>
      <c r="G49" s="186"/>
    </row>
    <row r="50" spans="1:7" ht="15.75" x14ac:dyDescent="0.2">
      <c r="A50" s="134">
        <f>DATE(2020,4,23)</f>
        <v>43944</v>
      </c>
      <c r="B50" s="122">
        <v>3.472222222222222E-3</v>
      </c>
      <c r="C50" s="122">
        <v>4.1666666666666664E-2</v>
      </c>
      <c r="D50" s="123">
        <f>(C50-B50)</f>
        <v>3.8194444444444441E-2</v>
      </c>
      <c r="E50" s="400" t="s">
        <v>206</v>
      </c>
      <c r="F50" s="401"/>
      <c r="G50" s="184" t="s">
        <v>191</v>
      </c>
    </row>
    <row r="51" spans="1:7" ht="6" customHeight="1" thickBot="1" x14ac:dyDescent="0.3">
      <c r="A51" s="135"/>
      <c r="B51" s="124"/>
      <c r="C51" s="124"/>
      <c r="D51" s="124"/>
      <c r="E51" s="402"/>
      <c r="F51" s="403"/>
      <c r="G51" s="186"/>
    </row>
    <row r="52" spans="1:7" ht="15.75" customHeight="1" x14ac:dyDescent="0.2">
      <c r="A52" s="125">
        <f>DATE(2020,4,23)</f>
        <v>43944</v>
      </c>
      <c r="B52" s="164">
        <v>0.58333333333333337</v>
      </c>
      <c r="C52" s="164">
        <v>0.60416666666666663</v>
      </c>
      <c r="D52" s="160">
        <f>(C52-B52)</f>
        <v>2.0833333333333259E-2</v>
      </c>
      <c r="E52" s="319" t="s">
        <v>78</v>
      </c>
      <c r="F52" s="320"/>
      <c r="G52" s="185"/>
    </row>
    <row r="53" spans="1:7" ht="8.25" customHeight="1" thickBot="1" x14ac:dyDescent="0.3">
      <c r="A53" s="131"/>
      <c r="B53" s="165"/>
      <c r="C53" s="165"/>
      <c r="D53" s="165"/>
      <c r="E53" s="321"/>
      <c r="F53" s="322"/>
      <c r="G53" s="186"/>
    </row>
    <row r="54" spans="1:7" ht="15.75" x14ac:dyDescent="0.2">
      <c r="A54" s="134">
        <f>DATE(2020,4,23)</f>
        <v>43944</v>
      </c>
      <c r="B54" s="122">
        <v>0.625</v>
      </c>
      <c r="C54" s="122">
        <v>0.64583333333333337</v>
      </c>
      <c r="D54" s="123">
        <f>(C54-B54)</f>
        <v>2.083333333333337E-2</v>
      </c>
      <c r="E54" s="400" t="s">
        <v>207</v>
      </c>
      <c r="F54" s="401"/>
      <c r="G54" s="185" t="s">
        <v>192</v>
      </c>
    </row>
    <row r="55" spans="1:7" ht="66" customHeight="1" thickBot="1" x14ac:dyDescent="0.3">
      <c r="A55" s="135"/>
      <c r="B55" s="124"/>
      <c r="C55" s="124"/>
      <c r="D55" s="124"/>
      <c r="E55" s="402"/>
      <c r="F55" s="403"/>
      <c r="G55" s="186"/>
    </row>
    <row r="56" spans="1:7" ht="15.75" x14ac:dyDescent="0.2">
      <c r="A56" s="134">
        <f>DATE(2020,4,24)</f>
        <v>43945</v>
      </c>
      <c r="B56" s="122">
        <v>0.64583333333333337</v>
      </c>
      <c r="C56" s="122">
        <v>0.73958333333333337</v>
      </c>
      <c r="D56" s="123">
        <f>(C56-B56)</f>
        <v>9.375E-2</v>
      </c>
      <c r="E56" s="400" t="s">
        <v>208</v>
      </c>
      <c r="F56" s="401"/>
      <c r="G56" s="184"/>
    </row>
    <row r="57" spans="1:7" ht="48.75" customHeight="1" thickBot="1" x14ac:dyDescent="0.3">
      <c r="A57" s="135"/>
      <c r="B57" s="124"/>
      <c r="C57" s="124"/>
      <c r="D57" s="124"/>
      <c r="E57" s="402"/>
      <c r="F57" s="403"/>
      <c r="G57" s="186"/>
    </row>
    <row r="58" spans="1:7" ht="15.75" x14ac:dyDescent="0.2">
      <c r="A58" s="134">
        <f>DATE(2020,4,24)</f>
        <v>43945</v>
      </c>
      <c r="B58" s="122">
        <v>0.89583333333333337</v>
      </c>
      <c r="C58" s="122">
        <v>0.92013888888888884</v>
      </c>
      <c r="D58" s="123">
        <f>(C58-B58)</f>
        <v>2.4305555555555469E-2</v>
      </c>
      <c r="E58" s="327" t="s">
        <v>209</v>
      </c>
      <c r="F58" s="328"/>
      <c r="G58" s="184"/>
    </row>
    <row r="59" spans="1:7" ht="16.5" thickBot="1" x14ac:dyDescent="0.3">
      <c r="A59" s="135"/>
      <c r="B59" s="124"/>
      <c r="C59" s="124"/>
      <c r="D59" s="124"/>
      <c r="E59" s="329"/>
      <c r="F59" s="330"/>
      <c r="G59" s="186"/>
    </row>
    <row r="60" spans="1:7" ht="15.75" x14ac:dyDescent="0.2">
      <c r="A60" s="134">
        <f>DATE(2020,4,25)</f>
        <v>43946</v>
      </c>
      <c r="B60" s="122">
        <v>0.54166666666666663</v>
      </c>
      <c r="C60" s="122">
        <v>0.58333333333333337</v>
      </c>
      <c r="D60" s="123">
        <f>(C60-B60)</f>
        <v>4.1666666666666741E-2</v>
      </c>
      <c r="E60" s="327" t="s">
        <v>210</v>
      </c>
      <c r="F60" s="328"/>
      <c r="G60" s="184"/>
    </row>
    <row r="61" spans="1:7" ht="18.75" customHeight="1" thickBot="1" x14ac:dyDescent="0.3">
      <c r="A61" s="135"/>
      <c r="B61" s="124"/>
      <c r="C61" s="124"/>
      <c r="D61" s="124"/>
      <c r="E61" s="329"/>
      <c r="F61" s="330"/>
      <c r="G61" s="186"/>
    </row>
    <row r="62" spans="1:7" ht="15.75" x14ac:dyDescent="0.2">
      <c r="A62" s="125">
        <f>DATE(2020,4,25)</f>
        <v>43946</v>
      </c>
      <c r="B62" s="164">
        <v>0.58333333333333337</v>
      </c>
      <c r="C62" s="164">
        <v>0.60416666666666663</v>
      </c>
      <c r="D62" s="160">
        <f>(C62-B62)</f>
        <v>2.0833333333333259E-2</v>
      </c>
      <c r="E62" s="319" t="s">
        <v>78</v>
      </c>
      <c r="F62" s="320"/>
      <c r="G62" s="184"/>
    </row>
    <row r="63" spans="1:7" ht="16.5" thickBot="1" x14ac:dyDescent="0.3">
      <c r="A63" s="131"/>
      <c r="B63" s="165"/>
      <c r="C63" s="165"/>
      <c r="D63" s="165"/>
      <c r="E63" s="321"/>
      <c r="F63" s="322"/>
      <c r="G63" s="186"/>
    </row>
    <row r="64" spans="1:7" ht="15.75" x14ac:dyDescent="0.2">
      <c r="A64" s="134">
        <f>DATE(2020,4,25)</f>
        <v>43946</v>
      </c>
      <c r="B64" s="122">
        <v>0.60416666666666663</v>
      </c>
      <c r="C64" s="122">
        <v>0.6875</v>
      </c>
      <c r="D64" s="123">
        <f>(C64-B64)</f>
        <v>8.333333333333337E-2</v>
      </c>
      <c r="E64" s="327" t="s">
        <v>211</v>
      </c>
      <c r="F64" s="328"/>
      <c r="G64" s="184"/>
    </row>
    <row r="65" spans="1:7" ht="36" customHeight="1" thickBot="1" x14ac:dyDescent="0.3">
      <c r="A65" s="135"/>
      <c r="B65" s="124"/>
      <c r="C65" s="124"/>
      <c r="D65" s="124"/>
      <c r="E65" s="329"/>
      <c r="F65" s="330"/>
      <c r="G65" s="186"/>
    </row>
    <row r="66" spans="1:7" ht="15.75" x14ac:dyDescent="0.2">
      <c r="A66" s="134">
        <f>DATE(2020,4,25)</f>
        <v>43946</v>
      </c>
      <c r="B66" s="122">
        <v>0.71527777777777779</v>
      </c>
      <c r="C66" s="122">
        <v>0.75</v>
      </c>
      <c r="D66" s="123">
        <f>(C66-B66)</f>
        <v>3.472222222222221E-2</v>
      </c>
      <c r="E66" s="327" t="s">
        <v>212</v>
      </c>
      <c r="F66" s="328"/>
      <c r="G66" s="184"/>
    </row>
    <row r="67" spans="1:7" ht="21" customHeight="1" thickBot="1" x14ac:dyDescent="0.3">
      <c r="A67" s="135"/>
      <c r="B67" s="124"/>
      <c r="C67" s="124"/>
      <c r="D67" s="124"/>
      <c r="E67" s="329"/>
      <c r="F67" s="330"/>
      <c r="G67" s="186"/>
    </row>
    <row r="68" spans="1:7" ht="15.75" x14ac:dyDescent="0.2">
      <c r="A68" s="134">
        <f>DATE(2020,4,25)</f>
        <v>43946</v>
      </c>
      <c r="B68" s="122">
        <v>0.75</v>
      </c>
      <c r="C68" s="122">
        <v>0.83333333333333337</v>
      </c>
      <c r="D68" s="123">
        <f>(C68-B68)</f>
        <v>8.333333333333337E-2</v>
      </c>
      <c r="E68" s="327" t="s">
        <v>213</v>
      </c>
      <c r="F68" s="328"/>
      <c r="G68" s="184"/>
    </row>
    <row r="69" spans="1:7" ht="24" customHeight="1" thickBot="1" x14ac:dyDescent="0.3">
      <c r="A69" s="135"/>
      <c r="B69" s="124"/>
      <c r="C69" s="124"/>
      <c r="D69" s="124"/>
      <c r="E69" s="329"/>
      <c r="F69" s="330"/>
      <c r="G69" s="186"/>
    </row>
    <row r="70" spans="1:7" ht="15.75" x14ac:dyDescent="0.2">
      <c r="A70" s="134">
        <f>DATE(2020,4,25)</f>
        <v>43946</v>
      </c>
      <c r="B70" s="122">
        <v>0.9375</v>
      </c>
      <c r="C70" s="122">
        <v>0.99652777777777779</v>
      </c>
      <c r="D70" s="123">
        <f>(C70-B70)</f>
        <v>5.902777777777779E-2</v>
      </c>
      <c r="E70" s="327" t="s">
        <v>214</v>
      </c>
      <c r="F70" s="328"/>
      <c r="G70" s="184" t="s">
        <v>215</v>
      </c>
    </row>
    <row r="71" spans="1:7" ht="16.5" thickBot="1" x14ac:dyDescent="0.3">
      <c r="A71" s="135"/>
      <c r="B71" s="124"/>
      <c r="C71" s="124"/>
      <c r="D71" s="124"/>
      <c r="E71" s="329"/>
      <c r="F71" s="330"/>
      <c r="G71" s="186"/>
    </row>
    <row r="72" spans="1:7" ht="15.75" x14ac:dyDescent="0.2">
      <c r="A72" s="134">
        <f>DATE(2020,4,26)</f>
        <v>43947</v>
      </c>
      <c r="B72" s="122">
        <v>0.58680555555555558</v>
      </c>
      <c r="C72" s="122">
        <v>0.59375</v>
      </c>
      <c r="D72" s="123">
        <f>(C72-B72)</f>
        <v>6.9444444444444198E-3</v>
      </c>
      <c r="E72" s="327" t="s">
        <v>216</v>
      </c>
      <c r="F72" s="328"/>
      <c r="G72" s="184"/>
    </row>
    <row r="73" spans="1:7" ht="16.5" thickBot="1" x14ac:dyDescent="0.3">
      <c r="A73" s="135"/>
      <c r="B73" s="124"/>
      <c r="C73" s="124"/>
      <c r="D73" s="124"/>
      <c r="E73" s="329"/>
      <c r="F73" s="330"/>
      <c r="G73" s="186"/>
    </row>
    <row r="74" spans="1:7" ht="15.75" x14ac:dyDescent="0.2">
      <c r="A74" s="134">
        <f>DATE(2020,4,26)</f>
        <v>43947</v>
      </c>
      <c r="B74" s="122">
        <v>0.60416666666666663</v>
      </c>
      <c r="C74" s="122">
        <v>0.65277777777777779</v>
      </c>
      <c r="D74" s="123">
        <f>(C74-B74)</f>
        <v>4.861111111111116E-2</v>
      </c>
      <c r="E74" s="327" t="s">
        <v>217</v>
      </c>
      <c r="F74" s="328"/>
      <c r="G74" s="184"/>
    </row>
    <row r="75" spans="1:7" ht="33.75" customHeight="1" thickBot="1" x14ac:dyDescent="0.3">
      <c r="A75" s="135"/>
      <c r="B75" s="124"/>
      <c r="C75" s="124"/>
      <c r="D75" s="124"/>
      <c r="E75" s="329"/>
      <c r="F75" s="330"/>
      <c r="G75" s="186"/>
    </row>
    <row r="76" spans="1:7" ht="15.75" x14ac:dyDescent="0.2">
      <c r="A76" s="134">
        <f>DATE(2020,4,26)</f>
        <v>43947</v>
      </c>
      <c r="B76" s="122">
        <v>0.65277777777777779</v>
      </c>
      <c r="C76" s="122">
        <v>0.67361111111111116</v>
      </c>
      <c r="D76" s="123">
        <f>(C76-B76)</f>
        <v>2.083333333333337E-2</v>
      </c>
      <c r="E76" s="327" t="s">
        <v>218</v>
      </c>
      <c r="F76" s="328"/>
      <c r="G76" s="184"/>
    </row>
    <row r="77" spans="1:7" ht="21.75" customHeight="1" thickBot="1" x14ac:dyDescent="0.3">
      <c r="A77" s="135"/>
      <c r="B77" s="124"/>
      <c r="C77" s="124"/>
      <c r="D77" s="124"/>
      <c r="E77" s="329"/>
      <c r="F77" s="330"/>
      <c r="G77" s="186"/>
    </row>
    <row r="78" spans="1:7" ht="15.75" x14ac:dyDescent="0.2">
      <c r="A78" s="134">
        <f>DATE(2020,4,26)</f>
        <v>43947</v>
      </c>
      <c r="B78" s="122">
        <v>0.6875</v>
      </c>
      <c r="C78" s="122">
        <v>0.77083333333333337</v>
      </c>
      <c r="D78" s="123">
        <f>(C78-B78)</f>
        <v>8.333333333333337E-2</v>
      </c>
      <c r="E78" s="327" t="s">
        <v>219</v>
      </c>
      <c r="F78" s="328"/>
      <c r="G78" s="184"/>
    </row>
    <row r="79" spans="1:7" ht="16.5" thickBot="1" x14ac:dyDescent="0.3">
      <c r="A79" s="135"/>
      <c r="B79" s="124"/>
      <c r="C79" s="124"/>
      <c r="D79" s="124"/>
      <c r="E79" s="329"/>
      <c r="F79" s="330"/>
      <c r="G79" s="186"/>
    </row>
    <row r="80" spans="1:7" ht="15.75" x14ac:dyDescent="0.2">
      <c r="A80" s="134">
        <f>DATE(2020,4,26)</f>
        <v>43947</v>
      </c>
      <c r="B80" s="122">
        <v>0.85416666666666663</v>
      </c>
      <c r="C80" s="122">
        <v>0.91666666666666663</v>
      </c>
      <c r="D80" s="123">
        <f>(C80-B80)</f>
        <v>6.25E-2</v>
      </c>
      <c r="E80" s="327" t="s">
        <v>221</v>
      </c>
      <c r="F80" s="328"/>
      <c r="G80" s="184"/>
    </row>
    <row r="81" spans="1:11" ht="81" customHeight="1" thickBot="1" x14ac:dyDescent="0.3">
      <c r="A81" s="135"/>
      <c r="B81" s="124"/>
      <c r="C81" s="124"/>
      <c r="D81" s="124"/>
      <c r="E81" s="329"/>
      <c r="F81" s="330"/>
      <c r="G81" s="186"/>
    </row>
    <row r="82" spans="1:11" ht="15.75" x14ac:dyDescent="0.2">
      <c r="A82" s="132">
        <f>DATE(2020,4,26)</f>
        <v>43947</v>
      </c>
      <c r="B82" s="119">
        <v>0.92708333333333337</v>
      </c>
      <c r="C82" s="119">
        <v>0.93402777777777779</v>
      </c>
      <c r="D82" s="120">
        <f>(C82-B82)</f>
        <v>6.9444444444444198E-3</v>
      </c>
      <c r="E82" s="347" t="s">
        <v>220</v>
      </c>
      <c r="F82" s="348"/>
      <c r="G82" s="184"/>
    </row>
    <row r="83" spans="1:11" ht="16.5" thickBot="1" x14ac:dyDescent="0.3">
      <c r="A83" s="133"/>
      <c r="B83" s="121"/>
      <c r="C83" s="121"/>
      <c r="D83" s="121"/>
      <c r="E83" s="349"/>
      <c r="F83" s="350"/>
      <c r="G83" s="186"/>
    </row>
    <row r="84" spans="1:11" ht="15.75" x14ac:dyDescent="0.2">
      <c r="A84" s="238"/>
      <c r="B84" s="239"/>
      <c r="C84" s="239"/>
      <c r="D84" s="240"/>
      <c r="E84" s="383"/>
      <c r="F84" s="384"/>
      <c r="G84" s="184"/>
    </row>
    <row r="85" spans="1:11" ht="16.5" thickBot="1" x14ac:dyDescent="0.3">
      <c r="A85" s="241"/>
      <c r="B85" s="242"/>
      <c r="C85" s="242"/>
      <c r="D85" s="242"/>
      <c r="E85" s="385"/>
      <c r="F85" s="386"/>
      <c r="G85" s="186"/>
    </row>
    <row r="86" spans="1:11" ht="24" thickBot="1" x14ac:dyDescent="0.4">
      <c r="A86" s="101" t="s">
        <v>18</v>
      </c>
      <c r="B86" s="101"/>
      <c r="C86" s="27"/>
      <c r="D86" s="27"/>
      <c r="E86" s="27"/>
      <c r="F86" s="102"/>
      <c r="G86" s="102"/>
    </row>
    <row r="87" spans="1:11" x14ac:dyDescent="0.2">
      <c r="B87" s="103"/>
      <c r="C87" s="104"/>
      <c r="D87" s="105"/>
      <c r="E87" s="106"/>
      <c r="K87" s="180"/>
    </row>
    <row r="88" spans="1:11" ht="12.75" customHeight="1" x14ac:dyDescent="0.2">
      <c r="A88" s="314"/>
      <c r="B88" s="314"/>
      <c r="C88" s="314"/>
      <c r="D88" s="314"/>
      <c r="E88" s="314"/>
      <c r="F88" s="314"/>
      <c r="G88" s="314"/>
      <c r="H88" s="5"/>
      <c r="K88" s="180"/>
    </row>
    <row r="89" spans="1:11" ht="12.75" customHeight="1" x14ac:dyDescent="0.2">
      <c r="A89" s="314"/>
      <c r="B89" s="314"/>
      <c r="C89" s="314"/>
      <c r="D89" s="314"/>
      <c r="E89" s="314"/>
      <c r="F89" s="314"/>
      <c r="G89" s="314"/>
      <c r="H89" s="5"/>
      <c r="K89" s="180"/>
    </row>
    <row r="90" spans="1:11" ht="12.75" customHeight="1" x14ac:dyDescent="0.2">
      <c r="A90" s="314"/>
      <c r="B90" s="314"/>
      <c r="C90" s="314"/>
      <c r="D90" s="314"/>
      <c r="E90" s="314"/>
      <c r="F90" s="314"/>
      <c r="G90" s="314"/>
      <c r="H90" s="5"/>
      <c r="K90" s="180"/>
    </row>
    <row r="91" spans="1:11" ht="12.75" customHeight="1" x14ac:dyDescent="0.2">
      <c r="A91" s="314"/>
      <c r="B91" s="314"/>
      <c r="C91" s="314"/>
      <c r="D91" s="314"/>
      <c r="E91" s="314"/>
      <c r="F91" s="314"/>
      <c r="G91" s="314"/>
      <c r="H91" s="5"/>
      <c r="K91" s="180"/>
    </row>
    <row r="92" spans="1:11" ht="12.75" customHeight="1" x14ac:dyDescent="0.2">
      <c r="A92" s="314"/>
      <c r="B92" s="314"/>
      <c r="C92" s="314"/>
      <c r="D92" s="314"/>
      <c r="E92" s="314"/>
      <c r="F92" s="314"/>
      <c r="G92" s="314"/>
      <c r="H92" s="5"/>
      <c r="K92" s="180"/>
    </row>
    <row r="93" spans="1:11" ht="12.75" customHeight="1" x14ac:dyDescent="0.2">
      <c r="A93" s="314"/>
      <c r="B93" s="314"/>
      <c r="C93" s="314"/>
      <c r="D93" s="314"/>
      <c r="E93" s="314"/>
      <c r="F93" s="314"/>
      <c r="G93" s="314"/>
      <c r="H93" s="5"/>
      <c r="K93" s="180"/>
    </row>
    <row r="94" spans="1:11" ht="12.75" customHeight="1" x14ac:dyDescent="0.2">
      <c r="A94" s="314"/>
      <c r="B94" s="314"/>
      <c r="C94" s="314"/>
      <c r="D94" s="314"/>
      <c r="E94" s="314"/>
      <c r="F94" s="314"/>
      <c r="G94" s="314"/>
      <c r="H94" s="5"/>
      <c r="K94" s="252"/>
    </row>
    <row r="95" spans="1:11" ht="12.75" customHeight="1" x14ac:dyDescent="0.2">
      <c r="A95" s="314"/>
      <c r="B95" s="314"/>
      <c r="C95" s="314"/>
      <c r="D95" s="314"/>
      <c r="E95" s="314"/>
      <c r="F95" s="314"/>
      <c r="G95" s="314"/>
      <c r="H95" s="5"/>
    </row>
    <row r="96" spans="1:11" ht="12.75" customHeight="1" x14ac:dyDescent="0.2">
      <c r="A96" s="314"/>
      <c r="B96" s="314"/>
      <c r="C96" s="314"/>
      <c r="D96" s="314"/>
      <c r="E96" s="314"/>
      <c r="F96" s="314"/>
      <c r="G96" s="314"/>
      <c r="H96" s="5"/>
    </row>
    <row r="97" spans="1:8" ht="12.75" customHeight="1" x14ac:dyDescent="0.2">
      <c r="A97" s="314"/>
      <c r="B97" s="314"/>
      <c r="C97" s="314"/>
      <c r="D97" s="314"/>
      <c r="E97" s="314"/>
      <c r="F97" s="314"/>
      <c r="G97" s="314"/>
      <c r="H97" s="5"/>
    </row>
    <row r="98" spans="1:8" ht="12.75" customHeight="1" x14ac:dyDescent="0.2">
      <c r="A98" s="314"/>
      <c r="B98" s="314"/>
      <c r="C98" s="314"/>
      <c r="D98" s="314"/>
      <c r="E98" s="314"/>
      <c r="F98" s="314"/>
      <c r="G98" s="314"/>
      <c r="H98" s="5"/>
    </row>
    <row r="99" spans="1:8" ht="12.75" customHeight="1" x14ac:dyDescent="0.2">
      <c r="A99" s="314"/>
      <c r="B99" s="314"/>
      <c r="C99" s="314"/>
      <c r="D99" s="314"/>
      <c r="E99" s="314"/>
      <c r="F99" s="314"/>
      <c r="G99" s="314"/>
      <c r="H99" s="5"/>
    </row>
    <row r="100" spans="1:8" ht="12.75" customHeight="1" x14ac:dyDescent="0.2">
      <c r="A100" s="314"/>
      <c r="B100" s="314"/>
      <c r="C100" s="314"/>
      <c r="D100" s="314"/>
      <c r="E100" s="314"/>
      <c r="F100" s="314"/>
      <c r="G100" s="314"/>
      <c r="H100" s="5"/>
    </row>
    <row r="101" spans="1:8" ht="12.75" customHeight="1" x14ac:dyDescent="0.2">
      <c r="A101" s="5"/>
      <c r="B101" s="5"/>
      <c r="C101" s="5"/>
      <c r="D101" s="5"/>
      <c r="E101" s="5"/>
      <c r="F101" s="5"/>
      <c r="G101" s="5"/>
      <c r="H101" s="5"/>
    </row>
    <row r="102" spans="1:8" ht="12.75" customHeight="1" x14ac:dyDescent="0.2">
      <c r="A102" s="5"/>
      <c r="B102" s="5"/>
      <c r="C102" s="5"/>
      <c r="D102" s="5"/>
      <c r="E102" s="5"/>
      <c r="F102" s="5"/>
      <c r="G102" s="5"/>
      <c r="H102" s="5"/>
    </row>
    <row r="103" spans="1:8" ht="12.75" customHeight="1" x14ac:dyDescent="0.2">
      <c r="A103" s="5"/>
      <c r="B103" s="5"/>
      <c r="C103" s="5"/>
      <c r="D103" s="5"/>
      <c r="E103" s="5"/>
      <c r="F103" s="5"/>
      <c r="G103" s="5"/>
      <c r="H103" s="5"/>
    </row>
    <row r="104" spans="1:8" x14ac:dyDescent="0.2">
      <c r="A104" s="5"/>
      <c r="B104" s="5"/>
      <c r="C104" s="5"/>
      <c r="D104" s="5"/>
      <c r="E104" s="5"/>
      <c r="F104" s="5"/>
      <c r="G104" s="5"/>
      <c r="H104" s="5"/>
    </row>
    <row r="105" spans="1:8" ht="12.75" customHeight="1" x14ac:dyDescent="0.2">
      <c r="A105" s="5"/>
      <c r="B105" s="5"/>
      <c r="C105" s="5"/>
      <c r="D105" s="5"/>
      <c r="E105" s="5"/>
      <c r="F105" s="5"/>
      <c r="G105" s="5"/>
      <c r="H105" s="5"/>
    </row>
    <row r="106" spans="1:8" ht="12.75" customHeight="1" x14ac:dyDescent="0.2"/>
    <row r="107" spans="1:8" ht="12.75" customHeight="1" x14ac:dyDescent="0.2"/>
  </sheetData>
  <mergeCells count="47">
    <mergeCell ref="E74:F75"/>
    <mergeCell ref="I22:J23"/>
    <mergeCell ref="K22:K23"/>
    <mergeCell ref="I24:J25"/>
    <mergeCell ref="K24:K25"/>
    <mergeCell ref="E24:F25"/>
    <mergeCell ref="E22:F23"/>
    <mergeCell ref="E48:F49"/>
    <mergeCell ref="E26:F27"/>
    <mergeCell ref="E28:F29"/>
    <mergeCell ref="E30:F31"/>
    <mergeCell ref="E32:F33"/>
    <mergeCell ref="E34:F35"/>
    <mergeCell ref="E36:F37"/>
    <mergeCell ref="E38:F39"/>
    <mergeCell ref="E40:F41"/>
    <mergeCell ref="A1:D1"/>
    <mergeCell ref="A4:A5"/>
    <mergeCell ref="C4:C5"/>
    <mergeCell ref="J4:J5"/>
    <mergeCell ref="E10:F11"/>
    <mergeCell ref="E12:F13"/>
    <mergeCell ref="E14:F15"/>
    <mergeCell ref="E16:F17"/>
    <mergeCell ref="E18:F19"/>
    <mergeCell ref="E20:F21"/>
    <mergeCell ref="E42:F43"/>
    <mergeCell ref="E44:F45"/>
    <mergeCell ref="E46:F47"/>
    <mergeCell ref="E72:F73"/>
    <mergeCell ref="E50:F51"/>
    <mergeCell ref="E52:F53"/>
    <mergeCell ref="E54:F55"/>
    <mergeCell ref="E56:F57"/>
    <mergeCell ref="E58:F59"/>
    <mergeCell ref="E60:F61"/>
    <mergeCell ref="E62:F63"/>
    <mergeCell ref="E64:F65"/>
    <mergeCell ref="E66:F67"/>
    <mergeCell ref="E68:F69"/>
    <mergeCell ref="E70:F71"/>
    <mergeCell ref="E84:F85"/>
    <mergeCell ref="A88:G100"/>
    <mergeCell ref="E76:F77"/>
    <mergeCell ref="E78:F79"/>
    <mergeCell ref="E80:F81"/>
    <mergeCell ref="E82:F83"/>
  </mergeCells>
  <conditionalFormatting sqref="I21 H24">
    <cfRule type="expression" dxfId="665" priority="128">
      <formula>ISNUMBER(SEARCH(TEXT(#REF!,"ddd"),#REF!))</formula>
    </cfRule>
  </conditionalFormatting>
  <conditionalFormatting sqref="B22:C22">
    <cfRule type="expression" dxfId="664" priority="129">
      <formula>ISNUMBER(SEARCH(TEXT(#REF!,"ddd"),#REF!))</formula>
    </cfRule>
  </conditionalFormatting>
  <conditionalFormatting sqref="K21">
    <cfRule type="expression" dxfId="663" priority="130">
      <formula>ISNUMBER(SEARCH(TEXT(#REF!,"ddd"),#REF!))</formula>
    </cfRule>
  </conditionalFormatting>
  <conditionalFormatting sqref="A10:D10">
    <cfRule type="expression" dxfId="662" priority="127">
      <formula>ISNUMBER(SEARCH(TEXT(#REF!,"ddd"),#REF!))</formula>
    </cfRule>
  </conditionalFormatting>
  <conditionalFormatting sqref="B20:C20">
    <cfRule type="expression" dxfId="661" priority="126">
      <formula>ISNUMBER(SEARCH(TEXT(#REF!,"ddd"),#REF!))</formula>
    </cfRule>
  </conditionalFormatting>
  <conditionalFormatting sqref="B12:C14">
    <cfRule type="expression" dxfId="660" priority="125">
      <formula>ISNUMBER(SEARCH(TEXT(#REF!,"ddd"),#REF!))</formula>
    </cfRule>
  </conditionalFormatting>
  <conditionalFormatting sqref="D13">
    <cfRule type="expression" dxfId="659" priority="124">
      <formula>ISNUMBER(SEARCH(TEXT(#REF!,"ddd"),#REF!))</formula>
    </cfRule>
  </conditionalFormatting>
  <conditionalFormatting sqref="A13">
    <cfRule type="expression" dxfId="658" priority="123">
      <formula>ISNUMBER(SEARCH(TEXT(#REF!,"ddd"),#REF!))</formula>
    </cfRule>
  </conditionalFormatting>
  <conditionalFormatting sqref="H26">
    <cfRule type="expression" dxfId="657" priority="122">
      <formula>ISNUMBER(SEARCH(TEXT(#REF!,"ddd"),#REF!))</formula>
    </cfRule>
  </conditionalFormatting>
  <conditionalFormatting sqref="A84">
    <cfRule type="expression" dxfId="656" priority="117">
      <formula>ISNUMBER(SEARCH(TEXT(#REF!,"ddd"),#REF!))</formula>
    </cfRule>
  </conditionalFormatting>
  <conditionalFormatting sqref="A44">
    <cfRule type="expression" dxfId="655" priority="116">
      <formula>ISNUMBER(SEARCH(TEXT(#REF!,"ddd"),#REF!))</formula>
    </cfRule>
  </conditionalFormatting>
  <conditionalFormatting sqref="A50">
    <cfRule type="expression" dxfId="654" priority="96">
      <formula>ISNUMBER(SEARCH(TEXT(#REF!,"ddd"),#REF!))</formula>
    </cfRule>
  </conditionalFormatting>
  <conditionalFormatting sqref="A58">
    <cfRule type="expression" dxfId="653" priority="112">
      <formula>ISNUMBER(SEARCH(TEXT(#REF!,"ddd"),#REF!))</formula>
    </cfRule>
  </conditionalFormatting>
  <conditionalFormatting sqref="A60">
    <cfRule type="expression" dxfId="652" priority="111">
      <formula>ISNUMBER(SEARCH(TEXT(#REF!,"ddd"),#REF!))</formula>
    </cfRule>
  </conditionalFormatting>
  <conditionalFormatting sqref="B18:C18">
    <cfRule type="expression" dxfId="651" priority="93">
      <formula>ISNUMBER(SEARCH(TEXT(#REF!,"ddd"),#REF!))</formula>
    </cfRule>
  </conditionalFormatting>
  <conditionalFormatting sqref="B20:C20">
    <cfRule type="expression" dxfId="650" priority="94">
      <formula>ISNUMBER(SEARCH(TEXT(#REF!,"ddd"),#REF!))</formula>
    </cfRule>
  </conditionalFormatting>
  <conditionalFormatting sqref="A12">
    <cfRule type="expression" dxfId="649" priority="64">
      <formula>ISNUMBER(SEARCH(TEXT(#REF!,"ddd"),#REF!))</formula>
    </cfRule>
  </conditionalFormatting>
  <conditionalFormatting sqref="B16">
    <cfRule type="expression" dxfId="648" priority="86">
      <formula>ISNUMBER(SEARCH(TEXT(#REF!,"ddd"),#REF!))</formula>
    </cfRule>
  </conditionalFormatting>
  <conditionalFormatting sqref="D12">
    <cfRule type="expression" dxfId="647" priority="65">
      <formula>ISNUMBER(SEARCH(TEXT(#REF!,"ddd"),#REF!))</formula>
    </cfRule>
  </conditionalFormatting>
  <conditionalFormatting sqref="C16">
    <cfRule type="expression" dxfId="646" priority="85">
      <formula>ISNUMBER(SEARCH(TEXT(#REF!,"ddd"),#REF!))</formula>
    </cfRule>
  </conditionalFormatting>
  <conditionalFormatting sqref="D16">
    <cfRule type="expression" dxfId="645" priority="84">
      <formula>ISNUMBER(SEARCH(TEXT(#REF!,"ddd"),#REF!))</formula>
    </cfRule>
  </conditionalFormatting>
  <conditionalFormatting sqref="A14">
    <cfRule type="expression" dxfId="644" priority="63">
      <formula>ISNUMBER(SEARCH(TEXT(#REF!,"ddd"),#REF!))</formula>
    </cfRule>
  </conditionalFormatting>
  <conditionalFormatting sqref="D14">
    <cfRule type="expression" dxfId="643" priority="62">
      <formula>ISNUMBER(SEARCH(TEXT(#REF!,"ddd"),#REF!))</formula>
    </cfRule>
  </conditionalFormatting>
  <conditionalFormatting sqref="A16">
    <cfRule type="expression" dxfId="642" priority="61">
      <formula>ISNUMBER(SEARCH(TEXT(#REF!,"ddd"),#REF!))</formula>
    </cfRule>
  </conditionalFormatting>
  <conditionalFormatting sqref="A18">
    <cfRule type="expression" dxfId="641" priority="60">
      <formula>ISNUMBER(SEARCH(TEXT(#REF!,"ddd"),#REF!))</formula>
    </cfRule>
  </conditionalFormatting>
  <conditionalFormatting sqref="D18">
    <cfRule type="expression" dxfId="640" priority="59">
      <formula>ISNUMBER(SEARCH(TEXT(#REF!,"ddd"),#REF!))</formula>
    </cfRule>
  </conditionalFormatting>
  <conditionalFormatting sqref="A20">
    <cfRule type="expression" dxfId="639" priority="58">
      <formula>ISNUMBER(SEARCH(TEXT(#REF!,"ddd"),#REF!))</formula>
    </cfRule>
  </conditionalFormatting>
  <conditionalFormatting sqref="D20">
    <cfRule type="expression" dxfId="638" priority="57">
      <formula>ISNUMBER(SEARCH(TEXT(#REF!,"ddd"),#REF!))</formula>
    </cfRule>
  </conditionalFormatting>
  <conditionalFormatting sqref="A22">
    <cfRule type="expression" dxfId="637" priority="56">
      <formula>ISNUMBER(SEARCH(TEXT(#REF!,"ddd"),#REF!))</formula>
    </cfRule>
  </conditionalFormatting>
  <conditionalFormatting sqref="D22">
    <cfRule type="expression" dxfId="636" priority="55">
      <formula>ISNUMBER(SEARCH(TEXT(#REF!,"ddd"),#REF!))</formula>
    </cfRule>
  </conditionalFormatting>
  <conditionalFormatting sqref="A24">
    <cfRule type="expression" dxfId="635" priority="54">
      <formula>ISNUMBER(SEARCH(TEXT(#REF!,"ddd"),#REF!))</formula>
    </cfRule>
  </conditionalFormatting>
  <conditionalFormatting sqref="D24">
    <cfRule type="expression" dxfId="634" priority="53">
      <formula>ISNUMBER(SEARCH(TEXT(#REF!,"ddd"),#REF!))</formula>
    </cfRule>
  </conditionalFormatting>
  <conditionalFormatting sqref="A26">
    <cfRule type="expression" dxfId="633" priority="52">
      <formula>ISNUMBER(SEARCH(TEXT(#REF!,"ddd"),#REF!))</formula>
    </cfRule>
  </conditionalFormatting>
  <conditionalFormatting sqref="D26">
    <cfRule type="expression" dxfId="632" priority="51">
      <formula>ISNUMBER(SEARCH(TEXT(#REF!,"ddd"),#REF!))</formula>
    </cfRule>
  </conditionalFormatting>
  <conditionalFormatting sqref="D28">
    <cfRule type="expression" dxfId="631" priority="50">
      <formula>ISNUMBER(SEARCH(TEXT(#REF!,"ddd"),#REF!))</formula>
    </cfRule>
  </conditionalFormatting>
  <conditionalFormatting sqref="A28">
    <cfRule type="expression" dxfId="630" priority="49">
      <formula>ISNUMBER(SEARCH(TEXT(#REF!,"ddd"),#REF!))</formula>
    </cfRule>
  </conditionalFormatting>
  <conditionalFormatting sqref="A30">
    <cfRule type="expression" dxfId="629" priority="48">
      <formula>ISNUMBER(SEARCH(TEXT(#REF!,"ddd"),#REF!))</formula>
    </cfRule>
  </conditionalFormatting>
  <conditionalFormatting sqref="D32">
    <cfRule type="expression" dxfId="628" priority="47">
      <formula>ISNUMBER(SEARCH(TEXT(#REF!,"ddd"),#REF!))</formula>
    </cfRule>
  </conditionalFormatting>
  <conditionalFormatting sqref="A32">
    <cfRule type="expression" dxfId="627" priority="46">
      <formula>ISNUMBER(SEARCH(TEXT(#REF!,"ddd"),#REF!))</formula>
    </cfRule>
  </conditionalFormatting>
  <conditionalFormatting sqref="A34">
    <cfRule type="expression" dxfId="626" priority="45">
      <formula>ISNUMBER(SEARCH(TEXT(#REF!,"ddd"),#REF!))</formula>
    </cfRule>
  </conditionalFormatting>
  <conditionalFormatting sqref="D30">
    <cfRule type="expression" dxfId="625" priority="44">
      <formula>ISNUMBER(SEARCH(TEXT(#REF!,"ddd"),#REF!))</formula>
    </cfRule>
  </conditionalFormatting>
  <conditionalFormatting sqref="A36">
    <cfRule type="expression" dxfId="624" priority="43">
      <formula>ISNUMBER(SEARCH(TEXT(#REF!,"ddd"),#REF!))</formula>
    </cfRule>
  </conditionalFormatting>
  <conditionalFormatting sqref="D34">
    <cfRule type="expression" dxfId="623" priority="42">
      <formula>ISNUMBER(SEARCH(TEXT(#REF!,"ddd"),#REF!))</formula>
    </cfRule>
  </conditionalFormatting>
  <conditionalFormatting sqref="A38">
    <cfRule type="expression" dxfId="622" priority="41">
      <formula>ISNUMBER(SEARCH(TEXT(#REF!,"ddd"),#REF!))</formula>
    </cfRule>
  </conditionalFormatting>
  <conditionalFormatting sqref="D38">
    <cfRule type="expression" dxfId="621" priority="40">
      <formula>ISNUMBER(SEARCH(TEXT(#REF!,"ddd"),#REF!))</formula>
    </cfRule>
  </conditionalFormatting>
  <conditionalFormatting sqref="D36">
    <cfRule type="expression" dxfId="620" priority="39">
      <formula>ISNUMBER(SEARCH(TEXT(#REF!,"ddd"),#REF!))</formula>
    </cfRule>
  </conditionalFormatting>
  <conditionalFormatting sqref="A40">
    <cfRule type="expression" dxfId="619" priority="38">
      <formula>ISNUMBER(SEARCH(TEXT(#REF!,"ddd"),#REF!))</formula>
    </cfRule>
  </conditionalFormatting>
  <conditionalFormatting sqref="D40">
    <cfRule type="expression" dxfId="618" priority="37">
      <formula>ISNUMBER(SEARCH(TEXT(#REF!,"ddd"),#REF!))</formula>
    </cfRule>
  </conditionalFormatting>
  <conditionalFormatting sqref="A42">
    <cfRule type="expression" dxfId="617" priority="36">
      <formula>ISNUMBER(SEARCH(TEXT(#REF!,"ddd"),#REF!))</formula>
    </cfRule>
  </conditionalFormatting>
  <conditionalFormatting sqref="A46">
    <cfRule type="expression" dxfId="616" priority="35">
      <formula>ISNUMBER(SEARCH(TEXT(#REF!,"ddd"),#REF!))</formula>
    </cfRule>
  </conditionalFormatting>
  <conditionalFormatting sqref="D46">
    <cfRule type="expression" dxfId="615" priority="34">
      <formula>ISNUMBER(SEARCH(TEXT(#REF!,"ddd"),#REF!))</formula>
    </cfRule>
  </conditionalFormatting>
  <conditionalFormatting sqref="A48">
    <cfRule type="expression" dxfId="614" priority="33">
      <formula>ISNUMBER(SEARCH(TEXT(#REF!,"ddd"),#REF!))</formula>
    </cfRule>
  </conditionalFormatting>
  <conditionalFormatting sqref="D48">
    <cfRule type="expression" dxfId="613" priority="32">
      <formula>ISNUMBER(SEARCH(TEXT(#REF!,"ddd"),#REF!))</formula>
    </cfRule>
  </conditionalFormatting>
  <conditionalFormatting sqref="D50">
    <cfRule type="expression" dxfId="612" priority="31">
      <formula>ISNUMBER(SEARCH(TEXT(#REF!,"ddd"),#REF!))</formula>
    </cfRule>
  </conditionalFormatting>
  <conditionalFormatting sqref="A52">
    <cfRule type="expression" dxfId="611" priority="30">
      <formula>ISNUMBER(SEARCH(TEXT(#REF!,"ddd"),#REF!))</formula>
    </cfRule>
  </conditionalFormatting>
  <conditionalFormatting sqref="D52">
    <cfRule type="expression" dxfId="610" priority="29">
      <formula>ISNUMBER(SEARCH(TEXT(#REF!,"ddd"),#REF!))</formula>
    </cfRule>
  </conditionalFormatting>
  <conditionalFormatting sqref="A54">
    <cfRule type="expression" dxfId="609" priority="28">
      <formula>ISNUMBER(SEARCH(TEXT(#REF!,"ddd"),#REF!))</formula>
    </cfRule>
  </conditionalFormatting>
  <conditionalFormatting sqref="D54">
    <cfRule type="expression" dxfId="608" priority="27">
      <formula>ISNUMBER(SEARCH(TEXT(#REF!,"ddd"),#REF!))</formula>
    </cfRule>
  </conditionalFormatting>
  <conditionalFormatting sqref="A56">
    <cfRule type="expression" dxfId="607" priority="26">
      <formula>ISNUMBER(SEARCH(TEXT(#REF!,"ddd"),#REF!))</formula>
    </cfRule>
  </conditionalFormatting>
  <conditionalFormatting sqref="D56">
    <cfRule type="expression" dxfId="606" priority="25">
      <formula>ISNUMBER(SEARCH(TEXT(#REF!,"ddd"),#REF!))</formula>
    </cfRule>
  </conditionalFormatting>
  <conditionalFormatting sqref="D58">
    <cfRule type="expression" dxfId="605" priority="24">
      <formula>ISNUMBER(SEARCH(TEXT(#REF!,"ddd"),#REF!))</formula>
    </cfRule>
  </conditionalFormatting>
  <conditionalFormatting sqref="A62">
    <cfRule type="expression" dxfId="604" priority="23">
      <formula>ISNUMBER(SEARCH(TEXT(#REF!,"ddd"),#REF!))</formula>
    </cfRule>
  </conditionalFormatting>
  <conditionalFormatting sqref="D60">
    <cfRule type="expression" dxfId="603" priority="22">
      <formula>ISNUMBER(SEARCH(TEXT(#REF!,"ddd"),#REF!))</formula>
    </cfRule>
  </conditionalFormatting>
  <conditionalFormatting sqref="D62">
    <cfRule type="expression" dxfId="602" priority="21">
      <formula>ISNUMBER(SEARCH(TEXT(#REF!,"ddd"),#REF!))</formula>
    </cfRule>
  </conditionalFormatting>
  <conditionalFormatting sqref="A64">
    <cfRule type="expression" dxfId="601" priority="20">
      <formula>ISNUMBER(SEARCH(TEXT(#REF!,"ddd"),#REF!))</formula>
    </cfRule>
  </conditionalFormatting>
  <conditionalFormatting sqref="A66">
    <cfRule type="expression" dxfId="600" priority="19">
      <formula>ISNUMBER(SEARCH(TEXT(#REF!,"ddd"),#REF!))</formula>
    </cfRule>
  </conditionalFormatting>
  <conditionalFormatting sqref="D64">
    <cfRule type="expression" dxfId="599" priority="18">
      <formula>ISNUMBER(SEARCH(TEXT(#REF!,"ddd"),#REF!))</formula>
    </cfRule>
  </conditionalFormatting>
  <conditionalFormatting sqref="D66">
    <cfRule type="expression" dxfId="598" priority="17">
      <formula>ISNUMBER(SEARCH(TEXT(#REF!,"ddd"),#REF!))</formula>
    </cfRule>
  </conditionalFormatting>
  <conditionalFormatting sqref="D68">
    <cfRule type="expression" dxfId="597" priority="16">
      <formula>ISNUMBER(SEARCH(TEXT(#REF!,"ddd"),#REF!))</formula>
    </cfRule>
  </conditionalFormatting>
  <conditionalFormatting sqref="D70">
    <cfRule type="expression" dxfId="596" priority="15">
      <formula>ISNUMBER(SEARCH(TEXT(#REF!,"ddd"),#REF!))</formula>
    </cfRule>
  </conditionalFormatting>
  <conditionalFormatting sqref="A68">
    <cfRule type="expression" dxfId="595" priority="14">
      <formula>ISNUMBER(SEARCH(TEXT(#REF!,"ddd"),#REF!))</formula>
    </cfRule>
  </conditionalFormatting>
  <conditionalFormatting sqref="A72">
    <cfRule type="expression" dxfId="594" priority="11">
      <formula>ISNUMBER(SEARCH(TEXT(#REF!,"ddd"),#REF!))</formula>
    </cfRule>
  </conditionalFormatting>
  <conditionalFormatting sqref="A70">
    <cfRule type="expression" dxfId="593" priority="13">
      <formula>ISNUMBER(SEARCH(TEXT(#REF!,"ddd"),#REF!))</formula>
    </cfRule>
  </conditionalFormatting>
  <conditionalFormatting sqref="D72">
    <cfRule type="expression" dxfId="592" priority="12">
      <formula>ISNUMBER(SEARCH(TEXT(#REF!,"ddd"),#REF!))</formula>
    </cfRule>
  </conditionalFormatting>
  <conditionalFormatting sqref="D82">
    <cfRule type="expression" dxfId="591" priority="1">
      <formula>ISNUMBER(SEARCH(TEXT(#REF!,"ddd"),#REF!))</formula>
    </cfRule>
  </conditionalFormatting>
  <conditionalFormatting sqref="D74">
    <cfRule type="expression" dxfId="590" priority="10">
      <formula>ISNUMBER(SEARCH(TEXT(#REF!,"ddd"),#REF!))</formula>
    </cfRule>
  </conditionalFormatting>
  <conditionalFormatting sqref="D76">
    <cfRule type="expression" dxfId="589" priority="9">
      <formula>ISNUMBER(SEARCH(TEXT(#REF!,"ddd"),#REF!))</formula>
    </cfRule>
  </conditionalFormatting>
  <conditionalFormatting sqref="A74">
    <cfRule type="expression" dxfId="588" priority="8">
      <formula>ISNUMBER(SEARCH(TEXT(#REF!,"ddd"),#REF!))</formula>
    </cfRule>
  </conditionalFormatting>
  <conditionalFormatting sqref="A76">
    <cfRule type="expression" dxfId="587" priority="7">
      <formula>ISNUMBER(SEARCH(TEXT(#REF!,"ddd"),#REF!))</formula>
    </cfRule>
  </conditionalFormatting>
  <conditionalFormatting sqref="D78">
    <cfRule type="expression" dxfId="586" priority="6">
      <formula>ISNUMBER(SEARCH(TEXT(#REF!,"ddd"),#REF!))</formula>
    </cfRule>
  </conditionalFormatting>
  <conditionalFormatting sqref="A78">
    <cfRule type="expression" dxfId="585" priority="5">
      <formula>ISNUMBER(SEARCH(TEXT(#REF!,"ddd"),#REF!))</formula>
    </cfRule>
  </conditionalFormatting>
  <conditionalFormatting sqref="A80">
    <cfRule type="expression" dxfId="584" priority="4">
      <formula>ISNUMBER(SEARCH(TEXT(#REF!,"ddd"),#REF!))</formula>
    </cfRule>
  </conditionalFormatting>
  <conditionalFormatting sqref="D80">
    <cfRule type="expression" dxfId="583" priority="3">
      <formula>ISNUMBER(SEARCH(TEXT(#REF!,"ddd"),#REF!))</formula>
    </cfRule>
  </conditionalFormatting>
  <conditionalFormatting sqref="A82">
    <cfRule type="expression" dxfId="582" priority="2">
      <formula>ISNUMBER(SEARCH(TEXT(#REF!,"ddd"),#REF!))</formula>
    </cfRule>
  </conditionalFormatting>
  <dataValidations disablePrompts="1" count="2">
    <dataValidation type="custom" allowBlank="1" showInputMessage="1" showErrorMessage="1" sqref="C10 C16" xr:uid="{79F7D339-A003-4D2A-9F30-C0A1813EA8FA}">
      <formula1>AND($C10&lt;=1,ISNUMBER($C10),($C10&gt;=$B10))</formula1>
    </dataValidation>
    <dataValidation type="custom" allowBlank="1" showInputMessage="1" showErrorMessage="1" sqref="B10 B12:C14 B20:C20 B22:C22 B18:C18 B16" xr:uid="{CFF64F7C-4724-423A-975B-6BF567AF10C8}">
      <formula1>AND($B10&lt;=1,ISNUMBER($B10))</formula1>
    </dataValidation>
  </dataValidations>
  <pageMargins left="0" right="0" top="0" bottom="0.19685039370078741" header="0" footer="0"/>
  <pageSetup paperSize="9" scale="50" fitToHeight="0" orientation="portrait" horizontalDpi="4294967293" verticalDpi="4294967293"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67325-C02F-41AA-85D5-F9D21134D776}">
  <sheetPr codeName="Sheet26">
    <pageSetUpPr fitToPage="1"/>
  </sheetPr>
  <dimension ref="A1:M73"/>
  <sheetViews>
    <sheetView showGridLines="0" zoomScale="85" zoomScaleNormal="85" workbookViewId="0">
      <selection activeCell="G12" sqref="G12"/>
    </sheetView>
  </sheetViews>
  <sheetFormatPr baseColWidth="10" defaultColWidth="9" defaultRowHeight="12.75" x14ac:dyDescent="0.2"/>
  <cols>
    <col min="1" max="1" width="15.5" customWidth="1"/>
    <col min="2" max="2" width="8.875" customWidth="1"/>
    <col min="3" max="3" width="11.75" customWidth="1"/>
    <col min="4" max="4" width="11.5" customWidth="1"/>
    <col min="5" max="5" width="22.125" bestFit="1" customWidth="1"/>
    <col min="6" max="7" width="18" bestFit="1" customWidth="1"/>
    <col min="8" max="8" width="8.875" customWidth="1"/>
    <col min="9" max="9" width="11.625" customWidth="1"/>
    <col min="10" max="10" width="9.5" customWidth="1"/>
    <col min="11" max="11" width="12.375" customWidth="1"/>
    <col min="12" max="12" width="17.875" bestFit="1" customWidth="1"/>
    <col min="13" max="13" width="19.25" bestFit="1" customWidth="1"/>
  </cols>
  <sheetData>
    <row r="1" spans="1:13" ht="27" thickTop="1" x14ac:dyDescent="0.4">
      <c r="A1" s="301" t="s">
        <v>20</v>
      </c>
      <c r="B1" s="301"/>
      <c r="C1" s="301"/>
      <c r="D1" s="301"/>
      <c r="E1" s="55">
        <f>WEEKNUM(A10)</f>
        <v>18</v>
      </c>
      <c r="F1" s="83"/>
      <c r="G1" s="57"/>
      <c r="H1" s="84"/>
      <c r="J1" s="1"/>
    </row>
    <row r="2" spans="1:13" s="1" customFormat="1" ht="14.25" customHeight="1" x14ac:dyDescent="0.25">
      <c r="A2" s="49" t="s">
        <v>1</v>
      </c>
      <c r="B2" s="49"/>
      <c r="C2" s="49" t="s">
        <v>2</v>
      </c>
      <c r="D2" s="49"/>
      <c r="E2" s="85" t="s">
        <v>3</v>
      </c>
      <c r="F2" s="54" t="s">
        <v>4</v>
      </c>
      <c r="G2" s="54" t="s">
        <v>5</v>
      </c>
      <c r="H2" s="20"/>
      <c r="I2" s="86"/>
      <c r="J2" s="87"/>
      <c r="M2" s="1" t="s">
        <v>21</v>
      </c>
    </row>
    <row r="3" spans="1:13" ht="16.5" thickBot="1" x14ac:dyDescent="0.25">
      <c r="A3" s="136">
        <f>MIN(A10:A106)</f>
        <v>43948</v>
      </c>
      <c r="B3" s="202"/>
      <c r="C3" s="136">
        <f>MAXA(A10:A106)</f>
        <v>43954</v>
      </c>
      <c r="D3" s="188"/>
      <c r="E3" s="88" t="s">
        <v>6</v>
      </c>
      <c r="F3" s="177">
        <f>Sumcolor(E3,D10:D88)</f>
        <v>0</v>
      </c>
      <c r="G3" s="177">
        <f>SUM(Først:Sist!F3)</f>
        <v>1.0381944444444446</v>
      </c>
      <c r="H3" s="89"/>
      <c r="I3" s="90"/>
      <c r="J3" s="90"/>
      <c r="M3" t="s">
        <v>22</v>
      </c>
    </row>
    <row r="4" spans="1:13" ht="15" customHeight="1" x14ac:dyDescent="0.2">
      <c r="A4" s="391" t="s">
        <v>23</v>
      </c>
      <c r="B4" s="194"/>
      <c r="C4" s="293" t="s">
        <v>24</v>
      </c>
      <c r="D4" s="203"/>
      <c r="E4" s="91" t="s">
        <v>9</v>
      </c>
      <c r="F4" s="177">
        <f>Sumcolor(E4,D10:D88)</f>
        <v>0.59027777777777757</v>
      </c>
      <c r="G4" s="177">
        <f>SUM(Først:Sist!F4)</f>
        <v>8.03125</v>
      </c>
      <c r="H4" s="89"/>
      <c r="I4" s="90"/>
      <c r="J4" s="309"/>
    </row>
    <row r="5" spans="1:13" ht="15.75" x14ac:dyDescent="0.2">
      <c r="A5" s="302"/>
      <c r="B5" s="203"/>
      <c r="C5" s="302"/>
      <c r="D5" s="203"/>
      <c r="E5" s="159" t="s">
        <v>10</v>
      </c>
      <c r="F5" s="177">
        <f>Sumcolor(E5,D10:D88)</f>
        <v>7.9861111111110938E-2</v>
      </c>
      <c r="G5" s="177">
        <f>SUM(Først:Sist!F5)</f>
        <v>1.8090277777777768</v>
      </c>
      <c r="H5" s="89"/>
      <c r="I5" s="90"/>
      <c r="J5" s="309"/>
      <c r="M5" t="s">
        <v>25</v>
      </c>
    </row>
    <row r="6" spans="1:13" ht="18.75" customHeight="1" thickBot="1" x14ac:dyDescent="0.25">
      <c r="A6" s="182">
        <f>SUM(D10:D106)</f>
        <v>0.68055555555555514</v>
      </c>
      <c r="B6" s="51"/>
      <c r="C6" s="82">
        <f>SUM(Først:Sist!A6)</f>
        <v>12.965277777777779</v>
      </c>
      <c r="D6" s="52"/>
      <c r="E6" s="92" t="s">
        <v>11</v>
      </c>
      <c r="F6" s="178">
        <f>Sumcolor(E6,D10:D88)</f>
        <v>1.041666666666663E-2</v>
      </c>
      <c r="G6" s="178">
        <f>SUM(Først:Sist!F6)</f>
        <v>1.9895833333333335</v>
      </c>
      <c r="H6" s="89"/>
      <c r="I6" s="90"/>
      <c r="J6" s="90"/>
      <c r="M6" t="s">
        <v>26</v>
      </c>
    </row>
    <row r="7" spans="1:13" ht="12.75" customHeight="1" x14ac:dyDescent="0.2">
      <c r="A7" s="19"/>
      <c r="B7" s="23"/>
      <c r="C7" s="24"/>
      <c r="D7" s="93"/>
      <c r="E7" s="23"/>
      <c r="F7" s="271">
        <f>SUM(F3:F6)</f>
        <v>0.68055555555555514</v>
      </c>
      <c r="G7" s="25"/>
      <c r="H7" s="25"/>
    </row>
    <row r="8" spans="1:13" x14ac:dyDescent="0.2">
      <c r="A8" s="23"/>
      <c r="B8" s="25"/>
      <c r="C8" s="93"/>
      <c r="D8" s="25"/>
      <c r="E8" s="23"/>
      <c r="F8" s="23"/>
      <c r="G8" s="25"/>
      <c r="H8" s="25"/>
      <c r="M8" t="s">
        <v>27</v>
      </c>
    </row>
    <row r="9" spans="1:13" ht="16.5" thickBot="1" x14ac:dyDescent="0.3">
      <c r="A9" s="49" t="s">
        <v>12</v>
      </c>
      <c r="B9" s="49" t="s">
        <v>13</v>
      </c>
      <c r="C9" s="49" t="s">
        <v>14</v>
      </c>
      <c r="D9" s="49" t="s">
        <v>15</v>
      </c>
      <c r="E9" s="107" t="s">
        <v>16</v>
      </c>
      <c r="F9" s="102"/>
      <c r="G9" s="166" t="s">
        <v>17</v>
      </c>
      <c r="H9" s="25"/>
      <c r="M9" t="s">
        <v>28</v>
      </c>
    </row>
    <row r="10" spans="1:13" ht="15.75" customHeight="1" x14ac:dyDescent="0.2">
      <c r="A10" s="125">
        <f>DATE(2020,4,27)</f>
        <v>43948</v>
      </c>
      <c r="B10" s="160">
        <v>0.58333333333333337</v>
      </c>
      <c r="C10" s="160">
        <v>0.60763888888888895</v>
      </c>
      <c r="D10" s="160">
        <f>(C10-B10)</f>
        <v>2.430555555555558E-2</v>
      </c>
      <c r="E10" s="319" t="s">
        <v>78</v>
      </c>
      <c r="F10" s="320"/>
      <c r="G10" s="183"/>
      <c r="H10" s="173"/>
    </row>
    <row r="11" spans="1:13" ht="15.75" thickBot="1" x14ac:dyDescent="0.3">
      <c r="A11" s="126"/>
      <c r="B11" s="161"/>
      <c r="C11" s="161"/>
      <c r="D11" s="161"/>
      <c r="E11" s="321"/>
      <c r="F11" s="322"/>
      <c r="G11" s="184"/>
      <c r="H11" s="25"/>
      <c r="K11" s="257"/>
      <c r="M11" t="s">
        <v>30</v>
      </c>
    </row>
    <row r="12" spans="1:13" ht="15.75" x14ac:dyDescent="0.25">
      <c r="A12" s="134">
        <f>DATE(2020,4,28)</f>
        <v>43949</v>
      </c>
      <c r="B12" s="170">
        <v>0.64583333333333337</v>
      </c>
      <c r="C12" s="170">
        <v>0.72222222222222221</v>
      </c>
      <c r="D12" s="123">
        <f>(C12-B12)</f>
        <v>7.638888888888884E-2</v>
      </c>
      <c r="E12" s="392" t="s">
        <v>222</v>
      </c>
      <c r="F12" s="393"/>
      <c r="G12" s="185" t="s">
        <v>224</v>
      </c>
      <c r="J12" s="21"/>
      <c r="M12" t="s">
        <v>32</v>
      </c>
    </row>
    <row r="13" spans="1:13" ht="16.5" thickBot="1" x14ac:dyDescent="0.3">
      <c r="A13" s="214"/>
      <c r="B13" s="215"/>
      <c r="C13" s="215"/>
      <c r="D13" s="216"/>
      <c r="E13" s="394"/>
      <c r="F13" s="395"/>
      <c r="G13" s="217"/>
    </row>
    <row r="14" spans="1:13" ht="15.75" customHeight="1" x14ac:dyDescent="0.25">
      <c r="A14" s="134">
        <f>DATE(2020,4,29)</f>
        <v>43950</v>
      </c>
      <c r="B14" s="211">
        <v>0.51388888888888895</v>
      </c>
      <c r="C14" s="211">
        <v>0.5625</v>
      </c>
      <c r="D14" s="123">
        <f>(C14-B14)</f>
        <v>4.8611111111111049E-2</v>
      </c>
      <c r="E14" s="392" t="s">
        <v>222</v>
      </c>
      <c r="F14" s="393"/>
      <c r="G14" s="184" t="s">
        <v>224</v>
      </c>
    </row>
    <row r="15" spans="1:13" ht="15.75" customHeight="1" thickBot="1" x14ac:dyDescent="0.3">
      <c r="A15" s="213"/>
      <c r="B15" s="138"/>
      <c r="C15" s="138"/>
      <c r="D15" s="138"/>
      <c r="E15" s="394"/>
      <c r="F15" s="395"/>
      <c r="G15" s="186"/>
      <c r="H15" s="5"/>
    </row>
    <row r="16" spans="1:13" ht="15.75" x14ac:dyDescent="0.2">
      <c r="A16" s="134">
        <f>DATE(2020,4,29)</f>
        <v>43950</v>
      </c>
      <c r="B16" s="123">
        <v>0.72916666666666663</v>
      </c>
      <c r="C16" s="123">
        <v>0.79166666666666663</v>
      </c>
      <c r="D16" s="123">
        <f>(C16-B16)</f>
        <v>6.25E-2</v>
      </c>
      <c r="E16" s="392" t="s">
        <v>223</v>
      </c>
      <c r="F16" s="393"/>
      <c r="G16" s="187" t="s">
        <v>225</v>
      </c>
      <c r="H16" s="81"/>
      <c r="I16" s="5"/>
    </row>
    <row r="17" spans="1:12" ht="33" customHeight="1" thickBot="1" x14ac:dyDescent="0.25">
      <c r="A17" s="139"/>
      <c r="B17" s="140"/>
      <c r="C17" s="140"/>
      <c r="D17" s="140"/>
      <c r="E17" s="394"/>
      <c r="F17" s="395"/>
      <c r="G17" s="184"/>
      <c r="I17" s="5"/>
    </row>
    <row r="18" spans="1:12" ht="15.75" x14ac:dyDescent="0.2">
      <c r="A18" s="125">
        <f>DATE(2020,4,30)</f>
        <v>43951</v>
      </c>
      <c r="B18" s="160">
        <v>0.58333333333333337</v>
      </c>
      <c r="C18" s="160">
        <v>0.61111111111111105</v>
      </c>
      <c r="D18" s="160">
        <f>(C18-B18)</f>
        <v>2.7777777777777679E-2</v>
      </c>
      <c r="E18" s="319" t="s">
        <v>78</v>
      </c>
      <c r="F18" s="320"/>
      <c r="G18" s="185"/>
      <c r="I18" s="5"/>
    </row>
    <row r="19" spans="1:12" ht="15.75" customHeight="1" thickBot="1" x14ac:dyDescent="0.3">
      <c r="A19" s="126"/>
      <c r="B19" s="161"/>
      <c r="C19" s="161"/>
      <c r="D19" s="161"/>
      <c r="E19" s="321"/>
      <c r="F19" s="322"/>
      <c r="G19" s="184"/>
      <c r="I19" s="5"/>
    </row>
    <row r="20" spans="1:12" ht="15.75" x14ac:dyDescent="0.2">
      <c r="A20" s="134">
        <f>DATE(2020,4,30)</f>
        <v>43951</v>
      </c>
      <c r="B20" s="123">
        <v>0.61111111111111105</v>
      </c>
      <c r="C20" s="123">
        <v>0.63194444444444442</v>
      </c>
      <c r="D20" s="123">
        <f>(C20-B20)</f>
        <v>2.083333333333337E-2</v>
      </c>
      <c r="E20" s="392" t="s">
        <v>226</v>
      </c>
      <c r="F20" s="393"/>
      <c r="G20" s="185"/>
    </row>
    <row r="21" spans="1:12" ht="15.75" customHeight="1" thickBot="1" x14ac:dyDescent="0.3">
      <c r="A21" s="137"/>
      <c r="B21" s="138"/>
      <c r="C21" s="138"/>
      <c r="D21" s="138"/>
      <c r="E21" s="394"/>
      <c r="F21" s="395"/>
      <c r="G21" s="186"/>
      <c r="I21" s="268"/>
      <c r="J21" s="257"/>
      <c r="K21" s="268"/>
      <c r="L21" s="257"/>
    </row>
    <row r="22" spans="1:12" ht="15.75" customHeight="1" x14ac:dyDescent="0.2">
      <c r="A22" s="134">
        <f>DATE(2020,4,30)</f>
        <v>43951</v>
      </c>
      <c r="B22" s="123">
        <v>0.63194444444444442</v>
      </c>
      <c r="C22" s="123">
        <v>0.70138888888888884</v>
      </c>
      <c r="D22" s="123">
        <f>(C22-B22)</f>
        <v>6.944444444444442E-2</v>
      </c>
      <c r="E22" s="392" t="s">
        <v>222</v>
      </c>
      <c r="F22" s="393"/>
      <c r="G22" s="184" t="s">
        <v>224</v>
      </c>
      <c r="I22" s="404"/>
      <c r="J22" s="405"/>
      <c r="K22" s="406"/>
      <c r="L22" s="269"/>
    </row>
    <row r="23" spans="1:12" ht="15.75" customHeight="1" thickBot="1" x14ac:dyDescent="0.3">
      <c r="A23" s="137"/>
      <c r="B23" s="138"/>
      <c r="C23" s="138"/>
      <c r="D23" s="138"/>
      <c r="E23" s="394"/>
      <c r="F23" s="395"/>
      <c r="G23" s="186"/>
      <c r="I23" s="405"/>
      <c r="J23" s="405"/>
      <c r="K23" s="406"/>
      <c r="L23" s="269"/>
    </row>
    <row r="24" spans="1:12" ht="15.75" x14ac:dyDescent="0.2">
      <c r="A24" s="134">
        <f>DATE(2020,4,30)</f>
        <v>43951</v>
      </c>
      <c r="B24" s="122">
        <v>0.71527777777777779</v>
      </c>
      <c r="C24" s="122">
        <v>0.8125</v>
      </c>
      <c r="D24" s="123">
        <f>(C24-B24)</f>
        <v>9.722222222222221E-2</v>
      </c>
      <c r="E24" s="392" t="s">
        <v>222</v>
      </c>
      <c r="F24" s="393"/>
      <c r="G24" s="184" t="s">
        <v>224</v>
      </c>
      <c r="H24" s="218"/>
      <c r="I24" s="405"/>
      <c r="J24" s="405"/>
      <c r="K24" s="406"/>
      <c r="L24" s="269"/>
    </row>
    <row r="25" spans="1:12" ht="16.5" thickBot="1" x14ac:dyDescent="0.3">
      <c r="A25" s="135"/>
      <c r="B25" s="124"/>
      <c r="C25" s="124"/>
      <c r="D25" s="124"/>
      <c r="E25" s="394"/>
      <c r="F25" s="395"/>
      <c r="G25" s="186"/>
      <c r="H25" s="219"/>
      <c r="I25" s="405"/>
      <c r="J25" s="405"/>
      <c r="K25" s="406"/>
      <c r="L25" s="269"/>
    </row>
    <row r="26" spans="1:12" ht="15.75" x14ac:dyDescent="0.2">
      <c r="A26" s="125">
        <f>DATE(2020,5,2)</f>
        <v>43953</v>
      </c>
      <c r="B26" s="160">
        <v>0.58333333333333337</v>
      </c>
      <c r="C26" s="164">
        <v>0.61111111111111105</v>
      </c>
      <c r="D26" s="160">
        <f>(C26-B26)</f>
        <v>2.7777777777777679E-2</v>
      </c>
      <c r="E26" s="319" t="s">
        <v>78</v>
      </c>
      <c r="F26" s="320"/>
      <c r="G26" s="185"/>
      <c r="H26" s="218"/>
      <c r="I26" s="269"/>
      <c r="J26" s="269"/>
      <c r="K26" s="270"/>
      <c r="L26" s="257"/>
    </row>
    <row r="27" spans="1:12" ht="13.5" customHeight="1" thickBot="1" x14ac:dyDescent="0.25">
      <c r="A27" s="277"/>
      <c r="B27" s="277"/>
      <c r="C27" s="277"/>
      <c r="D27" s="277"/>
      <c r="E27" s="321"/>
      <c r="F27" s="322"/>
      <c r="G27" s="186"/>
      <c r="H27" s="220"/>
      <c r="I27" s="257"/>
      <c r="J27" s="257"/>
      <c r="K27" s="269"/>
      <c r="L27" s="257"/>
    </row>
    <row r="28" spans="1:12" ht="15.75" x14ac:dyDescent="0.2">
      <c r="A28" s="134">
        <f>DATE(2020,5,2)</f>
        <v>43953</v>
      </c>
      <c r="B28" s="122">
        <v>0.61111111111111105</v>
      </c>
      <c r="C28" s="122">
        <v>0.625</v>
      </c>
      <c r="D28" s="123">
        <f>(C28-B28)</f>
        <v>1.3888888888888951E-2</v>
      </c>
      <c r="E28" s="392" t="s">
        <v>227</v>
      </c>
      <c r="F28" s="393"/>
      <c r="G28" s="185"/>
      <c r="H28" s="29"/>
      <c r="K28" s="5"/>
    </row>
    <row r="29" spans="1:12" ht="39" customHeight="1" thickBot="1" x14ac:dyDescent="0.3">
      <c r="A29" s="135"/>
      <c r="B29" s="124"/>
      <c r="C29" s="124"/>
      <c r="D29" s="124"/>
      <c r="E29" s="394"/>
      <c r="F29" s="395"/>
      <c r="G29" s="186"/>
    </row>
    <row r="30" spans="1:12" ht="15.75" x14ac:dyDescent="0.2">
      <c r="A30" s="134">
        <f>DATE(2020,5,2)</f>
        <v>43953</v>
      </c>
      <c r="B30" s="122">
        <v>0.625</v>
      </c>
      <c r="C30" s="122">
        <v>0.63541666666666663</v>
      </c>
      <c r="D30" s="123">
        <f>(C30-B30)</f>
        <v>1.041666666666663E-2</v>
      </c>
      <c r="E30" s="392" t="s">
        <v>228</v>
      </c>
      <c r="F30" s="393"/>
      <c r="G30" s="185" t="s">
        <v>229</v>
      </c>
    </row>
    <row r="31" spans="1:12" ht="38.25" customHeight="1" thickBot="1" x14ac:dyDescent="0.3">
      <c r="A31" s="135"/>
      <c r="B31" s="124"/>
      <c r="C31" s="124"/>
      <c r="D31" s="124"/>
      <c r="E31" s="394"/>
      <c r="F31" s="395"/>
      <c r="G31" s="186"/>
      <c r="K31" s="21"/>
    </row>
    <row r="32" spans="1:12" ht="15.75" x14ac:dyDescent="0.2">
      <c r="A32" s="134">
        <f>DATE(2020,5,2)</f>
        <v>43953</v>
      </c>
      <c r="B32" s="122">
        <v>0.63541666666666663</v>
      </c>
      <c r="C32" s="122">
        <v>0.64583333333333337</v>
      </c>
      <c r="D32" s="123">
        <f>(C32-B32)</f>
        <v>1.0416666666666741E-2</v>
      </c>
      <c r="E32" s="392" t="s">
        <v>234</v>
      </c>
      <c r="F32" s="393"/>
      <c r="G32" s="184" t="s">
        <v>230</v>
      </c>
    </row>
    <row r="33" spans="1:11" ht="16.5" thickBot="1" x14ac:dyDescent="0.3">
      <c r="A33" s="135"/>
      <c r="B33" s="124"/>
      <c r="C33" s="124"/>
      <c r="D33" s="124"/>
      <c r="E33" s="394"/>
      <c r="F33" s="395"/>
      <c r="G33" s="186"/>
    </row>
    <row r="34" spans="1:11" ht="15.75" x14ac:dyDescent="0.2">
      <c r="A34" s="134">
        <f>DATE(2020,5,2)</f>
        <v>43953</v>
      </c>
      <c r="B34" s="122">
        <v>0.64583333333333337</v>
      </c>
      <c r="C34" s="122">
        <v>0.66666666666666663</v>
      </c>
      <c r="D34" s="123">
        <f>(C34-B34)</f>
        <v>2.0833333333333259E-2</v>
      </c>
      <c r="E34" s="392" t="s">
        <v>232</v>
      </c>
      <c r="F34" s="393"/>
      <c r="G34" s="185" t="s">
        <v>231</v>
      </c>
    </row>
    <row r="35" spans="1:11" ht="16.5" thickBot="1" x14ac:dyDescent="0.3">
      <c r="A35" s="135"/>
      <c r="B35" s="124"/>
      <c r="C35" s="124"/>
      <c r="D35" s="124"/>
      <c r="E35" s="394"/>
      <c r="F35" s="395"/>
      <c r="G35" s="186"/>
      <c r="K35" s="90"/>
    </row>
    <row r="36" spans="1:11" ht="15.75" x14ac:dyDescent="0.2">
      <c r="A36" s="134">
        <f>DATE(2020,5,2)</f>
        <v>43953</v>
      </c>
      <c r="B36" s="122">
        <v>0.67361111111111116</v>
      </c>
      <c r="C36" s="122">
        <v>0.6875</v>
      </c>
      <c r="D36" s="123">
        <f>(C36-B36)</f>
        <v>1.388888888888884E-2</v>
      </c>
      <c r="E36" s="392" t="s">
        <v>233</v>
      </c>
      <c r="F36" s="393"/>
      <c r="G36" s="185"/>
    </row>
    <row r="37" spans="1:11" ht="16.5" thickBot="1" x14ac:dyDescent="0.3">
      <c r="A37" s="135"/>
      <c r="B37" s="124"/>
      <c r="C37" s="124"/>
      <c r="D37" s="124"/>
      <c r="E37" s="394"/>
      <c r="F37" s="395"/>
      <c r="G37" s="186"/>
    </row>
    <row r="38" spans="1:11" ht="15.75" x14ac:dyDescent="0.2">
      <c r="A38" s="134">
        <f>DATE(2020,5,2)</f>
        <v>43953</v>
      </c>
      <c r="B38" s="122">
        <v>0.75694444444444453</v>
      </c>
      <c r="C38" s="122">
        <v>0.77777777777777779</v>
      </c>
      <c r="D38" s="123">
        <f>(C38-B38)</f>
        <v>2.0833333333333259E-2</v>
      </c>
      <c r="E38" s="392" t="s">
        <v>235</v>
      </c>
      <c r="F38" s="393"/>
      <c r="G38" s="184" t="s">
        <v>230</v>
      </c>
    </row>
    <row r="39" spans="1:11" ht="16.5" thickBot="1" x14ac:dyDescent="0.3">
      <c r="A39" s="135"/>
      <c r="B39" s="124"/>
      <c r="C39" s="124"/>
      <c r="D39" s="124"/>
      <c r="E39" s="394"/>
      <c r="F39" s="395"/>
      <c r="G39" s="186"/>
    </row>
    <row r="40" spans="1:11" ht="15.75" x14ac:dyDescent="0.2">
      <c r="A40" s="134">
        <f>DATE(2020,5,2)</f>
        <v>43953</v>
      </c>
      <c r="B40" s="122">
        <v>0.79166666666666663</v>
      </c>
      <c r="C40" s="122">
        <v>0.82638888888888884</v>
      </c>
      <c r="D40" s="123">
        <f>(C40-B40)</f>
        <v>3.472222222222221E-2</v>
      </c>
      <c r="E40" s="392" t="s">
        <v>236</v>
      </c>
      <c r="F40" s="393"/>
      <c r="G40" s="184"/>
    </row>
    <row r="41" spans="1:11" ht="16.5" thickBot="1" x14ac:dyDescent="0.3">
      <c r="A41" s="135"/>
      <c r="B41" s="124"/>
      <c r="C41" s="124"/>
      <c r="D41" s="124"/>
      <c r="E41" s="394"/>
      <c r="F41" s="395"/>
      <c r="G41" s="186"/>
    </row>
    <row r="42" spans="1:11" ht="15.75" x14ac:dyDescent="0.2">
      <c r="A42" s="134">
        <f>DATE(2020,5,2)</f>
        <v>43953</v>
      </c>
      <c r="B42" s="122">
        <v>0.88541666666666663</v>
      </c>
      <c r="C42" s="122">
        <v>0.90625</v>
      </c>
      <c r="D42" s="123">
        <f>(C42-B42)</f>
        <v>2.083333333333337E-2</v>
      </c>
      <c r="E42" s="392" t="s">
        <v>237</v>
      </c>
      <c r="F42" s="393"/>
      <c r="G42" s="184"/>
    </row>
    <row r="43" spans="1:11" ht="66.75" customHeight="1" thickBot="1" x14ac:dyDescent="0.3">
      <c r="A43" s="135"/>
      <c r="B43" s="124"/>
      <c r="C43" s="124"/>
      <c r="D43" s="124"/>
      <c r="E43" s="394"/>
      <c r="F43" s="395"/>
      <c r="G43" s="186"/>
    </row>
    <row r="44" spans="1:11" ht="15.75" x14ac:dyDescent="0.2">
      <c r="A44" s="134">
        <f>DATE(2020,5,3)</f>
        <v>43954</v>
      </c>
      <c r="B44" s="122">
        <v>0.72916666666666663</v>
      </c>
      <c r="C44" s="122">
        <v>0.76388888888888884</v>
      </c>
      <c r="D44" s="123">
        <f>(C44-B44)</f>
        <v>3.472222222222221E-2</v>
      </c>
      <c r="E44" s="392" t="s">
        <v>235</v>
      </c>
      <c r="F44" s="393"/>
      <c r="G44" s="184" t="s">
        <v>230</v>
      </c>
    </row>
    <row r="45" spans="1:11" ht="16.5" thickBot="1" x14ac:dyDescent="0.3">
      <c r="A45" s="135"/>
      <c r="B45" s="124"/>
      <c r="C45" s="124"/>
      <c r="D45" s="124"/>
      <c r="E45" s="394"/>
      <c r="F45" s="395"/>
      <c r="G45" s="186"/>
    </row>
    <row r="46" spans="1:11" ht="15.75" x14ac:dyDescent="0.2">
      <c r="A46" s="134">
        <f>DATE(2020,5,3)</f>
        <v>43954</v>
      </c>
      <c r="B46" s="122">
        <v>0.8125</v>
      </c>
      <c r="C46" s="122">
        <v>0.84722222222222221</v>
      </c>
      <c r="D46" s="123">
        <f>(C46-B46)</f>
        <v>3.472222222222221E-2</v>
      </c>
      <c r="E46" s="392" t="s">
        <v>235</v>
      </c>
      <c r="F46" s="393"/>
      <c r="G46" s="184" t="s">
        <v>230</v>
      </c>
    </row>
    <row r="47" spans="1:11" ht="16.5" thickBot="1" x14ac:dyDescent="0.3">
      <c r="A47" s="135"/>
      <c r="B47" s="124"/>
      <c r="C47" s="124"/>
      <c r="D47" s="124"/>
      <c r="E47" s="394"/>
      <c r="F47" s="395"/>
      <c r="G47" s="186"/>
    </row>
    <row r="48" spans="1:11" ht="15.75" x14ac:dyDescent="0.2">
      <c r="A48" s="132">
        <f>DATE(2020,5,3)</f>
        <v>43954</v>
      </c>
      <c r="B48" s="119">
        <v>0.95833333333333337</v>
      </c>
      <c r="C48" s="119">
        <v>0.96875</v>
      </c>
      <c r="D48" s="120">
        <f>(C48-B48)</f>
        <v>1.041666666666663E-2</v>
      </c>
      <c r="E48" s="396" t="s">
        <v>238</v>
      </c>
      <c r="F48" s="397"/>
      <c r="G48" s="184"/>
    </row>
    <row r="49" spans="1:11" ht="16.5" thickBot="1" x14ac:dyDescent="0.3">
      <c r="A49" s="133"/>
      <c r="B49" s="121"/>
      <c r="C49" s="121"/>
      <c r="D49" s="121"/>
      <c r="E49" s="398"/>
      <c r="F49" s="399"/>
      <c r="G49" s="186"/>
    </row>
    <row r="50" spans="1:11" ht="15.75" x14ac:dyDescent="0.2">
      <c r="A50" s="238"/>
      <c r="B50" s="239"/>
      <c r="C50" s="239"/>
      <c r="D50" s="240"/>
      <c r="E50" s="383"/>
      <c r="F50" s="384"/>
      <c r="G50" s="184"/>
    </row>
    <row r="51" spans="1:11" ht="16.5" thickBot="1" x14ac:dyDescent="0.3">
      <c r="A51" s="241"/>
      <c r="B51" s="242"/>
      <c r="C51" s="242"/>
      <c r="D51" s="242"/>
      <c r="E51" s="385"/>
      <c r="F51" s="386"/>
      <c r="G51" s="186"/>
    </row>
    <row r="52" spans="1:11" ht="24" thickBot="1" x14ac:dyDescent="0.4">
      <c r="A52" s="101" t="s">
        <v>18</v>
      </c>
      <c r="B52" s="101"/>
      <c r="C52" s="27"/>
      <c r="D52" s="27"/>
      <c r="E52" s="27"/>
      <c r="F52" s="102"/>
      <c r="G52" s="102"/>
    </row>
    <row r="53" spans="1:11" x14ac:dyDescent="0.2">
      <c r="B53" s="103"/>
      <c r="C53" s="104"/>
      <c r="D53" s="105"/>
      <c r="E53" s="106"/>
      <c r="K53" s="180"/>
    </row>
    <row r="54" spans="1:11" ht="12.75" customHeight="1" x14ac:dyDescent="0.2">
      <c r="A54" s="314"/>
      <c r="B54" s="314"/>
      <c r="C54" s="314"/>
      <c r="D54" s="314"/>
      <c r="E54" s="314"/>
      <c r="F54" s="314"/>
      <c r="G54" s="314"/>
      <c r="H54" s="5"/>
      <c r="K54" s="180"/>
    </row>
    <row r="55" spans="1:11" ht="12.75" customHeight="1" x14ac:dyDescent="0.2">
      <c r="A55" s="314"/>
      <c r="B55" s="314"/>
      <c r="C55" s="314"/>
      <c r="D55" s="314"/>
      <c r="E55" s="314"/>
      <c r="F55" s="314"/>
      <c r="G55" s="314"/>
      <c r="H55" s="5"/>
      <c r="K55" s="180"/>
    </row>
    <row r="56" spans="1:11" ht="12.75" customHeight="1" x14ac:dyDescent="0.2">
      <c r="A56" s="314"/>
      <c r="B56" s="314"/>
      <c r="C56" s="314"/>
      <c r="D56" s="314"/>
      <c r="E56" s="314"/>
      <c r="F56" s="314"/>
      <c r="G56" s="314"/>
      <c r="H56" s="5"/>
      <c r="K56" s="180"/>
    </row>
    <row r="57" spans="1:11" ht="12.75" customHeight="1" x14ac:dyDescent="0.2">
      <c r="A57" s="314"/>
      <c r="B57" s="314"/>
      <c r="C57" s="314"/>
      <c r="D57" s="314"/>
      <c r="E57" s="314"/>
      <c r="F57" s="314"/>
      <c r="G57" s="314"/>
      <c r="H57" s="5"/>
      <c r="K57" s="180"/>
    </row>
    <row r="58" spans="1:11" ht="12.75" customHeight="1" x14ac:dyDescent="0.2">
      <c r="A58" s="314"/>
      <c r="B58" s="314"/>
      <c r="C58" s="314"/>
      <c r="D58" s="314"/>
      <c r="E58" s="314"/>
      <c r="F58" s="314"/>
      <c r="G58" s="314"/>
      <c r="H58" s="5"/>
      <c r="K58" s="180"/>
    </row>
    <row r="59" spans="1:11" ht="12.75" customHeight="1" x14ac:dyDescent="0.2">
      <c r="A59" s="314"/>
      <c r="B59" s="314"/>
      <c r="C59" s="314"/>
      <c r="D59" s="314"/>
      <c r="E59" s="314"/>
      <c r="F59" s="314"/>
      <c r="G59" s="314"/>
      <c r="H59" s="5"/>
      <c r="K59" s="180"/>
    </row>
    <row r="60" spans="1:11" ht="12.75" customHeight="1" x14ac:dyDescent="0.2">
      <c r="A60" s="314"/>
      <c r="B60" s="314"/>
      <c r="C60" s="314"/>
      <c r="D60" s="314"/>
      <c r="E60" s="314"/>
      <c r="F60" s="314"/>
      <c r="G60" s="314"/>
      <c r="H60" s="5"/>
      <c r="K60" s="252"/>
    </row>
    <row r="61" spans="1:11" ht="12.75" customHeight="1" x14ac:dyDescent="0.2">
      <c r="A61" s="314"/>
      <c r="B61" s="314"/>
      <c r="C61" s="314"/>
      <c r="D61" s="314"/>
      <c r="E61" s="314"/>
      <c r="F61" s="314"/>
      <c r="G61" s="314"/>
      <c r="H61" s="5"/>
    </row>
    <row r="62" spans="1:11" ht="12.75" customHeight="1" x14ac:dyDescent="0.2">
      <c r="A62" s="314"/>
      <c r="B62" s="314"/>
      <c r="C62" s="314"/>
      <c r="D62" s="314"/>
      <c r="E62" s="314"/>
      <c r="F62" s="314"/>
      <c r="G62" s="314"/>
      <c r="H62" s="5"/>
    </row>
    <row r="63" spans="1:11" ht="12.75" customHeight="1" x14ac:dyDescent="0.2">
      <c r="A63" s="314"/>
      <c r="B63" s="314"/>
      <c r="C63" s="314"/>
      <c r="D63" s="314"/>
      <c r="E63" s="314"/>
      <c r="F63" s="314"/>
      <c r="G63" s="314"/>
      <c r="H63" s="5"/>
    </row>
    <row r="64" spans="1:11" ht="12.75" customHeight="1" x14ac:dyDescent="0.2">
      <c r="A64" s="314"/>
      <c r="B64" s="314"/>
      <c r="C64" s="314"/>
      <c r="D64" s="314"/>
      <c r="E64" s="314"/>
      <c r="F64" s="314"/>
      <c r="G64" s="314"/>
      <c r="H64" s="5"/>
    </row>
    <row r="65" spans="1:8" ht="12.75" customHeight="1" x14ac:dyDescent="0.2">
      <c r="A65" s="314"/>
      <c r="B65" s="314"/>
      <c r="C65" s="314"/>
      <c r="D65" s="314"/>
      <c r="E65" s="314"/>
      <c r="F65" s="314"/>
      <c r="G65" s="314"/>
      <c r="H65" s="5"/>
    </row>
    <row r="66" spans="1:8" ht="12.75" customHeight="1" x14ac:dyDescent="0.2">
      <c r="A66" s="314"/>
      <c r="B66" s="314"/>
      <c r="C66" s="314"/>
      <c r="D66" s="314"/>
      <c r="E66" s="314"/>
      <c r="F66" s="314"/>
      <c r="G66" s="314"/>
      <c r="H66" s="5"/>
    </row>
    <row r="67" spans="1:8" ht="12.75" customHeight="1" x14ac:dyDescent="0.2">
      <c r="A67" s="5"/>
      <c r="B67" s="5"/>
      <c r="C67" s="5"/>
      <c r="D67" s="5"/>
      <c r="E67" s="5"/>
      <c r="F67" s="5"/>
      <c r="G67" s="5"/>
      <c r="H67" s="5"/>
    </row>
    <row r="68" spans="1:8" ht="12.75" customHeight="1" x14ac:dyDescent="0.2">
      <c r="A68" s="5"/>
      <c r="B68" s="5"/>
      <c r="C68" s="5"/>
      <c r="D68" s="5"/>
      <c r="E68" s="5"/>
      <c r="F68" s="5"/>
      <c r="G68" s="5"/>
      <c r="H68" s="5"/>
    </row>
    <row r="69" spans="1:8" ht="12.75" customHeight="1" x14ac:dyDescent="0.2">
      <c r="A69" s="5"/>
      <c r="B69" s="5"/>
      <c r="C69" s="5"/>
      <c r="D69" s="5"/>
      <c r="E69" s="5"/>
      <c r="F69" s="5"/>
      <c r="G69" s="5"/>
      <c r="H69" s="5"/>
    </row>
    <row r="70" spans="1:8" x14ac:dyDescent="0.2">
      <c r="A70" s="5"/>
      <c r="B70" s="5"/>
      <c r="C70" s="5"/>
      <c r="D70" s="5"/>
      <c r="E70" s="5"/>
      <c r="F70" s="5"/>
      <c r="G70" s="5"/>
      <c r="H70" s="5"/>
    </row>
    <row r="71" spans="1:8" ht="12.75" customHeight="1" x14ac:dyDescent="0.2">
      <c r="A71" s="5"/>
      <c r="B71" s="5"/>
      <c r="C71" s="5"/>
      <c r="D71" s="5"/>
      <c r="E71" s="5"/>
      <c r="F71" s="5"/>
      <c r="G71" s="5"/>
      <c r="H71" s="5"/>
    </row>
    <row r="72" spans="1:8" ht="12.75" customHeight="1" x14ac:dyDescent="0.2"/>
    <row r="73" spans="1:8" ht="12.75" customHeight="1" x14ac:dyDescent="0.2"/>
  </sheetData>
  <mergeCells count="30">
    <mergeCell ref="E50:F51"/>
    <mergeCell ref="A54:G66"/>
    <mergeCell ref="E40:F41"/>
    <mergeCell ref="E42:F43"/>
    <mergeCell ref="E44:F45"/>
    <mergeCell ref="E46:F47"/>
    <mergeCell ref="E48:F49"/>
    <mergeCell ref="E30:F31"/>
    <mergeCell ref="E32:F33"/>
    <mergeCell ref="E34:F35"/>
    <mergeCell ref="E36:F37"/>
    <mergeCell ref="E38:F39"/>
    <mergeCell ref="K22:K23"/>
    <mergeCell ref="E24:F25"/>
    <mergeCell ref="I24:J25"/>
    <mergeCell ref="K24:K25"/>
    <mergeCell ref="E26:F27"/>
    <mergeCell ref="I22:J23"/>
    <mergeCell ref="E28:F29"/>
    <mergeCell ref="E14:F15"/>
    <mergeCell ref="E16:F17"/>
    <mergeCell ref="E18:F19"/>
    <mergeCell ref="E20:F21"/>
    <mergeCell ref="E22:F23"/>
    <mergeCell ref="E12:F13"/>
    <mergeCell ref="A1:D1"/>
    <mergeCell ref="A4:A5"/>
    <mergeCell ref="C4:C5"/>
    <mergeCell ref="J4:J5"/>
    <mergeCell ref="E10:F11"/>
  </mergeCells>
  <conditionalFormatting sqref="I21 H24">
    <cfRule type="expression" dxfId="581" priority="122">
      <formula>ISNUMBER(SEARCH(TEXT(#REF!,"ddd"),#REF!))</formula>
    </cfRule>
  </conditionalFormatting>
  <conditionalFormatting sqref="C22">
    <cfRule type="expression" dxfId="580" priority="123">
      <formula>ISNUMBER(SEARCH(TEXT(#REF!,"ddd"),#REF!))</formula>
    </cfRule>
  </conditionalFormatting>
  <conditionalFormatting sqref="K21">
    <cfRule type="expression" dxfId="579" priority="124">
      <formula>ISNUMBER(SEARCH(TEXT(#REF!,"ddd"),#REF!))</formula>
    </cfRule>
  </conditionalFormatting>
  <conditionalFormatting sqref="A10:D10">
    <cfRule type="expression" dxfId="578" priority="121">
      <formula>ISNUMBER(SEARCH(TEXT(#REF!,"ddd"),#REF!))</formula>
    </cfRule>
  </conditionalFormatting>
  <conditionalFormatting sqref="B20:C20">
    <cfRule type="expression" dxfId="577" priority="120">
      <formula>ISNUMBER(SEARCH(TEXT(#REF!,"ddd"),#REF!))</formula>
    </cfRule>
  </conditionalFormatting>
  <conditionalFormatting sqref="B12:C14">
    <cfRule type="expression" dxfId="576" priority="119">
      <formula>ISNUMBER(SEARCH(TEXT(#REF!,"ddd"),#REF!))</formula>
    </cfRule>
  </conditionalFormatting>
  <conditionalFormatting sqref="D13">
    <cfRule type="expression" dxfId="575" priority="118">
      <formula>ISNUMBER(SEARCH(TEXT(#REF!,"ddd"),#REF!))</formula>
    </cfRule>
  </conditionalFormatting>
  <conditionalFormatting sqref="A13">
    <cfRule type="expression" dxfId="574" priority="117">
      <formula>ISNUMBER(SEARCH(TEXT(#REF!,"ddd"),#REF!))</formula>
    </cfRule>
  </conditionalFormatting>
  <conditionalFormatting sqref="H26">
    <cfRule type="expression" dxfId="573" priority="116">
      <formula>ISNUMBER(SEARCH(TEXT(#REF!,"ddd"),#REF!))</formula>
    </cfRule>
  </conditionalFormatting>
  <conditionalFormatting sqref="A50">
    <cfRule type="expression" dxfId="572" priority="115">
      <formula>ISNUMBER(SEARCH(TEXT(#REF!,"ddd"),#REF!))</formula>
    </cfRule>
  </conditionalFormatting>
  <conditionalFormatting sqref="B16">
    <cfRule type="expression" dxfId="571" priority="108">
      <formula>ISNUMBER(SEARCH(TEXT(#REF!,"ddd"),#REF!))</formula>
    </cfRule>
  </conditionalFormatting>
  <conditionalFormatting sqref="B20:C20">
    <cfRule type="expression" dxfId="570" priority="110">
      <formula>ISNUMBER(SEARCH(TEXT(#REF!,"ddd"),#REF!))</formula>
    </cfRule>
  </conditionalFormatting>
  <conditionalFormatting sqref="A12">
    <cfRule type="expression" dxfId="569" priority="104">
      <formula>ISNUMBER(SEARCH(TEXT(#REF!,"ddd"),#REF!))</formula>
    </cfRule>
  </conditionalFormatting>
  <conditionalFormatting sqref="D12">
    <cfRule type="expression" dxfId="568" priority="105">
      <formula>ISNUMBER(SEARCH(TEXT(#REF!,"ddd"),#REF!))</formula>
    </cfRule>
  </conditionalFormatting>
  <conditionalFormatting sqref="C16">
    <cfRule type="expression" dxfId="567" priority="107">
      <formula>ISNUMBER(SEARCH(TEXT(#REF!,"ddd"),#REF!))</formula>
    </cfRule>
  </conditionalFormatting>
  <conditionalFormatting sqref="A14">
    <cfRule type="expression" dxfId="566" priority="103">
      <formula>ISNUMBER(SEARCH(TEXT(#REF!,"ddd"),#REF!))</formula>
    </cfRule>
  </conditionalFormatting>
  <conditionalFormatting sqref="A18">
    <cfRule type="expression" dxfId="565" priority="100">
      <formula>ISNUMBER(SEARCH(TEXT(#REF!,"ddd"),#REF!))</formula>
    </cfRule>
  </conditionalFormatting>
  <conditionalFormatting sqref="A16">
    <cfRule type="expression" dxfId="564" priority="40">
      <formula>ISNUMBER(SEARCH(TEXT(#REF!,"ddd"),#REF!))</formula>
    </cfRule>
  </conditionalFormatting>
  <conditionalFormatting sqref="B18">
    <cfRule type="expression" dxfId="563" priority="39">
      <formula>ISNUMBER(SEARCH(TEXT(#REF!,"ddd"),#REF!))</formula>
    </cfRule>
  </conditionalFormatting>
  <conditionalFormatting sqref="C18">
    <cfRule type="expression" dxfId="562" priority="38">
      <formula>ISNUMBER(SEARCH(TEXT(#REF!,"ddd"),#REF!))</formula>
    </cfRule>
  </conditionalFormatting>
  <conditionalFormatting sqref="D18">
    <cfRule type="expression" dxfId="561" priority="37">
      <formula>ISNUMBER(SEARCH(TEXT(#REF!,"ddd"),#REF!))</formula>
    </cfRule>
  </conditionalFormatting>
  <conditionalFormatting sqref="D14">
    <cfRule type="expression" dxfId="560" priority="36">
      <formula>ISNUMBER(SEARCH(TEXT(#REF!,"ddd"),#REF!))</formula>
    </cfRule>
  </conditionalFormatting>
  <conditionalFormatting sqref="D16">
    <cfRule type="expression" dxfId="559" priority="35">
      <formula>ISNUMBER(SEARCH(TEXT(#REF!,"ddd"),#REF!))</formula>
    </cfRule>
  </conditionalFormatting>
  <conditionalFormatting sqref="A20">
    <cfRule type="expression" dxfId="558" priority="34">
      <formula>ISNUMBER(SEARCH(TEXT(#REF!,"ddd"),#REF!))</formula>
    </cfRule>
  </conditionalFormatting>
  <conditionalFormatting sqref="D20">
    <cfRule type="expression" dxfId="557" priority="33">
      <formula>ISNUMBER(SEARCH(TEXT(#REF!,"ddd"),#REF!))</formula>
    </cfRule>
  </conditionalFormatting>
  <conditionalFormatting sqref="A22">
    <cfRule type="expression" dxfId="556" priority="32">
      <formula>ISNUMBER(SEARCH(TEXT(#REF!,"ddd"),#REF!))</formula>
    </cfRule>
  </conditionalFormatting>
  <conditionalFormatting sqref="B22">
    <cfRule type="expression" dxfId="555" priority="31">
      <formula>ISNUMBER(SEARCH(TEXT(#REF!,"ddd"),#REF!))</formula>
    </cfRule>
  </conditionalFormatting>
  <conditionalFormatting sqref="B22">
    <cfRule type="expression" dxfId="554" priority="30">
      <formula>ISNUMBER(SEARCH(TEXT(#REF!,"ddd"),#REF!))</formula>
    </cfRule>
  </conditionalFormatting>
  <conditionalFormatting sqref="D22">
    <cfRule type="expression" dxfId="553" priority="29">
      <formula>ISNUMBER(SEARCH(TEXT(#REF!,"ddd"),#REF!))</formula>
    </cfRule>
  </conditionalFormatting>
  <conditionalFormatting sqref="A24">
    <cfRule type="expression" dxfId="552" priority="28">
      <formula>ISNUMBER(SEARCH(TEXT(#REF!,"ddd"),#REF!))</formula>
    </cfRule>
  </conditionalFormatting>
  <conditionalFormatting sqref="A26">
    <cfRule type="expression" dxfId="551" priority="27">
      <formula>ISNUMBER(SEARCH(TEXT(#REF!,"ddd"),#REF!))</formula>
    </cfRule>
  </conditionalFormatting>
  <conditionalFormatting sqref="B26">
    <cfRule type="expression" dxfId="550" priority="26">
      <formula>ISNUMBER(SEARCH(TEXT(#REF!,"ddd"),#REF!))</formula>
    </cfRule>
  </conditionalFormatting>
  <conditionalFormatting sqref="D24">
    <cfRule type="expression" dxfId="549" priority="25">
      <formula>ISNUMBER(SEARCH(TEXT(#REF!,"ddd"),#REF!))</formula>
    </cfRule>
  </conditionalFormatting>
  <conditionalFormatting sqref="D26">
    <cfRule type="expression" dxfId="548" priority="24">
      <formula>ISNUMBER(SEARCH(TEXT(#REF!,"ddd"),#REF!))</formula>
    </cfRule>
  </conditionalFormatting>
  <conditionalFormatting sqref="A28">
    <cfRule type="expression" dxfId="547" priority="23">
      <formula>ISNUMBER(SEARCH(TEXT(#REF!,"ddd"),#REF!))</formula>
    </cfRule>
  </conditionalFormatting>
  <conditionalFormatting sqref="A30">
    <cfRule type="expression" dxfId="546" priority="22">
      <formula>ISNUMBER(SEARCH(TEXT(#REF!,"ddd"),#REF!))</formula>
    </cfRule>
  </conditionalFormatting>
  <conditionalFormatting sqref="D28">
    <cfRule type="expression" dxfId="545" priority="21">
      <formula>ISNUMBER(SEARCH(TEXT(#REF!,"ddd"),#REF!))</formula>
    </cfRule>
  </conditionalFormatting>
  <conditionalFormatting sqref="D30">
    <cfRule type="expression" dxfId="544" priority="20">
      <formula>ISNUMBER(SEARCH(TEXT(#REF!,"ddd"),#REF!))</formula>
    </cfRule>
  </conditionalFormatting>
  <conditionalFormatting sqref="A32">
    <cfRule type="expression" dxfId="543" priority="19">
      <formula>ISNUMBER(SEARCH(TEXT(#REF!,"ddd"),#REF!))</formula>
    </cfRule>
  </conditionalFormatting>
  <conditionalFormatting sqref="A34">
    <cfRule type="expression" dxfId="542" priority="18">
      <formula>ISNUMBER(SEARCH(TEXT(#REF!,"ddd"),#REF!))</formula>
    </cfRule>
  </conditionalFormatting>
  <conditionalFormatting sqref="D32">
    <cfRule type="expression" dxfId="541" priority="17">
      <formula>ISNUMBER(SEARCH(TEXT(#REF!,"ddd"),#REF!))</formula>
    </cfRule>
  </conditionalFormatting>
  <conditionalFormatting sqref="D34">
    <cfRule type="expression" dxfId="540" priority="16">
      <formula>ISNUMBER(SEARCH(TEXT(#REF!,"ddd"),#REF!))</formula>
    </cfRule>
  </conditionalFormatting>
  <conditionalFormatting sqref="D36">
    <cfRule type="expression" dxfId="539" priority="15">
      <formula>ISNUMBER(SEARCH(TEXT(#REF!,"ddd"),#REF!))</formula>
    </cfRule>
  </conditionalFormatting>
  <conditionalFormatting sqref="A36">
    <cfRule type="expression" dxfId="538" priority="14">
      <formula>ISNUMBER(SEARCH(TEXT(#REF!,"ddd"),#REF!))</formula>
    </cfRule>
  </conditionalFormatting>
  <conditionalFormatting sqref="A38">
    <cfRule type="expression" dxfId="537" priority="13">
      <formula>ISNUMBER(SEARCH(TEXT(#REF!,"ddd"),#REF!))</formula>
    </cfRule>
  </conditionalFormatting>
  <conditionalFormatting sqref="D38">
    <cfRule type="expression" dxfId="536" priority="12">
      <formula>ISNUMBER(SEARCH(TEXT(#REF!,"ddd"),#REF!))</formula>
    </cfRule>
  </conditionalFormatting>
  <conditionalFormatting sqref="A40">
    <cfRule type="expression" dxfId="535" priority="10">
      <formula>ISNUMBER(SEARCH(TEXT(#REF!,"ddd"),#REF!))</formula>
    </cfRule>
  </conditionalFormatting>
  <conditionalFormatting sqref="D40">
    <cfRule type="expression" dxfId="534" priority="9">
      <formula>ISNUMBER(SEARCH(TEXT(#REF!,"ddd"),#REF!))</formula>
    </cfRule>
  </conditionalFormatting>
  <conditionalFormatting sqref="A42">
    <cfRule type="expression" dxfId="533" priority="8">
      <formula>ISNUMBER(SEARCH(TEXT(#REF!,"ddd"),#REF!))</formula>
    </cfRule>
  </conditionalFormatting>
  <conditionalFormatting sqref="D42">
    <cfRule type="expression" dxfId="532" priority="7">
      <formula>ISNUMBER(SEARCH(TEXT(#REF!,"ddd"),#REF!))</formula>
    </cfRule>
  </conditionalFormatting>
  <conditionalFormatting sqref="A44">
    <cfRule type="expression" dxfId="531" priority="6">
      <formula>ISNUMBER(SEARCH(TEXT(#REF!,"ddd"),#REF!))</formula>
    </cfRule>
  </conditionalFormatting>
  <conditionalFormatting sqref="D44">
    <cfRule type="expression" dxfId="530" priority="5">
      <formula>ISNUMBER(SEARCH(TEXT(#REF!,"ddd"),#REF!))</formula>
    </cfRule>
  </conditionalFormatting>
  <conditionalFormatting sqref="A46">
    <cfRule type="expression" dxfId="529" priority="4">
      <formula>ISNUMBER(SEARCH(TEXT(#REF!,"ddd"),#REF!))</formula>
    </cfRule>
  </conditionalFormatting>
  <conditionalFormatting sqref="D46">
    <cfRule type="expression" dxfId="528" priority="3">
      <formula>ISNUMBER(SEARCH(TEXT(#REF!,"ddd"),#REF!))</formula>
    </cfRule>
  </conditionalFormatting>
  <conditionalFormatting sqref="A48">
    <cfRule type="expression" dxfId="527" priority="2">
      <formula>ISNUMBER(SEARCH(TEXT(#REF!,"ddd"),#REF!))</formula>
    </cfRule>
  </conditionalFormatting>
  <conditionalFormatting sqref="D48">
    <cfRule type="expression" dxfId="526" priority="1">
      <formula>ISNUMBER(SEARCH(TEXT(#REF!,"ddd"),#REF!))</formula>
    </cfRule>
  </conditionalFormatting>
  <dataValidations count="2">
    <dataValidation type="custom" allowBlank="1" showInputMessage="1" showErrorMessage="1" sqref="B10 B12:C14 B20:C20 B18 B16 B22:C22 B26" xr:uid="{5950628B-3C85-4862-A4EE-AB52EDF7404D}">
      <formula1>AND($B10&lt;=1,ISNUMBER($B10))</formula1>
    </dataValidation>
    <dataValidation type="custom" allowBlank="1" showInputMessage="1" showErrorMessage="1" sqref="C10 C16 C18" xr:uid="{296D4096-C829-49BF-8D73-47CC3AC12C60}">
      <formula1>AND($C10&lt;=1,ISNUMBER($C10),($C10&gt;=$B10))</formula1>
    </dataValidation>
  </dataValidations>
  <pageMargins left="0" right="0" top="0.11811023622047245" bottom="0" header="0" footer="0"/>
  <pageSetup paperSize="9" scale="50" fitToHeight="0" orientation="portrait" horizontalDpi="4294967293" verticalDpi="4294967293"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394A8-BB05-4613-932D-D7A132950308}">
  <sheetPr codeName="Sheet27">
    <pageSetUpPr fitToPage="1"/>
  </sheetPr>
  <dimension ref="A1:M95"/>
  <sheetViews>
    <sheetView showGridLines="0" zoomScale="85" zoomScaleNormal="85" workbookViewId="0">
      <selection activeCell="A3" sqref="A3"/>
    </sheetView>
  </sheetViews>
  <sheetFormatPr baseColWidth="10" defaultColWidth="9" defaultRowHeight="12.75" x14ac:dyDescent="0.2"/>
  <cols>
    <col min="1" max="1" width="15.5" customWidth="1"/>
    <col min="2" max="2" width="8.875" customWidth="1"/>
    <col min="3" max="3" width="11.75" customWidth="1"/>
    <col min="4" max="4" width="11.5" customWidth="1"/>
    <col min="5" max="5" width="22.125" bestFit="1" customWidth="1"/>
    <col min="6" max="7" width="18" bestFit="1" customWidth="1"/>
    <col min="8" max="8" width="8.875" customWidth="1"/>
    <col min="9" max="9" width="11.625" customWidth="1"/>
    <col min="10" max="10" width="9.5" customWidth="1"/>
    <col min="11" max="11" width="12.375" customWidth="1"/>
    <col min="12" max="12" width="17.875" bestFit="1" customWidth="1"/>
    <col min="13" max="13" width="19.25" bestFit="1" customWidth="1"/>
  </cols>
  <sheetData>
    <row r="1" spans="1:13" ht="27" thickTop="1" x14ac:dyDescent="0.4">
      <c r="A1" s="301" t="s">
        <v>20</v>
      </c>
      <c r="B1" s="301"/>
      <c r="C1" s="301"/>
      <c r="D1" s="301"/>
      <c r="E1" s="55">
        <f>WEEKNUM(A10)</f>
        <v>19</v>
      </c>
      <c r="F1" s="83"/>
      <c r="G1" s="57"/>
      <c r="H1" s="84"/>
      <c r="J1" s="1"/>
    </row>
    <row r="2" spans="1:13" s="1" customFormat="1" ht="14.25" customHeight="1" x14ac:dyDescent="0.25">
      <c r="A2" s="49" t="s">
        <v>1</v>
      </c>
      <c r="B2" s="49"/>
      <c r="C2" s="49" t="s">
        <v>2</v>
      </c>
      <c r="D2" s="49"/>
      <c r="E2" s="85" t="s">
        <v>3</v>
      </c>
      <c r="F2" s="54" t="s">
        <v>4</v>
      </c>
      <c r="G2" s="54" t="s">
        <v>5</v>
      </c>
      <c r="H2" s="20"/>
      <c r="I2" s="86"/>
      <c r="J2" s="87"/>
      <c r="M2" s="1" t="s">
        <v>21</v>
      </c>
    </row>
    <row r="3" spans="1:13" ht="16.5" thickBot="1" x14ac:dyDescent="0.25">
      <c r="A3" s="136">
        <f>MIN(A10:A128)</f>
        <v>43955</v>
      </c>
      <c r="B3" s="202"/>
      <c r="C3" s="136">
        <f>MAXA(A10:A128)</f>
        <v>43961</v>
      </c>
      <c r="D3" s="188"/>
      <c r="E3" s="88" t="s">
        <v>6</v>
      </c>
      <c r="F3" s="177">
        <f>Sumcolor(E3,D10:D110)</f>
        <v>0</v>
      </c>
      <c r="G3" s="177">
        <f>SUM(Først:Sist!F3)</f>
        <v>1.0381944444444446</v>
      </c>
      <c r="H3" s="89"/>
      <c r="I3" s="90"/>
      <c r="J3" s="90"/>
      <c r="M3" t="s">
        <v>22</v>
      </c>
    </row>
    <row r="4" spans="1:13" ht="15" customHeight="1" x14ac:dyDescent="0.2">
      <c r="A4" s="391" t="s">
        <v>23</v>
      </c>
      <c r="B4" s="194"/>
      <c r="C4" s="293" t="s">
        <v>24</v>
      </c>
      <c r="D4" s="203"/>
      <c r="E4" s="91" t="s">
        <v>9</v>
      </c>
      <c r="F4" s="177">
        <f>Sumcolor(E4,D10:D110)</f>
        <v>1.3368055555555554</v>
      </c>
      <c r="G4" s="177">
        <f>SUM(Først:Sist!F4)</f>
        <v>8.03125</v>
      </c>
      <c r="H4" s="89"/>
      <c r="I4" s="90"/>
      <c r="J4" s="309"/>
    </row>
    <row r="5" spans="1:13" ht="15.75" x14ac:dyDescent="0.2">
      <c r="A5" s="302"/>
      <c r="B5" s="203"/>
      <c r="C5" s="302"/>
      <c r="D5" s="203"/>
      <c r="E5" s="159" t="s">
        <v>10</v>
      </c>
      <c r="F5" s="177">
        <f>Sumcolor(E5,D10:D110)</f>
        <v>5.5555555555555358E-2</v>
      </c>
      <c r="G5" s="177">
        <f>SUM(Først:Sist!F5)</f>
        <v>1.8090277777777768</v>
      </c>
      <c r="H5" s="89"/>
      <c r="I5" s="90"/>
      <c r="J5" s="309"/>
      <c r="M5" t="s">
        <v>25</v>
      </c>
    </row>
    <row r="6" spans="1:13" ht="18.75" customHeight="1" thickBot="1" x14ac:dyDescent="0.25">
      <c r="A6" s="182">
        <f>SUM(D10:D128)</f>
        <v>1.5763888888888886</v>
      </c>
      <c r="B6" s="51"/>
      <c r="C6" s="82">
        <f>SUM(Først:Sist!A6)</f>
        <v>12.965277777777779</v>
      </c>
      <c r="D6" s="52"/>
      <c r="E6" s="92" t="s">
        <v>11</v>
      </c>
      <c r="F6" s="178">
        <f>Sumcolor(E6,D10:D110)</f>
        <v>0.18402777777777779</v>
      </c>
      <c r="G6" s="178">
        <f>SUM(Først:Sist!F6)</f>
        <v>1.9895833333333335</v>
      </c>
      <c r="H6" s="89"/>
      <c r="I6" s="90"/>
      <c r="J6" s="90"/>
      <c r="M6" t="s">
        <v>26</v>
      </c>
    </row>
    <row r="7" spans="1:13" ht="12.75" customHeight="1" x14ac:dyDescent="0.2">
      <c r="A7" s="19"/>
      <c r="B7" s="23"/>
      <c r="C7" s="24"/>
      <c r="D7" s="93"/>
      <c r="E7" s="23"/>
      <c r="F7" s="271">
        <f>SUM(F3:F6)</f>
        <v>1.5763888888888884</v>
      </c>
      <c r="G7" s="25"/>
      <c r="H7" s="25"/>
    </row>
    <row r="8" spans="1:13" x14ac:dyDescent="0.2">
      <c r="A8" s="23"/>
      <c r="B8" s="25"/>
      <c r="C8" s="93"/>
      <c r="D8" s="25"/>
      <c r="E8" s="23"/>
      <c r="F8" s="23"/>
      <c r="G8" s="25"/>
      <c r="H8" s="25"/>
      <c r="M8" t="s">
        <v>27</v>
      </c>
    </row>
    <row r="9" spans="1:13" ht="16.5" thickBot="1" x14ac:dyDescent="0.3">
      <c r="A9" s="49" t="s">
        <v>12</v>
      </c>
      <c r="B9" s="49" t="s">
        <v>13</v>
      </c>
      <c r="C9" s="49" t="s">
        <v>14</v>
      </c>
      <c r="D9" s="49" t="s">
        <v>15</v>
      </c>
      <c r="E9" s="107" t="s">
        <v>16</v>
      </c>
      <c r="F9" s="102"/>
      <c r="G9" s="166" t="s">
        <v>17</v>
      </c>
      <c r="H9" s="25"/>
      <c r="M9" t="s">
        <v>28</v>
      </c>
    </row>
    <row r="10" spans="1:13" ht="15.75" customHeight="1" x14ac:dyDescent="0.2">
      <c r="A10" s="125">
        <f>DATE(2020,5,4)</f>
        <v>43955</v>
      </c>
      <c r="B10" s="160">
        <v>0.58333333333333337</v>
      </c>
      <c r="C10" s="160">
        <v>0.59722222222222221</v>
      </c>
      <c r="D10" s="160">
        <f>(C10-B10)</f>
        <v>1.388888888888884E-2</v>
      </c>
      <c r="E10" s="319" t="s">
        <v>78</v>
      </c>
      <c r="F10" s="320"/>
      <c r="G10" s="183"/>
      <c r="H10" s="173"/>
    </row>
    <row r="11" spans="1:13" ht="15.75" thickBot="1" x14ac:dyDescent="0.3">
      <c r="A11" s="126"/>
      <c r="B11" s="161"/>
      <c r="C11" s="161"/>
      <c r="D11" s="161"/>
      <c r="E11" s="321"/>
      <c r="F11" s="322"/>
      <c r="G11" s="184"/>
      <c r="H11" s="25"/>
      <c r="K11" s="257"/>
      <c r="M11" t="s">
        <v>30</v>
      </c>
    </row>
    <row r="12" spans="1:13" ht="15.75" x14ac:dyDescent="0.25">
      <c r="A12" s="134">
        <f>DATE(2020,5,4)</f>
        <v>43955</v>
      </c>
      <c r="B12" s="170">
        <v>0.59722222222222221</v>
      </c>
      <c r="C12" s="170">
        <v>0.61805555555555558</v>
      </c>
      <c r="D12" s="123">
        <f>(C12-B12)</f>
        <v>2.083333333333337E-2</v>
      </c>
      <c r="E12" s="392" t="s">
        <v>239</v>
      </c>
      <c r="F12" s="393"/>
      <c r="G12" s="185" t="s">
        <v>230</v>
      </c>
      <c r="M12" t="s">
        <v>32</v>
      </c>
    </row>
    <row r="13" spans="1:13" ht="31.5" customHeight="1" thickBot="1" x14ac:dyDescent="0.3">
      <c r="A13" s="214"/>
      <c r="B13" s="215"/>
      <c r="C13" s="215"/>
      <c r="D13" s="216"/>
      <c r="E13" s="394"/>
      <c r="F13" s="395"/>
      <c r="G13" s="217"/>
    </row>
    <row r="14" spans="1:13" ht="15.75" customHeight="1" x14ac:dyDescent="0.25">
      <c r="A14" s="134">
        <f>DATE(2020,5,4)</f>
        <v>43955</v>
      </c>
      <c r="B14" s="170">
        <v>0.61805555555555558</v>
      </c>
      <c r="C14" s="211">
        <v>0.63888888888888895</v>
      </c>
      <c r="D14" s="123">
        <f>(C14-B14)</f>
        <v>2.083333333333337E-2</v>
      </c>
      <c r="E14" s="392" t="s">
        <v>240</v>
      </c>
      <c r="F14" s="393"/>
      <c r="G14" s="184" t="s">
        <v>254</v>
      </c>
    </row>
    <row r="15" spans="1:13" ht="34.5" customHeight="1" thickBot="1" x14ac:dyDescent="0.3">
      <c r="A15" s="213"/>
      <c r="B15" s="138"/>
      <c r="C15" s="138"/>
      <c r="D15" s="138"/>
      <c r="E15" s="394"/>
      <c r="F15" s="395"/>
      <c r="G15" s="186"/>
      <c r="H15" s="5"/>
    </row>
    <row r="16" spans="1:13" ht="15.75" x14ac:dyDescent="0.25">
      <c r="A16" s="134">
        <f>DATE(2020,5,4)</f>
        <v>43955</v>
      </c>
      <c r="B16" s="211">
        <v>0.63888888888888895</v>
      </c>
      <c r="C16" s="123">
        <v>0.64930555555555558</v>
      </c>
      <c r="D16" s="123">
        <f>(C16-B16)</f>
        <v>1.041666666666663E-2</v>
      </c>
      <c r="E16" s="392" t="s">
        <v>239</v>
      </c>
      <c r="F16" s="393"/>
      <c r="G16" s="187" t="s">
        <v>230</v>
      </c>
      <c r="H16" s="81"/>
      <c r="I16" s="5"/>
    </row>
    <row r="17" spans="1:12" ht="33" customHeight="1" thickBot="1" x14ac:dyDescent="0.25">
      <c r="A17" s="139"/>
      <c r="B17" s="140"/>
      <c r="C17" s="140"/>
      <c r="D17" s="140"/>
      <c r="E17" s="394"/>
      <c r="F17" s="395"/>
      <c r="G17" s="184"/>
      <c r="I17" s="5"/>
    </row>
    <row r="18" spans="1:12" ht="15.75" x14ac:dyDescent="0.2">
      <c r="A18" s="134">
        <f>DATE(2020,5,4)</f>
        <v>43955</v>
      </c>
      <c r="B18" s="123">
        <v>0.65625</v>
      </c>
      <c r="C18" s="123">
        <v>0.6875</v>
      </c>
      <c r="D18" s="123">
        <f>(C18-B18)</f>
        <v>3.125E-2</v>
      </c>
      <c r="E18" s="392" t="s">
        <v>239</v>
      </c>
      <c r="F18" s="393"/>
      <c r="G18" s="185" t="s">
        <v>230</v>
      </c>
      <c r="I18" s="5"/>
    </row>
    <row r="19" spans="1:12" ht="15.75" customHeight="1" thickBot="1" x14ac:dyDescent="0.3">
      <c r="A19" s="137"/>
      <c r="B19" s="138"/>
      <c r="C19" s="138"/>
      <c r="D19" s="138"/>
      <c r="E19" s="394"/>
      <c r="F19" s="395"/>
      <c r="G19" s="184"/>
      <c r="I19" s="5"/>
    </row>
    <row r="20" spans="1:12" ht="15.75" x14ac:dyDescent="0.2">
      <c r="A20" s="134">
        <f>DATE(2020,5,4)</f>
        <v>43955</v>
      </c>
      <c r="B20" s="123">
        <v>0.77083333333333337</v>
      </c>
      <c r="C20" s="123">
        <v>0.79166666666666663</v>
      </c>
      <c r="D20" s="123">
        <f>(C20-B20)</f>
        <v>2.0833333333333259E-2</v>
      </c>
      <c r="E20" s="392" t="s">
        <v>241</v>
      </c>
      <c r="F20" s="393"/>
      <c r="G20" s="185"/>
    </row>
    <row r="21" spans="1:12" ht="36.75" customHeight="1" thickBot="1" x14ac:dyDescent="0.3">
      <c r="A21" s="137"/>
      <c r="B21" s="138"/>
      <c r="C21" s="138"/>
      <c r="D21" s="138"/>
      <c r="E21" s="394"/>
      <c r="F21" s="395"/>
      <c r="G21" s="186"/>
      <c r="I21" s="268"/>
      <c r="J21" s="257"/>
      <c r="K21" s="268"/>
      <c r="L21" s="257"/>
    </row>
    <row r="22" spans="1:12" ht="15.75" customHeight="1" x14ac:dyDescent="0.2">
      <c r="A22" s="134">
        <f>DATE(2020,5,4)</f>
        <v>43955</v>
      </c>
      <c r="B22" s="123">
        <v>0.80208333333333337</v>
      </c>
      <c r="C22" s="123">
        <v>0.84375</v>
      </c>
      <c r="D22" s="123">
        <f>(C22-B22)</f>
        <v>4.166666666666663E-2</v>
      </c>
      <c r="E22" s="392" t="s">
        <v>242</v>
      </c>
      <c r="F22" s="393"/>
      <c r="G22" s="184" t="s">
        <v>255</v>
      </c>
      <c r="I22" s="404"/>
      <c r="J22" s="405"/>
      <c r="K22" s="406"/>
      <c r="L22" s="269"/>
    </row>
    <row r="23" spans="1:12" ht="24.75" customHeight="1" thickBot="1" x14ac:dyDescent="0.3">
      <c r="A23" s="137"/>
      <c r="B23" s="138"/>
      <c r="C23" s="138"/>
      <c r="D23" s="138"/>
      <c r="E23" s="394"/>
      <c r="F23" s="395"/>
      <c r="G23" s="186"/>
      <c r="I23" s="405"/>
      <c r="J23" s="405"/>
      <c r="K23" s="406"/>
      <c r="L23" s="269"/>
    </row>
    <row r="24" spans="1:12" ht="15.75" x14ac:dyDescent="0.2">
      <c r="A24" s="134">
        <f>DATE(2020,5,5)</f>
        <v>43956</v>
      </c>
      <c r="B24" s="122">
        <v>0.54166666666666663</v>
      </c>
      <c r="C24" s="122">
        <v>0.625</v>
      </c>
      <c r="D24" s="123">
        <f>(C24-B24)</f>
        <v>8.333333333333337E-2</v>
      </c>
      <c r="E24" s="392" t="s">
        <v>267</v>
      </c>
      <c r="F24" s="393"/>
      <c r="G24" s="184" t="s">
        <v>255</v>
      </c>
      <c r="H24" s="218"/>
      <c r="I24" s="405"/>
      <c r="J24" s="405"/>
      <c r="K24" s="406"/>
      <c r="L24" s="269"/>
    </row>
    <row r="25" spans="1:12" ht="66" customHeight="1" thickBot="1" x14ac:dyDescent="0.3">
      <c r="A25" s="135"/>
      <c r="B25" s="124"/>
      <c r="C25" s="124"/>
      <c r="D25" s="124"/>
      <c r="E25" s="394"/>
      <c r="F25" s="395"/>
      <c r="G25" s="186"/>
      <c r="H25" s="219"/>
      <c r="I25" s="405"/>
      <c r="J25" s="405"/>
      <c r="K25" s="406"/>
      <c r="L25" s="269"/>
    </row>
    <row r="26" spans="1:12" ht="15.75" x14ac:dyDescent="0.2">
      <c r="A26" s="134">
        <f>DATE(2020,5,5)</f>
        <v>43956</v>
      </c>
      <c r="B26" s="122">
        <v>0.625</v>
      </c>
      <c r="C26" s="122">
        <v>0.72916666666666663</v>
      </c>
      <c r="D26" s="123">
        <f>(C26-B26)</f>
        <v>0.10416666666666663</v>
      </c>
      <c r="E26" s="392" t="s">
        <v>259</v>
      </c>
      <c r="F26" s="393"/>
      <c r="G26" s="185" t="s">
        <v>261</v>
      </c>
      <c r="H26" s="218"/>
      <c r="I26" s="278"/>
      <c r="J26" s="269"/>
      <c r="K26" s="270"/>
      <c r="L26" s="257"/>
    </row>
    <row r="27" spans="1:12" ht="52.5" customHeight="1" thickBot="1" x14ac:dyDescent="0.25">
      <c r="A27" s="266"/>
      <c r="B27" s="266"/>
      <c r="C27" s="266"/>
      <c r="D27" s="266"/>
      <c r="E27" s="394"/>
      <c r="F27" s="395"/>
      <c r="G27" s="186"/>
      <c r="H27" s="220"/>
      <c r="I27" s="257"/>
      <c r="J27" s="257"/>
      <c r="K27" s="269"/>
      <c r="L27" s="257"/>
    </row>
    <row r="28" spans="1:12" ht="15.75" x14ac:dyDescent="0.2">
      <c r="A28" s="134">
        <f>DATE(2020,5,5)</f>
        <v>43956</v>
      </c>
      <c r="B28" s="122">
        <v>0.72916666666666663</v>
      </c>
      <c r="C28" s="122">
        <v>0.75</v>
      </c>
      <c r="D28" s="123">
        <f>(C28-B28)</f>
        <v>2.083333333333337E-2</v>
      </c>
      <c r="E28" s="392" t="s">
        <v>260</v>
      </c>
      <c r="F28" s="393"/>
      <c r="G28" s="185" t="s">
        <v>261</v>
      </c>
      <c r="H28" s="29"/>
      <c r="I28" s="278"/>
      <c r="K28" s="5"/>
    </row>
    <row r="29" spans="1:12" ht="28.5" customHeight="1" thickBot="1" x14ac:dyDescent="0.3">
      <c r="A29" s="135"/>
      <c r="B29" s="124"/>
      <c r="C29" s="124"/>
      <c r="D29" s="124"/>
      <c r="E29" s="394"/>
      <c r="F29" s="395"/>
      <c r="G29" s="186"/>
    </row>
    <row r="30" spans="1:12" ht="15.75" x14ac:dyDescent="0.2">
      <c r="A30" s="134">
        <f>DATE(2020,5,5)</f>
        <v>43956</v>
      </c>
      <c r="B30" s="123">
        <v>0.75</v>
      </c>
      <c r="C30" s="122">
        <v>0.85416666666666663</v>
      </c>
      <c r="D30" s="123">
        <f>(C30-B30)</f>
        <v>0.10416666666666663</v>
      </c>
      <c r="E30" s="392" t="s">
        <v>243</v>
      </c>
      <c r="F30" s="393"/>
      <c r="G30" s="185" t="s">
        <v>256</v>
      </c>
      <c r="I30" s="21"/>
    </row>
    <row r="31" spans="1:12" ht="53.25" customHeight="1" thickBot="1" x14ac:dyDescent="0.25">
      <c r="A31" s="266"/>
      <c r="B31" s="266"/>
      <c r="C31" s="266"/>
      <c r="D31" s="266"/>
      <c r="E31" s="394"/>
      <c r="F31" s="395"/>
      <c r="G31" s="186"/>
    </row>
    <row r="32" spans="1:12" ht="15.75" customHeight="1" x14ac:dyDescent="0.2">
      <c r="A32" s="134">
        <f>DATE(2020,5,5)</f>
        <v>43956</v>
      </c>
      <c r="B32" s="122">
        <v>0.85416666666666663</v>
      </c>
      <c r="C32" s="122">
        <v>0.91666666666666663</v>
      </c>
      <c r="D32" s="123">
        <f>(C32-B32)</f>
        <v>6.25E-2</v>
      </c>
      <c r="E32" s="392" t="s">
        <v>263</v>
      </c>
      <c r="F32" s="393"/>
      <c r="G32" s="185" t="s">
        <v>261</v>
      </c>
      <c r="I32" s="278"/>
    </row>
    <row r="33" spans="1:11" ht="69.75" customHeight="1" thickBot="1" x14ac:dyDescent="0.3">
      <c r="A33" s="135"/>
      <c r="B33" s="124"/>
      <c r="C33" s="124"/>
      <c r="D33" s="124"/>
      <c r="E33" s="394"/>
      <c r="F33" s="395"/>
      <c r="G33" s="186"/>
    </row>
    <row r="34" spans="1:11" ht="15.75" customHeight="1" x14ac:dyDescent="0.2">
      <c r="A34" s="134">
        <f>DATE(2020,5,5)</f>
        <v>43956</v>
      </c>
      <c r="B34" s="123">
        <v>0.91666666666666663</v>
      </c>
      <c r="C34" s="123">
        <v>0.94791666666666663</v>
      </c>
      <c r="D34" s="123">
        <f>(C34-B34)</f>
        <v>3.125E-2</v>
      </c>
      <c r="E34" s="392" t="s">
        <v>264</v>
      </c>
      <c r="F34" s="393"/>
      <c r="G34" s="185" t="s">
        <v>256</v>
      </c>
      <c r="I34" s="21"/>
    </row>
    <row r="35" spans="1:11" ht="16.5" thickBot="1" x14ac:dyDescent="0.3">
      <c r="A35" s="135"/>
      <c r="B35" s="124"/>
      <c r="C35" s="124"/>
      <c r="D35" s="124"/>
      <c r="E35" s="394"/>
      <c r="F35" s="395"/>
      <c r="G35" s="186"/>
      <c r="K35" s="90"/>
    </row>
    <row r="36" spans="1:11" ht="15.75" customHeight="1" x14ac:dyDescent="0.2">
      <c r="A36" s="134">
        <f>DATE(2020,5,6)</f>
        <v>43957</v>
      </c>
      <c r="B36" s="122">
        <v>0.54166666666666663</v>
      </c>
      <c r="C36" s="122">
        <v>0.58333333333333337</v>
      </c>
      <c r="D36" s="123">
        <f>(C36-B36)</f>
        <v>4.1666666666666741E-2</v>
      </c>
      <c r="E36" s="392" t="s">
        <v>257</v>
      </c>
      <c r="F36" s="393"/>
      <c r="G36" s="185" t="s">
        <v>258</v>
      </c>
      <c r="H36" s="21"/>
      <c r="I36" s="21"/>
    </row>
    <row r="37" spans="1:11" ht="67.5" customHeight="1" thickBot="1" x14ac:dyDescent="0.3">
      <c r="A37" s="135"/>
      <c r="B37" s="124"/>
      <c r="C37" s="124"/>
      <c r="D37" s="124"/>
      <c r="E37" s="394"/>
      <c r="F37" s="395"/>
      <c r="G37" s="186"/>
    </row>
    <row r="38" spans="1:11" ht="15.75" customHeight="1" x14ac:dyDescent="0.2">
      <c r="A38" s="125">
        <f>DATE(2020,5,6)</f>
        <v>43957</v>
      </c>
      <c r="B38" s="160">
        <v>0.58333333333333337</v>
      </c>
      <c r="C38" s="160">
        <v>0.60416666666666663</v>
      </c>
      <c r="D38" s="160">
        <f>(C38-B38)</f>
        <v>2.0833333333333259E-2</v>
      </c>
      <c r="E38" s="319" t="s">
        <v>78</v>
      </c>
      <c r="F38" s="320"/>
      <c r="G38" s="185"/>
    </row>
    <row r="39" spans="1:11" ht="18" customHeight="1" thickBot="1" x14ac:dyDescent="0.3">
      <c r="A39" s="131"/>
      <c r="B39" s="165"/>
      <c r="C39" s="165"/>
      <c r="D39" s="165"/>
      <c r="E39" s="321"/>
      <c r="F39" s="322"/>
      <c r="G39" s="186"/>
    </row>
    <row r="40" spans="1:11" ht="15.75" customHeight="1" x14ac:dyDescent="0.2">
      <c r="A40" s="134">
        <f>DATE(2020,5,6)</f>
        <v>43957</v>
      </c>
      <c r="B40" s="122">
        <v>0.60416666666666663</v>
      </c>
      <c r="C40" s="122">
        <v>0.67361111111111116</v>
      </c>
      <c r="D40" s="123">
        <f>(C40-B40)</f>
        <v>6.9444444444444531E-2</v>
      </c>
      <c r="E40" s="392" t="s">
        <v>246</v>
      </c>
      <c r="F40" s="393"/>
      <c r="G40" s="184" t="s">
        <v>191</v>
      </c>
    </row>
    <row r="41" spans="1:11" ht="40.5" customHeight="1" thickBot="1" x14ac:dyDescent="0.3">
      <c r="A41" s="135"/>
      <c r="B41" s="124"/>
      <c r="C41" s="124"/>
      <c r="D41" s="124"/>
      <c r="E41" s="394"/>
      <c r="F41" s="395"/>
      <c r="G41" s="186"/>
    </row>
    <row r="42" spans="1:11" ht="15.75" customHeight="1" x14ac:dyDescent="0.2">
      <c r="A42" s="134">
        <f>DATE(2020,5,6)</f>
        <v>43957</v>
      </c>
      <c r="B42" s="122">
        <v>0.67361111111111116</v>
      </c>
      <c r="C42" s="122">
        <v>0.6875</v>
      </c>
      <c r="D42" s="123">
        <f>(C42-B42)</f>
        <v>1.388888888888884E-2</v>
      </c>
      <c r="E42" s="392" t="s">
        <v>244</v>
      </c>
      <c r="F42" s="393"/>
      <c r="G42" s="185"/>
    </row>
    <row r="43" spans="1:11" ht="40.5" customHeight="1" thickBot="1" x14ac:dyDescent="0.3">
      <c r="A43" s="135"/>
      <c r="B43" s="124"/>
      <c r="C43" s="124"/>
      <c r="D43" s="124"/>
      <c r="E43" s="394"/>
      <c r="F43" s="395"/>
      <c r="G43" s="186"/>
    </row>
    <row r="44" spans="1:11" ht="15.75" customHeight="1" x14ac:dyDescent="0.2">
      <c r="A44" s="134">
        <f>DATE(2020,5,6)</f>
        <v>43957</v>
      </c>
      <c r="B44" s="122">
        <v>0.75</v>
      </c>
      <c r="C44" s="122">
        <v>0.82638888888888884</v>
      </c>
      <c r="D44" s="123">
        <f>(C44-B44)</f>
        <v>7.638888888888884E-2</v>
      </c>
      <c r="E44" s="392" t="s">
        <v>245</v>
      </c>
      <c r="F44" s="393"/>
      <c r="G44" s="185"/>
    </row>
    <row r="45" spans="1:11" ht="53.25" customHeight="1" thickBot="1" x14ac:dyDescent="0.3">
      <c r="A45" s="135"/>
      <c r="B45" s="124"/>
      <c r="C45" s="124"/>
      <c r="D45" s="124"/>
      <c r="E45" s="394"/>
      <c r="F45" s="395"/>
      <c r="G45" s="186"/>
      <c r="H45" s="279"/>
    </row>
    <row r="46" spans="1:11" ht="15.75" customHeight="1" x14ac:dyDescent="0.2">
      <c r="A46" s="132">
        <f>DATE(2020,5,6)</f>
        <v>43957</v>
      </c>
      <c r="B46" s="119">
        <v>0.82638888888888884</v>
      </c>
      <c r="C46" s="119">
        <v>0.83333333333333337</v>
      </c>
      <c r="D46" s="120">
        <f>(C46-B46)</f>
        <v>6.9444444444445308E-3</v>
      </c>
      <c r="E46" s="333" t="s">
        <v>247</v>
      </c>
      <c r="F46" s="334"/>
      <c r="G46" s="184"/>
    </row>
    <row r="47" spans="1:11" ht="25.5" customHeight="1" thickBot="1" x14ac:dyDescent="0.3">
      <c r="A47" s="133"/>
      <c r="B47" s="121"/>
      <c r="C47" s="121"/>
      <c r="D47" s="121"/>
      <c r="E47" s="335"/>
      <c r="F47" s="336"/>
      <c r="G47" s="186"/>
    </row>
    <row r="48" spans="1:11" ht="15.75" customHeight="1" x14ac:dyDescent="0.2">
      <c r="A48" s="134">
        <f>DATE(2020,5,6)</f>
        <v>43957</v>
      </c>
      <c r="B48" s="122">
        <v>0.9375</v>
      </c>
      <c r="C48" s="122">
        <v>0.95833333333333337</v>
      </c>
      <c r="D48" s="123">
        <f>(C48-B48)</f>
        <v>2.083333333333337E-2</v>
      </c>
      <c r="E48" s="392" t="s">
        <v>248</v>
      </c>
      <c r="F48" s="393"/>
      <c r="G48" s="184"/>
    </row>
    <row r="49" spans="1:8" ht="44.25" customHeight="1" thickBot="1" x14ac:dyDescent="0.3">
      <c r="A49" s="135"/>
      <c r="B49" s="124"/>
      <c r="C49" s="124"/>
      <c r="D49" s="124"/>
      <c r="E49" s="394"/>
      <c r="F49" s="395"/>
      <c r="G49" s="186"/>
    </row>
    <row r="50" spans="1:8" ht="15.75" x14ac:dyDescent="0.2">
      <c r="A50" s="134">
        <f>DATE(2020,5,7)</f>
        <v>43958</v>
      </c>
      <c r="B50" s="122">
        <v>0.52083333333333337</v>
      </c>
      <c r="C50" s="122">
        <v>0.63888888888888895</v>
      </c>
      <c r="D50" s="123">
        <f>(C50-B50)</f>
        <v>0.11805555555555558</v>
      </c>
      <c r="E50" s="392" t="s">
        <v>266</v>
      </c>
      <c r="F50" s="393"/>
      <c r="G50" s="184" t="s">
        <v>258</v>
      </c>
      <c r="H50" s="21"/>
    </row>
    <row r="51" spans="1:8" ht="28.5" customHeight="1" thickBot="1" x14ac:dyDescent="0.3">
      <c r="A51" s="135"/>
      <c r="B51" s="124"/>
      <c r="C51" s="124"/>
      <c r="D51" s="124"/>
      <c r="E51" s="394"/>
      <c r="F51" s="395"/>
      <c r="G51" s="186"/>
    </row>
    <row r="52" spans="1:8" ht="15.75" customHeight="1" x14ac:dyDescent="0.2">
      <c r="A52" s="134">
        <f>DATE(2020,5,7)</f>
        <v>43958</v>
      </c>
      <c r="B52" s="122">
        <v>0.75</v>
      </c>
      <c r="C52" s="122">
        <v>0.79166666666666663</v>
      </c>
      <c r="D52" s="123">
        <f>(C52-B52)</f>
        <v>4.166666666666663E-2</v>
      </c>
      <c r="E52" s="392" t="s">
        <v>249</v>
      </c>
      <c r="F52" s="393"/>
      <c r="G52" s="184"/>
    </row>
    <row r="53" spans="1:8" ht="54.75" customHeight="1" thickBot="1" x14ac:dyDescent="0.3">
      <c r="A53" s="135"/>
      <c r="B53" s="124"/>
      <c r="C53" s="124"/>
      <c r="D53" s="124"/>
      <c r="E53" s="394"/>
      <c r="F53" s="395"/>
      <c r="G53" s="186"/>
    </row>
    <row r="54" spans="1:8" ht="15.75" customHeight="1" x14ac:dyDescent="0.2">
      <c r="A54" s="134">
        <f>DATE(2020,5,7)</f>
        <v>43958</v>
      </c>
      <c r="B54" s="122">
        <v>0.83333333333333337</v>
      </c>
      <c r="C54" s="122">
        <v>0.875</v>
      </c>
      <c r="D54" s="123">
        <f>(C54-B54)</f>
        <v>4.166666666666663E-2</v>
      </c>
      <c r="E54" s="392" t="s">
        <v>250</v>
      </c>
      <c r="F54" s="393"/>
      <c r="G54" s="184"/>
    </row>
    <row r="55" spans="1:8" ht="66.75" customHeight="1" thickBot="1" x14ac:dyDescent="0.3">
      <c r="A55" s="135"/>
      <c r="B55" s="124"/>
      <c r="C55" s="124"/>
      <c r="D55" s="124"/>
      <c r="E55" s="394"/>
      <c r="F55" s="395"/>
      <c r="G55" s="186"/>
    </row>
    <row r="56" spans="1:8" ht="15.75" customHeight="1" x14ac:dyDescent="0.2">
      <c r="A56" s="125">
        <f>DATE(2020,5,8)</f>
        <v>43959</v>
      </c>
      <c r="B56" s="164">
        <v>0.58333333333333337</v>
      </c>
      <c r="C56" s="164">
        <v>0.60416666666666663</v>
      </c>
      <c r="D56" s="160">
        <f>(C56-B56)</f>
        <v>2.0833333333333259E-2</v>
      </c>
      <c r="E56" s="319" t="s">
        <v>78</v>
      </c>
      <c r="F56" s="320"/>
      <c r="G56" s="184"/>
    </row>
    <row r="57" spans="1:8" ht="16.5" thickBot="1" x14ac:dyDescent="0.3">
      <c r="A57" s="131"/>
      <c r="B57" s="165"/>
      <c r="C57" s="165"/>
      <c r="D57" s="165"/>
      <c r="E57" s="321"/>
      <c r="F57" s="322"/>
      <c r="G57" s="186"/>
    </row>
    <row r="58" spans="1:8" ht="15.75" x14ac:dyDescent="0.2">
      <c r="A58" s="134">
        <f>DATE(2020,5,8)</f>
        <v>43959</v>
      </c>
      <c r="B58" s="122">
        <v>0.60416666666666663</v>
      </c>
      <c r="C58" s="122">
        <v>0.70833333333333337</v>
      </c>
      <c r="D58" s="123">
        <f>(C58-B58)</f>
        <v>0.10416666666666674</v>
      </c>
      <c r="E58" s="392" t="s">
        <v>252</v>
      </c>
      <c r="F58" s="393"/>
      <c r="G58" s="184"/>
    </row>
    <row r="59" spans="1:8" ht="20.25" customHeight="1" thickBot="1" x14ac:dyDescent="0.3">
      <c r="A59" s="135"/>
      <c r="B59" s="124"/>
      <c r="C59" s="124"/>
      <c r="D59" s="124"/>
      <c r="E59" s="394"/>
      <c r="F59" s="395"/>
      <c r="G59" s="186"/>
    </row>
    <row r="60" spans="1:8" ht="15.75" customHeight="1" x14ac:dyDescent="0.2">
      <c r="A60" s="134">
        <f>DATE(2020,5,9)</f>
        <v>43960</v>
      </c>
      <c r="B60" s="122">
        <v>0.58333333333333337</v>
      </c>
      <c r="C60" s="122">
        <v>0.66666666666666663</v>
      </c>
      <c r="D60" s="123">
        <f>(C60-B60)</f>
        <v>8.3333333333333259E-2</v>
      </c>
      <c r="E60" s="392" t="s">
        <v>251</v>
      </c>
      <c r="F60" s="393"/>
      <c r="G60" s="184"/>
    </row>
    <row r="61" spans="1:8" ht="20.25" customHeight="1" thickBot="1" x14ac:dyDescent="0.3">
      <c r="A61" s="135"/>
      <c r="B61" s="124"/>
      <c r="C61" s="124"/>
      <c r="D61" s="124"/>
      <c r="E61" s="394"/>
      <c r="F61" s="395"/>
      <c r="G61" s="186"/>
    </row>
    <row r="62" spans="1:8" ht="15.75" x14ac:dyDescent="0.2">
      <c r="A62" s="134">
        <f>DATE(2020,5,9)</f>
        <v>43960</v>
      </c>
      <c r="B62" s="122">
        <v>0.75</v>
      </c>
      <c r="C62" s="122">
        <v>0.82638888888888884</v>
      </c>
      <c r="D62" s="123">
        <f>(C62-B62)</f>
        <v>7.638888888888884E-2</v>
      </c>
      <c r="E62" s="392" t="s">
        <v>253</v>
      </c>
      <c r="F62" s="393"/>
      <c r="G62" s="184"/>
    </row>
    <row r="63" spans="1:8" ht="24.75" customHeight="1" thickBot="1" x14ac:dyDescent="0.3">
      <c r="A63" s="135"/>
      <c r="B63" s="124"/>
      <c r="C63" s="124"/>
      <c r="D63" s="124"/>
      <c r="E63" s="394"/>
      <c r="F63" s="395"/>
      <c r="G63" s="186"/>
    </row>
    <row r="64" spans="1:8" ht="15.75" x14ac:dyDescent="0.2">
      <c r="A64" s="134">
        <f>DATE(2020,5,9)</f>
        <v>43960</v>
      </c>
      <c r="B64" s="122">
        <v>0.82638888888888884</v>
      </c>
      <c r="C64" s="122">
        <v>0.875</v>
      </c>
      <c r="D64" s="123">
        <f>(C64-B64)</f>
        <v>4.861111111111116E-2</v>
      </c>
      <c r="E64" s="392" t="s">
        <v>262</v>
      </c>
      <c r="F64" s="393"/>
      <c r="G64" s="184"/>
    </row>
    <row r="65" spans="1:11" ht="38.25" customHeight="1" thickBot="1" x14ac:dyDescent="0.3">
      <c r="A65" s="135"/>
      <c r="B65" s="124"/>
      <c r="C65" s="124"/>
      <c r="D65" s="124"/>
      <c r="E65" s="394"/>
      <c r="F65" s="395"/>
      <c r="G65" s="186"/>
    </row>
    <row r="66" spans="1:11" ht="15.75" x14ac:dyDescent="0.2">
      <c r="A66" s="134">
        <f>DATE(2020,5,10)</f>
        <v>43961</v>
      </c>
      <c r="B66" s="122">
        <v>0.65277777777777779</v>
      </c>
      <c r="C66" s="122">
        <v>0.68055555555555547</v>
      </c>
      <c r="D66" s="123">
        <f>(C66-B66)</f>
        <v>2.7777777777777679E-2</v>
      </c>
      <c r="E66" s="392" t="s">
        <v>265</v>
      </c>
      <c r="F66" s="393"/>
      <c r="G66" s="184"/>
    </row>
    <row r="67" spans="1:11" ht="16.5" thickBot="1" x14ac:dyDescent="0.3">
      <c r="A67" s="135"/>
      <c r="B67" s="124"/>
      <c r="C67" s="124"/>
      <c r="D67" s="124"/>
      <c r="E67" s="394"/>
      <c r="F67" s="395"/>
      <c r="G67" s="186"/>
    </row>
    <row r="68" spans="1:11" ht="15.75" x14ac:dyDescent="0.2">
      <c r="A68" s="134">
        <f>DATE(2020,5,10)</f>
        <v>43961</v>
      </c>
      <c r="B68" s="122">
        <v>0.72916666666666663</v>
      </c>
      <c r="C68" s="122">
        <v>0.75</v>
      </c>
      <c r="D68" s="123">
        <f>(C68-B68)</f>
        <v>2.083333333333337E-2</v>
      </c>
      <c r="E68" s="392" t="s">
        <v>268</v>
      </c>
      <c r="F68" s="393"/>
      <c r="G68" s="184"/>
    </row>
    <row r="69" spans="1:11" ht="58.5" customHeight="1" thickBot="1" x14ac:dyDescent="0.3">
      <c r="A69" s="135"/>
      <c r="B69" s="124"/>
      <c r="C69" s="124"/>
      <c r="D69" s="124"/>
      <c r="E69" s="394"/>
      <c r="F69" s="395"/>
      <c r="G69" s="186"/>
    </row>
    <row r="70" spans="1:11" ht="15.75" x14ac:dyDescent="0.2">
      <c r="A70" s="132">
        <f>DATE(2020,5,10)</f>
        <v>43961</v>
      </c>
      <c r="B70" s="119">
        <v>0.80208333333333337</v>
      </c>
      <c r="C70" s="119">
        <v>0.97916666666666663</v>
      </c>
      <c r="D70" s="120">
        <f>(C70-B70)</f>
        <v>0.17708333333333326</v>
      </c>
      <c r="E70" s="347" t="s">
        <v>269</v>
      </c>
      <c r="F70" s="348"/>
      <c r="G70" s="184"/>
    </row>
    <row r="71" spans="1:11" ht="16.5" thickBot="1" x14ac:dyDescent="0.3">
      <c r="A71" s="133"/>
      <c r="B71" s="121"/>
      <c r="C71" s="121"/>
      <c r="D71" s="121"/>
      <c r="E71" s="349"/>
      <c r="F71" s="350"/>
      <c r="G71" s="186"/>
    </row>
    <row r="72" spans="1:11" ht="15.75" x14ac:dyDescent="0.2">
      <c r="A72" s="272"/>
      <c r="B72" s="274"/>
      <c r="C72" s="274"/>
      <c r="D72" s="273"/>
      <c r="E72" s="407"/>
      <c r="F72" s="408"/>
      <c r="G72" s="184"/>
    </row>
    <row r="73" spans="1:11" ht="16.5" thickBot="1" x14ac:dyDescent="0.3">
      <c r="A73" s="275"/>
      <c r="B73" s="276"/>
      <c r="C73" s="276"/>
      <c r="D73" s="276"/>
      <c r="E73" s="409"/>
      <c r="F73" s="410"/>
      <c r="G73" s="186"/>
    </row>
    <row r="74" spans="1:11" ht="24" thickBot="1" x14ac:dyDescent="0.4">
      <c r="A74" s="101" t="s">
        <v>18</v>
      </c>
      <c r="B74" s="101"/>
      <c r="C74" s="27"/>
      <c r="D74" s="27"/>
      <c r="E74" s="27"/>
      <c r="F74" s="102"/>
      <c r="G74" s="102"/>
    </row>
    <row r="75" spans="1:11" x14ac:dyDescent="0.2">
      <c r="B75" s="103"/>
      <c r="C75" s="104"/>
      <c r="D75" s="105"/>
      <c r="E75" s="106"/>
      <c r="K75" s="180"/>
    </row>
    <row r="76" spans="1:11" ht="12.75" customHeight="1" x14ac:dyDescent="0.2">
      <c r="A76" s="314"/>
      <c r="B76" s="314"/>
      <c r="C76" s="314"/>
      <c r="D76" s="314"/>
      <c r="E76" s="314"/>
      <c r="F76" s="314"/>
      <c r="G76" s="314"/>
      <c r="H76" s="5"/>
      <c r="K76" s="180"/>
    </row>
    <row r="77" spans="1:11" ht="12.75" customHeight="1" x14ac:dyDescent="0.2">
      <c r="A77" s="314"/>
      <c r="B77" s="314"/>
      <c r="C77" s="314"/>
      <c r="D77" s="314"/>
      <c r="E77" s="314"/>
      <c r="F77" s="314"/>
      <c r="G77" s="314"/>
      <c r="H77" s="5"/>
      <c r="K77" s="180"/>
    </row>
    <row r="78" spans="1:11" ht="12.75" customHeight="1" x14ac:dyDescent="0.2">
      <c r="A78" s="314"/>
      <c r="B78" s="314"/>
      <c r="C78" s="314"/>
      <c r="D78" s="314"/>
      <c r="E78" s="314"/>
      <c r="F78" s="314"/>
      <c r="G78" s="314"/>
      <c r="H78" s="5"/>
      <c r="K78" s="180"/>
    </row>
    <row r="79" spans="1:11" ht="12.75" customHeight="1" x14ac:dyDescent="0.2">
      <c r="A79" s="314"/>
      <c r="B79" s="314"/>
      <c r="C79" s="314"/>
      <c r="D79" s="314"/>
      <c r="E79" s="314"/>
      <c r="F79" s="314"/>
      <c r="G79" s="314"/>
      <c r="H79" s="5"/>
      <c r="K79" s="180"/>
    </row>
    <row r="80" spans="1:11" ht="12.75" customHeight="1" x14ac:dyDescent="0.2">
      <c r="A80" s="314"/>
      <c r="B80" s="314"/>
      <c r="C80" s="314"/>
      <c r="D80" s="314"/>
      <c r="E80" s="314"/>
      <c r="F80" s="314"/>
      <c r="G80" s="314"/>
      <c r="H80" s="5"/>
      <c r="K80" s="180"/>
    </row>
    <row r="81" spans="1:11" ht="12.75" customHeight="1" x14ac:dyDescent="0.2">
      <c r="A81" s="314"/>
      <c r="B81" s="314"/>
      <c r="C81" s="314"/>
      <c r="D81" s="314"/>
      <c r="E81" s="314"/>
      <c r="F81" s="314"/>
      <c r="G81" s="314"/>
      <c r="H81" s="5"/>
      <c r="K81" s="180"/>
    </row>
    <row r="82" spans="1:11" ht="12.75" customHeight="1" x14ac:dyDescent="0.2">
      <c r="A82" s="314"/>
      <c r="B82" s="314"/>
      <c r="C82" s="314"/>
      <c r="D82" s="314"/>
      <c r="E82" s="314"/>
      <c r="F82" s="314"/>
      <c r="G82" s="314"/>
      <c r="H82" s="5"/>
      <c r="K82" s="252"/>
    </row>
    <row r="83" spans="1:11" ht="12.75" customHeight="1" x14ac:dyDescent="0.2">
      <c r="A83" s="314"/>
      <c r="B83" s="314"/>
      <c r="C83" s="314"/>
      <c r="D83" s="314"/>
      <c r="E83" s="314"/>
      <c r="F83" s="314"/>
      <c r="G83" s="314"/>
      <c r="H83" s="5"/>
    </row>
    <row r="84" spans="1:11" ht="12.75" customHeight="1" x14ac:dyDescent="0.2">
      <c r="A84" s="314"/>
      <c r="B84" s="314"/>
      <c r="C84" s="314"/>
      <c r="D84" s="314"/>
      <c r="E84" s="314"/>
      <c r="F84" s="314"/>
      <c r="G84" s="314"/>
      <c r="H84" s="5"/>
    </row>
    <row r="85" spans="1:11" ht="12.75" customHeight="1" x14ac:dyDescent="0.2">
      <c r="A85" s="314"/>
      <c r="B85" s="314"/>
      <c r="C85" s="314"/>
      <c r="D85" s="314"/>
      <c r="E85" s="314"/>
      <c r="F85" s="314"/>
      <c r="G85" s="314"/>
      <c r="H85" s="5"/>
    </row>
    <row r="86" spans="1:11" ht="12.75" customHeight="1" x14ac:dyDescent="0.2">
      <c r="A86" s="314"/>
      <c r="B86" s="314"/>
      <c r="C86" s="314"/>
      <c r="D86" s="314"/>
      <c r="E86" s="314"/>
      <c r="F86" s="314"/>
      <c r="G86" s="314"/>
      <c r="H86" s="5"/>
    </row>
    <row r="87" spans="1:11" ht="12.75" customHeight="1" x14ac:dyDescent="0.2">
      <c r="A87" s="314"/>
      <c r="B87" s="314"/>
      <c r="C87" s="314"/>
      <c r="D87" s="314"/>
      <c r="E87" s="314"/>
      <c r="F87" s="314"/>
      <c r="G87" s="314"/>
      <c r="H87" s="5"/>
    </row>
    <row r="88" spans="1:11" ht="12.75" customHeight="1" x14ac:dyDescent="0.2">
      <c r="A88" s="314"/>
      <c r="B88" s="314"/>
      <c r="C88" s="314"/>
      <c r="D88" s="314"/>
      <c r="E88" s="314"/>
      <c r="F88" s="314"/>
      <c r="G88" s="314"/>
      <c r="H88" s="5"/>
    </row>
    <row r="89" spans="1:11" ht="12.75" customHeight="1" x14ac:dyDescent="0.2">
      <c r="A89" s="5"/>
      <c r="B89" s="5"/>
      <c r="C89" s="5"/>
      <c r="D89" s="5"/>
      <c r="E89" s="5"/>
      <c r="F89" s="5"/>
      <c r="G89" s="5"/>
      <c r="H89" s="5"/>
    </row>
    <row r="90" spans="1:11" ht="12.75" customHeight="1" x14ac:dyDescent="0.2">
      <c r="A90" s="5"/>
      <c r="B90" s="5"/>
      <c r="C90" s="5"/>
      <c r="D90" s="5"/>
      <c r="E90" s="5"/>
      <c r="F90" s="5"/>
      <c r="G90" s="5"/>
      <c r="H90" s="5"/>
    </row>
    <row r="91" spans="1:11" ht="12.75" customHeight="1" x14ac:dyDescent="0.2">
      <c r="A91" s="5"/>
      <c r="B91" s="5"/>
      <c r="C91" s="5"/>
      <c r="D91" s="5"/>
      <c r="E91" s="5"/>
      <c r="F91" s="5"/>
      <c r="G91" s="5"/>
      <c r="H91" s="5"/>
    </row>
    <row r="92" spans="1:11" x14ac:dyDescent="0.2">
      <c r="A92" s="5"/>
      <c r="B92" s="5"/>
      <c r="C92" s="5"/>
      <c r="D92" s="5"/>
      <c r="E92" s="5"/>
      <c r="F92" s="5"/>
      <c r="G92" s="5"/>
      <c r="H92" s="5"/>
    </row>
    <row r="93" spans="1:11" ht="12.75" customHeight="1" x14ac:dyDescent="0.2">
      <c r="A93" s="5"/>
      <c r="B93" s="5"/>
      <c r="C93" s="5"/>
      <c r="D93" s="5"/>
      <c r="E93" s="5"/>
      <c r="F93" s="5"/>
      <c r="G93" s="5"/>
      <c r="H93" s="5"/>
    </row>
    <row r="94" spans="1:11" ht="12.75" customHeight="1" x14ac:dyDescent="0.2"/>
    <row r="95" spans="1:11" ht="12.75" customHeight="1" x14ac:dyDescent="0.2"/>
  </sheetData>
  <mergeCells count="41">
    <mergeCell ref="E12:F13"/>
    <mergeCell ref="A1:D1"/>
    <mergeCell ref="A4:A5"/>
    <mergeCell ref="C4:C5"/>
    <mergeCell ref="J4:J5"/>
    <mergeCell ref="E10:F11"/>
    <mergeCell ref="E28:F29"/>
    <mergeCell ref="E14:F15"/>
    <mergeCell ref="E16:F17"/>
    <mergeCell ref="E18:F19"/>
    <mergeCell ref="E20:F21"/>
    <mergeCell ref="E22:F23"/>
    <mergeCell ref="K22:K23"/>
    <mergeCell ref="E24:F25"/>
    <mergeCell ref="I24:J25"/>
    <mergeCell ref="K24:K25"/>
    <mergeCell ref="E26:F27"/>
    <mergeCell ref="I22:J23"/>
    <mergeCell ref="E52:F53"/>
    <mergeCell ref="E30:F31"/>
    <mergeCell ref="E32:F33"/>
    <mergeCell ref="E34:F35"/>
    <mergeCell ref="E36:F37"/>
    <mergeCell ref="E38:F39"/>
    <mergeCell ref="E40:F41"/>
    <mergeCell ref="E42:F43"/>
    <mergeCell ref="E44:F45"/>
    <mergeCell ref="E46:F47"/>
    <mergeCell ref="E48:F49"/>
    <mergeCell ref="E50:F51"/>
    <mergeCell ref="E54:F55"/>
    <mergeCell ref="E56:F57"/>
    <mergeCell ref="E58:F59"/>
    <mergeCell ref="E60:F61"/>
    <mergeCell ref="E62:F63"/>
    <mergeCell ref="A76:G88"/>
    <mergeCell ref="E64:F65"/>
    <mergeCell ref="E66:F67"/>
    <mergeCell ref="E68:F69"/>
    <mergeCell ref="E70:F71"/>
    <mergeCell ref="E72:F73"/>
  </mergeCells>
  <conditionalFormatting sqref="I21 H24">
    <cfRule type="expression" dxfId="525" priority="337">
      <formula>ISNUMBER(SEARCH(TEXT(#REF!,"ddd"),#REF!))</formula>
    </cfRule>
  </conditionalFormatting>
  <conditionalFormatting sqref="C22">
    <cfRule type="expression" dxfId="524" priority="338">
      <formula>ISNUMBER(SEARCH(TEXT(#REF!,"ddd"),#REF!))</formula>
    </cfRule>
  </conditionalFormatting>
  <conditionalFormatting sqref="K21">
    <cfRule type="expression" dxfId="523" priority="339">
      <formula>ISNUMBER(SEARCH(TEXT(#REF!,"ddd"),#REF!))</formula>
    </cfRule>
  </conditionalFormatting>
  <conditionalFormatting sqref="A10:D10">
    <cfRule type="expression" dxfId="522" priority="336">
      <formula>ISNUMBER(SEARCH(TEXT(#REF!,"ddd"),#REF!))</formula>
    </cfRule>
  </conditionalFormatting>
  <conditionalFormatting sqref="B20:C20">
    <cfRule type="expression" dxfId="521" priority="335">
      <formula>ISNUMBER(SEARCH(TEXT(#REF!,"ddd"),#REF!))</formula>
    </cfRule>
  </conditionalFormatting>
  <conditionalFormatting sqref="B12:C14">
    <cfRule type="expression" dxfId="520" priority="334">
      <formula>ISNUMBER(SEARCH(TEXT(#REF!,"ddd"),#REF!))</formula>
    </cfRule>
  </conditionalFormatting>
  <conditionalFormatting sqref="D13">
    <cfRule type="expression" dxfId="519" priority="333">
      <formula>ISNUMBER(SEARCH(TEXT(#REF!,"ddd"),#REF!))</formula>
    </cfRule>
  </conditionalFormatting>
  <conditionalFormatting sqref="A13">
    <cfRule type="expression" dxfId="518" priority="332">
      <formula>ISNUMBER(SEARCH(TEXT(#REF!,"ddd"),#REF!))</formula>
    </cfRule>
  </conditionalFormatting>
  <conditionalFormatting sqref="H26">
    <cfRule type="expression" dxfId="517" priority="331">
      <formula>ISNUMBER(SEARCH(TEXT(#REF!,"ddd"),#REF!))</formula>
    </cfRule>
  </conditionalFormatting>
  <conditionalFormatting sqref="A58">
    <cfRule type="expression" dxfId="516" priority="329">
      <formula>ISNUMBER(SEARCH(TEXT(#REF!,"ddd"),#REF!))</formula>
    </cfRule>
  </conditionalFormatting>
  <conditionalFormatting sqref="A60">
    <cfRule type="expression" dxfId="515" priority="328">
      <formula>ISNUMBER(SEARCH(TEXT(#REF!,"ddd"),#REF!))</formula>
    </cfRule>
  </conditionalFormatting>
  <conditionalFormatting sqref="B20:C20">
    <cfRule type="expression" dxfId="514" priority="326">
      <formula>ISNUMBER(SEARCH(TEXT(#REF!,"ddd"),#REF!))</formula>
    </cfRule>
  </conditionalFormatting>
  <conditionalFormatting sqref="C16">
    <cfRule type="expression" dxfId="513" priority="324">
      <formula>ISNUMBER(SEARCH(TEXT(#REF!,"ddd"),#REF!))</formula>
    </cfRule>
  </conditionalFormatting>
  <conditionalFormatting sqref="A56">
    <cfRule type="expression" dxfId="512" priority="312">
      <formula>ISNUMBER(SEARCH(TEXT(#REF!,"ddd"),#REF!))</formula>
    </cfRule>
  </conditionalFormatting>
  <conditionalFormatting sqref="D56">
    <cfRule type="expression" dxfId="511" priority="311">
      <formula>ISNUMBER(SEARCH(TEXT(#REF!,"ddd"),#REF!))</formula>
    </cfRule>
  </conditionalFormatting>
  <conditionalFormatting sqref="D58">
    <cfRule type="expression" dxfId="510" priority="310">
      <formula>ISNUMBER(SEARCH(TEXT(#REF!,"ddd"),#REF!))</formula>
    </cfRule>
  </conditionalFormatting>
  <conditionalFormatting sqref="A62">
    <cfRule type="expression" dxfId="509" priority="309">
      <formula>ISNUMBER(SEARCH(TEXT(#REF!,"ddd"),#REF!))</formula>
    </cfRule>
  </conditionalFormatting>
  <conditionalFormatting sqref="D60">
    <cfRule type="expression" dxfId="508" priority="308">
      <formula>ISNUMBER(SEARCH(TEXT(#REF!,"ddd"),#REF!))</formula>
    </cfRule>
  </conditionalFormatting>
  <conditionalFormatting sqref="D62">
    <cfRule type="expression" dxfId="507" priority="307">
      <formula>ISNUMBER(SEARCH(TEXT(#REF!,"ddd"),#REF!))</formula>
    </cfRule>
  </conditionalFormatting>
  <conditionalFormatting sqref="A64">
    <cfRule type="expression" dxfId="506" priority="306">
      <formula>ISNUMBER(SEARCH(TEXT(#REF!,"ddd"),#REF!))</formula>
    </cfRule>
  </conditionalFormatting>
  <conditionalFormatting sqref="D64">
    <cfRule type="expression" dxfId="505" priority="304">
      <formula>ISNUMBER(SEARCH(TEXT(#REF!,"ddd"),#REF!))</formula>
    </cfRule>
  </conditionalFormatting>
  <conditionalFormatting sqref="A72">
    <cfRule type="expression" dxfId="504" priority="297">
      <formula>ISNUMBER(SEARCH(TEXT(#REF!,"ddd"),#REF!))</formula>
    </cfRule>
  </conditionalFormatting>
  <conditionalFormatting sqref="A70">
    <cfRule type="expression" dxfId="503" priority="299">
      <formula>ISNUMBER(SEARCH(TEXT(#REF!,"ddd"),#REF!))</formula>
    </cfRule>
  </conditionalFormatting>
  <conditionalFormatting sqref="D72">
    <cfRule type="expression" dxfId="502" priority="298">
      <formula>ISNUMBER(SEARCH(TEXT(#REF!,"ddd"),#REF!))</formula>
    </cfRule>
  </conditionalFormatting>
  <conditionalFormatting sqref="B18">
    <cfRule type="expression" dxfId="501" priority="285">
      <formula>ISNUMBER(SEARCH(TEXT(#REF!,"ddd"),#REF!))</formula>
    </cfRule>
  </conditionalFormatting>
  <conditionalFormatting sqref="C18">
    <cfRule type="expression" dxfId="500" priority="284">
      <formula>ISNUMBER(SEARCH(TEXT(#REF!,"ddd"),#REF!))</formula>
    </cfRule>
  </conditionalFormatting>
  <conditionalFormatting sqref="B22">
    <cfRule type="expression" dxfId="499" priority="277">
      <formula>ISNUMBER(SEARCH(TEXT(#REF!,"ddd"),#REF!))</formula>
    </cfRule>
  </conditionalFormatting>
  <conditionalFormatting sqref="B22">
    <cfRule type="expression" dxfId="498" priority="276">
      <formula>ISNUMBER(SEARCH(TEXT(#REF!,"ddd"),#REF!))</formula>
    </cfRule>
  </conditionalFormatting>
  <conditionalFormatting sqref="A12">
    <cfRule type="expression" dxfId="497" priority="249">
      <formula>ISNUMBER(SEARCH(TEXT(#REF!,"ddd"),#REF!))</formula>
    </cfRule>
  </conditionalFormatting>
  <conditionalFormatting sqref="D12">
    <cfRule type="expression" dxfId="496" priority="248">
      <formula>ISNUMBER(SEARCH(TEXT(#REF!,"ddd"),#REF!))</formula>
    </cfRule>
  </conditionalFormatting>
  <conditionalFormatting sqref="A14">
    <cfRule type="expression" dxfId="495" priority="247">
      <formula>ISNUMBER(SEARCH(TEXT(#REF!,"ddd"),#REF!))</formula>
    </cfRule>
  </conditionalFormatting>
  <conditionalFormatting sqref="D14">
    <cfRule type="expression" dxfId="494" priority="246">
      <formula>ISNUMBER(SEARCH(TEXT(#REF!,"ddd"),#REF!))</formula>
    </cfRule>
  </conditionalFormatting>
  <conditionalFormatting sqref="B16">
    <cfRule type="expression" dxfId="493" priority="245">
      <formula>ISNUMBER(SEARCH(TEXT(#REF!,"ddd"),#REF!))</formula>
    </cfRule>
  </conditionalFormatting>
  <conditionalFormatting sqref="A16">
    <cfRule type="expression" dxfId="492" priority="244">
      <formula>ISNUMBER(SEARCH(TEXT(#REF!,"ddd"),#REF!))</formula>
    </cfRule>
  </conditionalFormatting>
  <conditionalFormatting sqref="A18">
    <cfRule type="expression" dxfId="491" priority="243">
      <formula>ISNUMBER(SEARCH(TEXT(#REF!,"ddd"),#REF!))</formula>
    </cfRule>
  </conditionalFormatting>
  <conditionalFormatting sqref="D16">
    <cfRule type="expression" dxfId="490" priority="242">
      <formula>ISNUMBER(SEARCH(TEXT(#REF!,"ddd"),#REF!))</formula>
    </cfRule>
  </conditionalFormatting>
  <conditionalFormatting sqref="D18">
    <cfRule type="expression" dxfId="489" priority="241">
      <formula>ISNUMBER(SEARCH(TEXT(#REF!,"ddd"),#REF!))</formula>
    </cfRule>
  </conditionalFormatting>
  <conditionalFormatting sqref="A20">
    <cfRule type="expression" dxfId="488" priority="240">
      <formula>ISNUMBER(SEARCH(TEXT(#REF!,"ddd"),#REF!))</formula>
    </cfRule>
  </conditionalFormatting>
  <conditionalFormatting sqref="D20">
    <cfRule type="expression" dxfId="487" priority="239">
      <formula>ISNUMBER(SEARCH(TEXT(#REF!,"ddd"),#REF!))</formula>
    </cfRule>
  </conditionalFormatting>
  <conditionalFormatting sqref="A22">
    <cfRule type="expression" dxfId="486" priority="238">
      <formula>ISNUMBER(SEARCH(TEXT(#REF!,"ddd"),#REF!))</formula>
    </cfRule>
  </conditionalFormatting>
  <conditionalFormatting sqref="D22">
    <cfRule type="expression" dxfId="485" priority="237">
      <formula>ISNUMBER(SEARCH(TEXT(#REF!,"ddd"),#REF!))</formula>
    </cfRule>
  </conditionalFormatting>
  <conditionalFormatting sqref="A24">
    <cfRule type="expression" dxfId="484" priority="236">
      <formula>ISNUMBER(SEARCH(TEXT(#REF!,"ddd"),#REF!))</formula>
    </cfRule>
  </conditionalFormatting>
  <conditionalFormatting sqref="D24">
    <cfRule type="expression" dxfId="483" priority="235">
      <formula>ISNUMBER(SEARCH(TEXT(#REF!,"ddd"),#REF!))</formula>
    </cfRule>
  </conditionalFormatting>
  <conditionalFormatting sqref="A30">
    <cfRule type="expression" dxfId="482" priority="230">
      <formula>ISNUMBER(SEARCH(TEXT(#REF!,"ddd"),#REF!))</formula>
    </cfRule>
  </conditionalFormatting>
  <conditionalFormatting sqref="B30">
    <cfRule type="expression" dxfId="481" priority="229">
      <formula>ISNUMBER(SEARCH(TEXT(#REF!,"ddd"),#REF!))</formula>
    </cfRule>
  </conditionalFormatting>
  <conditionalFormatting sqref="C30">
    <cfRule type="expression" dxfId="480" priority="228">
      <formula>ISNUMBER(SEARCH(TEXT(#REF!,"ddd"),#REF!))</formula>
    </cfRule>
  </conditionalFormatting>
  <conditionalFormatting sqref="D30">
    <cfRule type="expression" dxfId="479" priority="226">
      <formula>ISNUMBER(SEARCH(TEXT(#REF!,"ddd"),#REF!))</formula>
    </cfRule>
  </conditionalFormatting>
  <conditionalFormatting sqref="D36">
    <cfRule type="expression" dxfId="478" priority="220">
      <formula>ISNUMBER(SEARCH(TEXT(#REF!,"ddd"),#REF!))</formula>
    </cfRule>
  </conditionalFormatting>
  <conditionalFormatting sqref="D38">
    <cfRule type="expression" dxfId="477" priority="219">
      <formula>ISNUMBER(SEARCH(TEXT(#REF!,"ddd"),#REF!))</formula>
    </cfRule>
  </conditionalFormatting>
  <conditionalFormatting sqref="D40">
    <cfRule type="expression" dxfId="476" priority="217">
      <formula>ISNUMBER(SEARCH(TEXT(#REF!,"ddd"),#REF!))</formula>
    </cfRule>
  </conditionalFormatting>
  <conditionalFormatting sqref="D42">
    <cfRule type="expression" dxfId="475" priority="214">
      <formula>ISNUMBER(SEARCH(TEXT(#REF!,"ddd"),#REF!))</formula>
    </cfRule>
  </conditionalFormatting>
  <conditionalFormatting sqref="D44">
    <cfRule type="expression" dxfId="474" priority="212">
      <formula>ISNUMBER(SEARCH(TEXT(#REF!,"ddd"),#REF!))</formula>
    </cfRule>
  </conditionalFormatting>
  <conditionalFormatting sqref="A46">
    <cfRule type="expression" dxfId="473" priority="211">
      <formula>ISNUMBER(SEARCH(TEXT(#REF!,"ddd"),#REF!))</formula>
    </cfRule>
  </conditionalFormatting>
  <conditionalFormatting sqref="D46">
    <cfRule type="expression" dxfId="472" priority="210">
      <formula>ISNUMBER(SEARCH(TEXT(#REF!,"ddd"),#REF!))</formula>
    </cfRule>
  </conditionalFormatting>
  <conditionalFormatting sqref="A48">
    <cfRule type="expression" dxfId="471" priority="209">
      <formula>ISNUMBER(SEARCH(TEXT(#REF!,"ddd"),#REF!))</formula>
    </cfRule>
  </conditionalFormatting>
  <conditionalFormatting sqref="D48">
    <cfRule type="expression" dxfId="470" priority="208">
      <formula>ISNUMBER(SEARCH(TEXT(#REF!,"ddd"),#REF!))</formula>
    </cfRule>
  </conditionalFormatting>
  <conditionalFormatting sqref="A52">
    <cfRule type="expression" dxfId="469" priority="205">
      <formula>ISNUMBER(SEARCH(TEXT(#REF!,"ddd"),#REF!))</formula>
    </cfRule>
  </conditionalFormatting>
  <conditionalFormatting sqref="A54">
    <cfRule type="expression" dxfId="468" priority="204">
      <formula>ISNUMBER(SEARCH(TEXT(#REF!,"ddd"),#REF!))</formula>
    </cfRule>
  </conditionalFormatting>
  <conditionalFormatting sqref="D52">
    <cfRule type="expression" dxfId="467" priority="203">
      <formula>ISNUMBER(SEARCH(TEXT(#REF!,"ddd"),#REF!))</formula>
    </cfRule>
  </conditionalFormatting>
  <conditionalFormatting sqref="D54">
    <cfRule type="expression" dxfId="466" priority="202">
      <formula>ISNUMBER(SEARCH(TEXT(#REF!,"ddd"),#REF!))</formula>
    </cfRule>
  </conditionalFormatting>
  <conditionalFormatting sqref="B30">
    <cfRule type="expression" dxfId="465" priority="201">
      <formula>ISNUMBER(SEARCH(TEXT(#REF!,"ddd"),#REF!))</formula>
    </cfRule>
  </conditionalFormatting>
  <conditionalFormatting sqref="A30">
    <cfRule type="expression" dxfId="464" priority="200">
      <formula>ISNUMBER(SEARCH(TEXT(#REF!,"ddd"),#REF!))</formula>
    </cfRule>
  </conditionalFormatting>
  <conditionalFormatting sqref="D30">
    <cfRule type="expression" dxfId="463" priority="199">
      <formula>ISNUMBER(SEARCH(TEXT(#REF!,"ddd"),#REF!))</formula>
    </cfRule>
  </conditionalFormatting>
  <conditionalFormatting sqref="B34">
    <cfRule type="expression" dxfId="462" priority="195">
      <formula>ISNUMBER(SEARCH(TEXT(#REF!,"ddd"),#REF!))</formula>
    </cfRule>
  </conditionalFormatting>
  <conditionalFormatting sqref="C34">
    <cfRule type="expression" dxfId="461" priority="194">
      <formula>ISNUMBER(SEARCH(TEXT(#REF!,"ddd"),#REF!))</formula>
    </cfRule>
  </conditionalFormatting>
  <conditionalFormatting sqref="D36">
    <cfRule type="expression" dxfId="460" priority="192">
      <formula>ISNUMBER(SEARCH(TEXT(#REF!,"ddd"),#REF!))</formula>
    </cfRule>
  </conditionalFormatting>
  <conditionalFormatting sqref="D38">
    <cfRule type="expression" dxfId="459" priority="190">
      <formula>ISNUMBER(SEARCH(TEXT(#REF!,"ddd"),#REF!))</formula>
    </cfRule>
  </conditionalFormatting>
  <conditionalFormatting sqref="D40">
    <cfRule type="expression" dxfId="458" priority="187">
      <formula>ISNUMBER(SEARCH(TEXT(#REF!,"ddd"),#REF!))</formula>
    </cfRule>
  </conditionalFormatting>
  <conditionalFormatting sqref="D42">
    <cfRule type="expression" dxfId="457" priority="186">
      <formula>ISNUMBER(SEARCH(TEXT(#REF!,"ddd"),#REF!))</formula>
    </cfRule>
  </conditionalFormatting>
  <conditionalFormatting sqref="D44">
    <cfRule type="expression" dxfId="456" priority="184">
      <formula>ISNUMBER(SEARCH(TEXT(#REF!,"ddd"),#REF!))</formula>
    </cfRule>
  </conditionalFormatting>
  <conditionalFormatting sqref="A46">
    <cfRule type="expression" dxfId="455" priority="182">
      <formula>ISNUMBER(SEARCH(TEXT(#REF!,"ddd"),#REF!))</formula>
    </cfRule>
  </conditionalFormatting>
  <conditionalFormatting sqref="D46">
    <cfRule type="expression" dxfId="454" priority="181">
      <formula>ISNUMBER(SEARCH(TEXT(#REF!,"ddd"),#REF!))</formula>
    </cfRule>
  </conditionalFormatting>
  <conditionalFormatting sqref="A48">
    <cfRule type="expression" dxfId="453" priority="180">
      <formula>ISNUMBER(SEARCH(TEXT(#REF!,"ddd"),#REF!))</formula>
    </cfRule>
  </conditionalFormatting>
  <conditionalFormatting sqref="D48">
    <cfRule type="expression" dxfId="452" priority="179">
      <formula>ISNUMBER(SEARCH(TEXT(#REF!,"ddd"),#REF!))</formula>
    </cfRule>
  </conditionalFormatting>
  <conditionalFormatting sqref="A52">
    <cfRule type="expression" dxfId="451" priority="176">
      <formula>ISNUMBER(SEARCH(TEXT(#REF!,"ddd"),#REF!))</formula>
    </cfRule>
  </conditionalFormatting>
  <conditionalFormatting sqref="D52">
    <cfRule type="expression" dxfId="450" priority="175">
      <formula>ISNUMBER(SEARCH(TEXT(#REF!,"ddd"),#REF!))</formula>
    </cfRule>
  </conditionalFormatting>
  <conditionalFormatting sqref="A54">
    <cfRule type="expression" dxfId="449" priority="174">
      <formula>ISNUMBER(SEARCH(TEXT(#REF!,"ddd"),#REF!))</formula>
    </cfRule>
  </conditionalFormatting>
  <conditionalFormatting sqref="D54">
    <cfRule type="expression" dxfId="448" priority="173">
      <formula>ISNUMBER(SEARCH(TEXT(#REF!,"ddd"),#REF!))</formula>
    </cfRule>
  </conditionalFormatting>
  <conditionalFormatting sqref="A56">
    <cfRule type="expression" dxfId="447" priority="172">
      <formula>ISNUMBER(SEARCH(TEXT(#REF!,"ddd"),#REF!))</formula>
    </cfRule>
  </conditionalFormatting>
  <conditionalFormatting sqref="A58">
    <cfRule type="expression" dxfId="446" priority="171">
      <formula>ISNUMBER(SEARCH(TEXT(#REF!,"ddd"),#REF!))</formula>
    </cfRule>
  </conditionalFormatting>
  <conditionalFormatting sqref="D56">
    <cfRule type="expression" dxfId="445" priority="170">
      <formula>ISNUMBER(SEARCH(TEXT(#REF!,"ddd"),#REF!))</formula>
    </cfRule>
  </conditionalFormatting>
  <conditionalFormatting sqref="D58">
    <cfRule type="expression" dxfId="444" priority="169">
      <formula>ISNUMBER(SEARCH(TEXT(#REF!,"ddd"),#REF!))</formula>
    </cfRule>
  </conditionalFormatting>
  <conditionalFormatting sqref="A26">
    <cfRule type="expression" dxfId="443" priority="168">
      <formula>ISNUMBER(SEARCH(TEXT(#REF!,"ddd"),#REF!))</formula>
    </cfRule>
  </conditionalFormatting>
  <conditionalFormatting sqref="D26">
    <cfRule type="expression" dxfId="442" priority="167">
      <formula>ISNUMBER(SEARCH(TEXT(#REF!,"ddd"),#REF!))</formula>
    </cfRule>
  </conditionalFormatting>
  <conditionalFormatting sqref="A28">
    <cfRule type="expression" dxfId="441" priority="166">
      <formula>ISNUMBER(SEARCH(TEXT(#REF!,"ddd"),#REF!))</formula>
    </cfRule>
  </conditionalFormatting>
  <conditionalFormatting sqref="A44">
    <cfRule type="expression" dxfId="440" priority="165">
      <formula>ISNUMBER(SEARCH(TEXT(#REF!,"ddd"),#REF!))</formula>
    </cfRule>
  </conditionalFormatting>
  <conditionalFormatting sqref="A44">
    <cfRule type="expression" dxfId="439" priority="164">
      <formula>ISNUMBER(SEARCH(TEXT(#REF!,"ddd"),#REF!))</formula>
    </cfRule>
  </conditionalFormatting>
  <conditionalFormatting sqref="A42">
    <cfRule type="expression" dxfId="438" priority="163">
      <formula>ISNUMBER(SEARCH(TEXT(#REF!,"ddd"),#REF!))</formula>
    </cfRule>
  </conditionalFormatting>
  <conditionalFormatting sqref="A42">
    <cfRule type="expression" dxfId="437" priority="162">
      <formula>ISNUMBER(SEARCH(TEXT(#REF!,"ddd"),#REF!))</formula>
    </cfRule>
  </conditionalFormatting>
  <conditionalFormatting sqref="A40">
    <cfRule type="expression" dxfId="436" priority="161">
      <formula>ISNUMBER(SEARCH(TEXT(#REF!,"ddd"),#REF!))</formula>
    </cfRule>
  </conditionalFormatting>
  <conditionalFormatting sqref="A40">
    <cfRule type="expression" dxfId="435" priority="160">
      <formula>ISNUMBER(SEARCH(TEXT(#REF!,"ddd"),#REF!))</formula>
    </cfRule>
  </conditionalFormatting>
  <conditionalFormatting sqref="A38">
    <cfRule type="expression" dxfId="434" priority="159">
      <formula>ISNUMBER(SEARCH(TEXT(#REF!,"ddd"),#REF!))</formula>
    </cfRule>
  </conditionalFormatting>
  <conditionalFormatting sqref="A38">
    <cfRule type="expression" dxfId="433" priority="158">
      <formula>ISNUMBER(SEARCH(TEXT(#REF!,"ddd"),#REF!))</formula>
    </cfRule>
  </conditionalFormatting>
  <conditionalFormatting sqref="A36">
    <cfRule type="expression" dxfId="432" priority="157">
      <formula>ISNUMBER(SEARCH(TEXT(#REF!,"ddd"),#REF!))</formula>
    </cfRule>
  </conditionalFormatting>
  <conditionalFormatting sqref="A36">
    <cfRule type="expression" dxfId="431" priority="156">
      <formula>ISNUMBER(SEARCH(TEXT(#REF!,"ddd"),#REF!))</formula>
    </cfRule>
  </conditionalFormatting>
  <conditionalFormatting sqref="D28">
    <cfRule type="expression" dxfId="430" priority="153">
      <formula>ISNUMBER(SEARCH(TEXT(#REF!,"ddd"),#REF!))</formula>
    </cfRule>
  </conditionalFormatting>
  <conditionalFormatting sqref="C28">
    <cfRule type="expression" dxfId="429" priority="152">
      <formula>ISNUMBER(SEARCH(TEXT(#REF!,"ddd"),#REF!))</formula>
    </cfRule>
  </conditionalFormatting>
  <conditionalFormatting sqref="A62">
    <cfRule type="expression" dxfId="428" priority="151">
      <formula>ISNUMBER(SEARCH(TEXT(#REF!,"ddd"),#REF!))</formula>
    </cfRule>
  </conditionalFormatting>
  <conditionalFormatting sqref="A60">
    <cfRule type="expression" dxfId="427" priority="150">
      <formula>ISNUMBER(SEARCH(TEXT(#REF!,"ddd"),#REF!))</formula>
    </cfRule>
  </conditionalFormatting>
  <conditionalFormatting sqref="D60">
    <cfRule type="expression" dxfId="426" priority="149">
      <formula>ISNUMBER(SEARCH(TEXT(#REF!,"ddd"),#REF!))</formula>
    </cfRule>
  </conditionalFormatting>
  <conditionalFormatting sqref="D62">
    <cfRule type="expression" dxfId="425" priority="148">
      <formula>ISNUMBER(SEARCH(TEXT(#REF!,"ddd"),#REF!))</formula>
    </cfRule>
  </conditionalFormatting>
  <conditionalFormatting sqref="D36">
    <cfRule type="expression" dxfId="424" priority="147">
      <formula>ISNUMBER(SEARCH(TEXT(#REF!,"ddd"),#REF!))</formula>
    </cfRule>
  </conditionalFormatting>
  <conditionalFormatting sqref="A36">
    <cfRule type="expression" dxfId="423" priority="146">
      <formula>ISNUMBER(SEARCH(TEXT(#REF!,"ddd"),#REF!))</formula>
    </cfRule>
  </conditionalFormatting>
  <conditionalFormatting sqref="D38">
    <cfRule type="expression" dxfId="422" priority="145">
      <formula>ISNUMBER(SEARCH(TEXT(#REF!,"ddd"),#REF!))</formula>
    </cfRule>
  </conditionalFormatting>
  <conditionalFormatting sqref="D40">
    <cfRule type="expression" dxfId="421" priority="144">
      <formula>ISNUMBER(SEARCH(TEXT(#REF!,"ddd"),#REF!))</formula>
    </cfRule>
  </conditionalFormatting>
  <conditionalFormatting sqref="D42">
    <cfRule type="expression" dxfId="420" priority="143">
      <formula>ISNUMBER(SEARCH(TEXT(#REF!,"ddd"),#REF!))</formula>
    </cfRule>
  </conditionalFormatting>
  <conditionalFormatting sqref="D44">
    <cfRule type="expression" dxfId="419" priority="142">
      <formula>ISNUMBER(SEARCH(TEXT(#REF!,"ddd"),#REF!))</formula>
    </cfRule>
  </conditionalFormatting>
  <conditionalFormatting sqref="D46">
    <cfRule type="expression" dxfId="418" priority="141">
      <formula>ISNUMBER(SEARCH(TEXT(#REF!,"ddd"),#REF!))</formula>
    </cfRule>
  </conditionalFormatting>
  <conditionalFormatting sqref="D48">
    <cfRule type="expression" dxfId="417" priority="140">
      <formula>ISNUMBER(SEARCH(TEXT(#REF!,"ddd"),#REF!))</formula>
    </cfRule>
  </conditionalFormatting>
  <conditionalFormatting sqref="A52">
    <cfRule type="expression" dxfId="416" priority="137">
      <formula>ISNUMBER(SEARCH(TEXT(#REF!,"ddd"),#REF!))</formula>
    </cfRule>
  </conditionalFormatting>
  <conditionalFormatting sqref="D52">
    <cfRule type="expression" dxfId="415" priority="136">
      <formula>ISNUMBER(SEARCH(TEXT(#REF!,"ddd"),#REF!))</formula>
    </cfRule>
  </conditionalFormatting>
  <conditionalFormatting sqref="A54">
    <cfRule type="expression" dxfId="414" priority="135">
      <formula>ISNUMBER(SEARCH(TEXT(#REF!,"ddd"),#REF!))</formula>
    </cfRule>
  </conditionalFormatting>
  <conditionalFormatting sqref="D54">
    <cfRule type="expression" dxfId="413" priority="134">
      <formula>ISNUMBER(SEARCH(TEXT(#REF!,"ddd"),#REF!))</formula>
    </cfRule>
  </conditionalFormatting>
  <conditionalFormatting sqref="A56">
    <cfRule type="expression" dxfId="412" priority="133">
      <formula>ISNUMBER(SEARCH(TEXT(#REF!,"ddd"),#REF!))</formula>
    </cfRule>
  </conditionalFormatting>
  <conditionalFormatting sqref="A58">
    <cfRule type="expression" dxfId="411" priority="132">
      <formula>ISNUMBER(SEARCH(TEXT(#REF!,"ddd"),#REF!))</formula>
    </cfRule>
  </conditionalFormatting>
  <conditionalFormatting sqref="D56">
    <cfRule type="expression" dxfId="410" priority="131">
      <formula>ISNUMBER(SEARCH(TEXT(#REF!,"ddd"),#REF!))</formula>
    </cfRule>
  </conditionalFormatting>
  <conditionalFormatting sqref="D58">
    <cfRule type="expression" dxfId="409" priority="130">
      <formula>ISNUMBER(SEARCH(TEXT(#REF!,"ddd"),#REF!))</formula>
    </cfRule>
  </conditionalFormatting>
  <conditionalFormatting sqref="A36">
    <cfRule type="expression" dxfId="408" priority="129">
      <formula>ISNUMBER(SEARCH(TEXT(#REF!,"ddd"),#REF!))</formula>
    </cfRule>
  </conditionalFormatting>
  <conditionalFormatting sqref="D36">
    <cfRule type="expression" dxfId="407" priority="128">
      <formula>ISNUMBER(SEARCH(TEXT(#REF!,"ddd"),#REF!))</formula>
    </cfRule>
  </conditionalFormatting>
  <conditionalFormatting sqref="B38">
    <cfRule type="expression" dxfId="406" priority="127">
      <formula>ISNUMBER(SEARCH(TEXT(#REF!,"ddd"),#REF!))</formula>
    </cfRule>
  </conditionalFormatting>
  <conditionalFormatting sqref="C38">
    <cfRule type="expression" dxfId="405" priority="126">
      <formula>ISNUMBER(SEARCH(TEXT(#REF!,"ddd"),#REF!))</formula>
    </cfRule>
  </conditionalFormatting>
  <conditionalFormatting sqref="D38">
    <cfRule type="expression" dxfId="404" priority="125">
      <formula>ISNUMBER(SEARCH(TEXT(#REF!,"ddd"),#REF!))</formula>
    </cfRule>
  </conditionalFormatting>
  <conditionalFormatting sqref="D40">
    <cfRule type="expression" dxfId="403" priority="124">
      <formula>ISNUMBER(SEARCH(TEXT(#REF!,"ddd"),#REF!))</formula>
    </cfRule>
  </conditionalFormatting>
  <conditionalFormatting sqref="D42">
    <cfRule type="expression" dxfId="402" priority="123">
      <formula>ISNUMBER(SEARCH(TEXT(#REF!,"ddd"),#REF!))</formula>
    </cfRule>
  </conditionalFormatting>
  <conditionalFormatting sqref="D44">
    <cfRule type="expression" dxfId="401" priority="122">
      <formula>ISNUMBER(SEARCH(TEXT(#REF!,"ddd"),#REF!))</formula>
    </cfRule>
  </conditionalFormatting>
  <conditionalFormatting sqref="D46">
    <cfRule type="expression" dxfId="400" priority="121">
      <formula>ISNUMBER(SEARCH(TEXT(#REF!,"ddd"),#REF!))</formula>
    </cfRule>
  </conditionalFormatting>
  <conditionalFormatting sqref="D48">
    <cfRule type="expression" dxfId="399" priority="120">
      <formula>ISNUMBER(SEARCH(TEXT(#REF!,"ddd"),#REF!))</formula>
    </cfRule>
  </conditionalFormatting>
  <conditionalFormatting sqref="A52">
    <cfRule type="expression" dxfId="398" priority="117">
      <formula>ISNUMBER(SEARCH(TEXT(#REF!,"ddd"),#REF!))</formula>
    </cfRule>
  </conditionalFormatting>
  <conditionalFormatting sqref="D52">
    <cfRule type="expression" dxfId="397" priority="116">
      <formula>ISNUMBER(SEARCH(TEXT(#REF!,"ddd"),#REF!))</formula>
    </cfRule>
  </conditionalFormatting>
  <conditionalFormatting sqref="A54">
    <cfRule type="expression" dxfId="396" priority="115">
      <formula>ISNUMBER(SEARCH(TEXT(#REF!,"ddd"),#REF!))</formula>
    </cfRule>
  </conditionalFormatting>
  <conditionalFormatting sqref="D54">
    <cfRule type="expression" dxfId="395" priority="114">
      <formula>ISNUMBER(SEARCH(TEXT(#REF!,"ddd"),#REF!))</formula>
    </cfRule>
  </conditionalFormatting>
  <conditionalFormatting sqref="A56">
    <cfRule type="expression" dxfId="394" priority="113">
      <formula>ISNUMBER(SEARCH(TEXT(#REF!,"ddd"),#REF!))</formula>
    </cfRule>
  </conditionalFormatting>
  <conditionalFormatting sqref="D56">
    <cfRule type="expression" dxfId="393" priority="112">
      <formula>ISNUMBER(SEARCH(TEXT(#REF!,"ddd"),#REF!))</formula>
    </cfRule>
  </conditionalFormatting>
  <conditionalFormatting sqref="A58">
    <cfRule type="expression" dxfId="392" priority="111">
      <formula>ISNUMBER(SEARCH(TEXT(#REF!,"ddd"),#REF!))</formula>
    </cfRule>
  </conditionalFormatting>
  <conditionalFormatting sqref="D58">
    <cfRule type="expression" dxfId="391" priority="110">
      <formula>ISNUMBER(SEARCH(TEXT(#REF!,"ddd"),#REF!))</formula>
    </cfRule>
  </conditionalFormatting>
  <conditionalFormatting sqref="A60">
    <cfRule type="expression" dxfId="390" priority="109">
      <formula>ISNUMBER(SEARCH(TEXT(#REF!,"ddd"),#REF!))</formula>
    </cfRule>
  </conditionalFormatting>
  <conditionalFormatting sqref="A62">
    <cfRule type="expression" dxfId="389" priority="108">
      <formula>ISNUMBER(SEARCH(TEXT(#REF!,"ddd"),#REF!))</formula>
    </cfRule>
  </conditionalFormatting>
  <conditionalFormatting sqref="D60">
    <cfRule type="expression" dxfId="388" priority="107">
      <formula>ISNUMBER(SEARCH(TEXT(#REF!,"ddd"),#REF!))</formula>
    </cfRule>
  </conditionalFormatting>
  <conditionalFormatting sqref="D62">
    <cfRule type="expression" dxfId="387" priority="106">
      <formula>ISNUMBER(SEARCH(TEXT(#REF!,"ddd"),#REF!))</formula>
    </cfRule>
  </conditionalFormatting>
  <conditionalFormatting sqref="A48">
    <cfRule type="expression" dxfId="386" priority="105">
      <formula>ISNUMBER(SEARCH(TEXT(#REF!,"ddd"),#REF!))</formula>
    </cfRule>
  </conditionalFormatting>
  <conditionalFormatting sqref="A48">
    <cfRule type="expression" dxfId="385" priority="104">
      <formula>ISNUMBER(SEARCH(TEXT(#REF!,"ddd"),#REF!))</formula>
    </cfRule>
  </conditionalFormatting>
  <conditionalFormatting sqref="A46">
    <cfRule type="expression" dxfId="384" priority="103">
      <formula>ISNUMBER(SEARCH(TEXT(#REF!,"ddd"),#REF!))</formula>
    </cfRule>
  </conditionalFormatting>
  <conditionalFormatting sqref="A46">
    <cfRule type="expression" dxfId="383" priority="102">
      <formula>ISNUMBER(SEARCH(TEXT(#REF!,"ddd"),#REF!))</formula>
    </cfRule>
  </conditionalFormatting>
  <conditionalFormatting sqref="A44">
    <cfRule type="expression" dxfId="382" priority="101">
      <formula>ISNUMBER(SEARCH(TEXT(#REF!,"ddd"),#REF!))</formula>
    </cfRule>
  </conditionalFormatting>
  <conditionalFormatting sqref="A44">
    <cfRule type="expression" dxfId="381" priority="100">
      <formula>ISNUMBER(SEARCH(TEXT(#REF!,"ddd"),#REF!))</formula>
    </cfRule>
  </conditionalFormatting>
  <conditionalFormatting sqref="A42">
    <cfRule type="expression" dxfId="380" priority="99">
      <formula>ISNUMBER(SEARCH(TEXT(#REF!,"ddd"),#REF!))</formula>
    </cfRule>
  </conditionalFormatting>
  <conditionalFormatting sqref="A42">
    <cfRule type="expression" dxfId="379" priority="98">
      <formula>ISNUMBER(SEARCH(TEXT(#REF!,"ddd"),#REF!))</formula>
    </cfRule>
  </conditionalFormatting>
  <conditionalFormatting sqref="A40">
    <cfRule type="expression" dxfId="378" priority="97">
      <formula>ISNUMBER(SEARCH(TEXT(#REF!,"ddd"),#REF!))</formula>
    </cfRule>
  </conditionalFormatting>
  <conditionalFormatting sqref="A40">
    <cfRule type="expression" dxfId="377" priority="96">
      <formula>ISNUMBER(SEARCH(TEXT(#REF!,"ddd"),#REF!))</formula>
    </cfRule>
  </conditionalFormatting>
  <conditionalFormatting sqref="A38">
    <cfRule type="expression" dxfId="376" priority="95">
      <formula>ISNUMBER(SEARCH(TEXT(#REF!,"ddd"),#REF!))</formula>
    </cfRule>
  </conditionalFormatting>
  <conditionalFormatting sqref="A38">
    <cfRule type="expression" dxfId="375" priority="94">
      <formula>ISNUMBER(SEARCH(TEXT(#REF!,"ddd"),#REF!))</formula>
    </cfRule>
  </conditionalFormatting>
  <conditionalFormatting sqref="B32">
    <cfRule type="expression" dxfId="374" priority="93">
      <formula>ISNUMBER(SEARCH(TEXT(#REF!,"ddd"),#REF!))</formula>
    </cfRule>
  </conditionalFormatting>
  <conditionalFormatting sqref="A32">
    <cfRule type="expression" dxfId="373" priority="92">
      <formula>ISNUMBER(SEARCH(TEXT(#REF!,"ddd"),#REF!))</formula>
    </cfRule>
  </conditionalFormatting>
  <conditionalFormatting sqref="A32">
    <cfRule type="expression" dxfId="372" priority="91">
      <formula>ISNUMBER(SEARCH(TEXT(#REF!,"ddd"),#REF!))</formula>
    </cfRule>
  </conditionalFormatting>
  <conditionalFormatting sqref="D32">
    <cfRule type="expression" dxfId="371" priority="90">
      <formula>ISNUMBER(SEARCH(TEXT(#REF!,"ddd"),#REF!))</formula>
    </cfRule>
  </conditionalFormatting>
  <conditionalFormatting sqref="D32">
    <cfRule type="expression" dxfId="370" priority="89">
      <formula>ISNUMBER(SEARCH(TEXT(#REF!,"ddd"),#REF!))</formula>
    </cfRule>
  </conditionalFormatting>
  <conditionalFormatting sqref="A34">
    <cfRule type="expression" dxfId="369" priority="88">
      <formula>ISNUMBER(SEARCH(TEXT(#REF!,"ddd"),#REF!))</formula>
    </cfRule>
  </conditionalFormatting>
  <conditionalFormatting sqref="A34">
    <cfRule type="expression" dxfId="368" priority="87">
      <formula>ISNUMBER(SEARCH(TEXT(#REF!,"ddd"),#REF!))</formula>
    </cfRule>
  </conditionalFormatting>
  <conditionalFormatting sqref="A60">
    <cfRule type="expression" dxfId="367" priority="86">
      <formula>ISNUMBER(SEARCH(TEXT(#REF!,"ddd"),#REF!))</formula>
    </cfRule>
  </conditionalFormatting>
  <conditionalFormatting sqref="A62">
    <cfRule type="expression" dxfId="366" priority="85">
      <formula>ISNUMBER(SEARCH(TEXT(#REF!,"ddd"),#REF!))</formula>
    </cfRule>
  </conditionalFormatting>
  <conditionalFormatting sqref="A58">
    <cfRule type="expression" dxfId="365" priority="84">
      <formula>ISNUMBER(SEARCH(TEXT(#REF!,"ddd"),#REF!))</formula>
    </cfRule>
  </conditionalFormatting>
  <conditionalFormatting sqref="D58">
    <cfRule type="expression" dxfId="364" priority="83">
      <formula>ISNUMBER(SEARCH(TEXT(#REF!,"ddd"),#REF!))</formula>
    </cfRule>
  </conditionalFormatting>
  <conditionalFormatting sqref="D60">
    <cfRule type="expression" dxfId="363" priority="82">
      <formula>ISNUMBER(SEARCH(TEXT(#REF!,"ddd"),#REF!))</formula>
    </cfRule>
  </conditionalFormatting>
  <conditionalFormatting sqref="A64">
    <cfRule type="expression" dxfId="362" priority="81">
      <formula>ISNUMBER(SEARCH(TEXT(#REF!,"ddd"),#REF!))</formula>
    </cfRule>
  </conditionalFormatting>
  <conditionalFormatting sqref="D62">
    <cfRule type="expression" dxfId="361" priority="80">
      <formula>ISNUMBER(SEARCH(TEXT(#REF!,"ddd"),#REF!))</formula>
    </cfRule>
  </conditionalFormatting>
  <conditionalFormatting sqref="D64">
    <cfRule type="expression" dxfId="360" priority="79">
      <formula>ISNUMBER(SEARCH(TEXT(#REF!,"ddd"),#REF!))</formula>
    </cfRule>
  </conditionalFormatting>
  <conditionalFormatting sqref="A52">
    <cfRule type="expression" dxfId="359" priority="78">
      <formula>ISNUMBER(SEARCH(TEXT(#REF!,"ddd"),#REF!))</formula>
    </cfRule>
  </conditionalFormatting>
  <conditionalFormatting sqref="D52">
    <cfRule type="expression" dxfId="358" priority="77">
      <formula>ISNUMBER(SEARCH(TEXT(#REF!,"ddd"),#REF!))</formula>
    </cfRule>
  </conditionalFormatting>
  <conditionalFormatting sqref="A54">
    <cfRule type="expression" dxfId="357" priority="76">
      <formula>ISNUMBER(SEARCH(TEXT(#REF!,"ddd"),#REF!))</formula>
    </cfRule>
  </conditionalFormatting>
  <conditionalFormatting sqref="A56">
    <cfRule type="expression" dxfId="356" priority="75">
      <formula>ISNUMBER(SEARCH(TEXT(#REF!,"ddd"),#REF!))</formula>
    </cfRule>
  </conditionalFormatting>
  <conditionalFormatting sqref="D54">
    <cfRule type="expression" dxfId="355" priority="74">
      <formula>ISNUMBER(SEARCH(TEXT(#REF!,"ddd"),#REF!))</formula>
    </cfRule>
  </conditionalFormatting>
  <conditionalFormatting sqref="D56">
    <cfRule type="expression" dxfId="354" priority="73">
      <formula>ISNUMBER(SEARCH(TEXT(#REF!,"ddd"),#REF!))</formula>
    </cfRule>
  </conditionalFormatting>
  <conditionalFormatting sqref="A52">
    <cfRule type="expression" dxfId="353" priority="72">
      <formula>ISNUMBER(SEARCH(TEXT(#REF!,"ddd"),#REF!))</formula>
    </cfRule>
  </conditionalFormatting>
  <conditionalFormatting sqref="D52">
    <cfRule type="expression" dxfId="352" priority="71">
      <formula>ISNUMBER(SEARCH(TEXT(#REF!,"ddd"),#REF!))</formula>
    </cfRule>
  </conditionalFormatting>
  <conditionalFormatting sqref="A54">
    <cfRule type="expression" dxfId="351" priority="70">
      <formula>ISNUMBER(SEARCH(TEXT(#REF!,"ddd"),#REF!))</formula>
    </cfRule>
  </conditionalFormatting>
  <conditionalFormatting sqref="D54">
    <cfRule type="expression" dxfId="350" priority="69">
      <formula>ISNUMBER(SEARCH(TEXT(#REF!,"ddd"),#REF!))</formula>
    </cfRule>
  </conditionalFormatting>
  <conditionalFormatting sqref="A56">
    <cfRule type="expression" dxfId="349" priority="68">
      <formula>ISNUMBER(SEARCH(TEXT(#REF!,"ddd"),#REF!))</formula>
    </cfRule>
  </conditionalFormatting>
  <conditionalFormatting sqref="D56">
    <cfRule type="expression" dxfId="348" priority="67">
      <formula>ISNUMBER(SEARCH(TEXT(#REF!,"ddd"),#REF!))</formula>
    </cfRule>
  </conditionalFormatting>
  <conditionalFormatting sqref="A58">
    <cfRule type="expression" dxfId="347" priority="66">
      <formula>ISNUMBER(SEARCH(TEXT(#REF!,"ddd"),#REF!))</formula>
    </cfRule>
  </conditionalFormatting>
  <conditionalFormatting sqref="A60">
    <cfRule type="expression" dxfId="346" priority="65">
      <formula>ISNUMBER(SEARCH(TEXT(#REF!,"ddd"),#REF!))</formula>
    </cfRule>
  </conditionalFormatting>
  <conditionalFormatting sqref="D58">
    <cfRule type="expression" dxfId="345" priority="64">
      <formula>ISNUMBER(SEARCH(TEXT(#REF!,"ddd"),#REF!))</formula>
    </cfRule>
  </conditionalFormatting>
  <conditionalFormatting sqref="D60">
    <cfRule type="expression" dxfId="344" priority="63">
      <formula>ISNUMBER(SEARCH(TEXT(#REF!,"ddd"),#REF!))</formula>
    </cfRule>
  </conditionalFormatting>
  <conditionalFormatting sqref="A64">
    <cfRule type="expression" dxfId="343" priority="62">
      <formula>ISNUMBER(SEARCH(TEXT(#REF!,"ddd"),#REF!))</formula>
    </cfRule>
  </conditionalFormatting>
  <conditionalFormatting sqref="A62">
    <cfRule type="expression" dxfId="342" priority="61">
      <formula>ISNUMBER(SEARCH(TEXT(#REF!,"ddd"),#REF!))</formula>
    </cfRule>
  </conditionalFormatting>
  <conditionalFormatting sqref="D62">
    <cfRule type="expression" dxfId="341" priority="60">
      <formula>ISNUMBER(SEARCH(TEXT(#REF!,"ddd"),#REF!))</formula>
    </cfRule>
  </conditionalFormatting>
  <conditionalFormatting sqref="D64">
    <cfRule type="expression" dxfId="340" priority="59">
      <formula>ISNUMBER(SEARCH(TEXT(#REF!,"ddd"),#REF!))</formula>
    </cfRule>
  </conditionalFormatting>
  <conditionalFormatting sqref="A52">
    <cfRule type="expression" dxfId="339" priority="58">
      <formula>ISNUMBER(SEARCH(TEXT(#REF!,"ddd"),#REF!))</formula>
    </cfRule>
  </conditionalFormatting>
  <conditionalFormatting sqref="D52">
    <cfRule type="expression" dxfId="338" priority="57">
      <formula>ISNUMBER(SEARCH(TEXT(#REF!,"ddd"),#REF!))</formula>
    </cfRule>
  </conditionalFormatting>
  <conditionalFormatting sqref="A54">
    <cfRule type="expression" dxfId="337" priority="56">
      <formula>ISNUMBER(SEARCH(TEXT(#REF!,"ddd"),#REF!))</formula>
    </cfRule>
  </conditionalFormatting>
  <conditionalFormatting sqref="D54">
    <cfRule type="expression" dxfId="336" priority="55">
      <formula>ISNUMBER(SEARCH(TEXT(#REF!,"ddd"),#REF!))</formula>
    </cfRule>
  </conditionalFormatting>
  <conditionalFormatting sqref="A56">
    <cfRule type="expression" dxfId="335" priority="54">
      <formula>ISNUMBER(SEARCH(TEXT(#REF!,"ddd"),#REF!))</formula>
    </cfRule>
  </conditionalFormatting>
  <conditionalFormatting sqref="D56">
    <cfRule type="expression" dxfId="334" priority="53">
      <formula>ISNUMBER(SEARCH(TEXT(#REF!,"ddd"),#REF!))</formula>
    </cfRule>
  </conditionalFormatting>
  <conditionalFormatting sqref="A58">
    <cfRule type="expression" dxfId="333" priority="52">
      <formula>ISNUMBER(SEARCH(TEXT(#REF!,"ddd"),#REF!))</formula>
    </cfRule>
  </conditionalFormatting>
  <conditionalFormatting sqref="A60">
    <cfRule type="expression" dxfId="332" priority="51">
      <formula>ISNUMBER(SEARCH(TEXT(#REF!,"ddd"),#REF!))</formula>
    </cfRule>
  </conditionalFormatting>
  <conditionalFormatting sqref="D58">
    <cfRule type="expression" dxfId="331" priority="50">
      <formula>ISNUMBER(SEARCH(TEXT(#REF!,"ddd"),#REF!))</formula>
    </cfRule>
  </conditionalFormatting>
  <conditionalFormatting sqref="D60">
    <cfRule type="expression" dxfId="330" priority="49">
      <formula>ISNUMBER(SEARCH(TEXT(#REF!,"ddd"),#REF!))</formula>
    </cfRule>
  </conditionalFormatting>
  <conditionalFormatting sqref="A52">
    <cfRule type="expression" dxfId="329" priority="48">
      <formula>ISNUMBER(SEARCH(TEXT(#REF!,"ddd"),#REF!))</formula>
    </cfRule>
  </conditionalFormatting>
  <conditionalFormatting sqref="D52">
    <cfRule type="expression" dxfId="328" priority="47">
      <formula>ISNUMBER(SEARCH(TEXT(#REF!,"ddd"),#REF!))</formula>
    </cfRule>
  </conditionalFormatting>
  <conditionalFormatting sqref="A54">
    <cfRule type="expression" dxfId="327" priority="46">
      <formula>ISNUMBER(SEARCH(TEXT(#REF!,"ddd"),#REF!))</formula>
    </cfRule>
  </conditionalFormatting>
  <conditionalFormatting sqref="D54">
    <cfRule type="expression" dxfId="326" priority="45">
      <formula>ISNUMBER(SEARCH(TEXT(#REF!,"ddd"),#REF!))</formula>
    </cfRule>
  </conditionalFormatting>
  <conditionalFormatting sqref="A56">
    <cfRule type="expression" dxfId="325" priority="44">
      <formula>ISNUMBER(SEARCH(TEXT(#REF!,"ddd"),#REF!))</formula>
    </cfRule>
  </conditionalFormatting>
  <conditionalFormatting sqref="D56">
    <cfRule type="expression" dxfId="324" priority="43">
      <formula>ISNUMBER(SEARCH(TEXT(#REF!,"ddd"),#REF!))</formula>
    </cfRule>
  </conditionalFormatting>
  <conditionalFormatting sqref="A58">
    <cfRule type="expression" dxfId="323" priority="42">
      <formula>ISNUMBER(SEARCH(TEXT(#REF!,"ddd"),#REF!))</formula>
    </cfRule>
  </conditionalFormatting>
  <conditionalFormatting sqref="D58">
    <cfRule type="expression" dxfId="322" priority="41">
      <formula>ISNUMBER(SEARCH(TEXT(#REF!,"ddd"),#REF!))</formula>
    </cfRule>
  </conditionalFormatting>
  <conditionalFormatting sqref="A60">
    <cfRule type="expression" dxfId="321" priority="40">
      <formula>ISNUMBER(SEARCH(TEXT(#REF!,"ddd"),#REF!))</formula>
    </cfRule>
  </conditionalFormatting>
  <conditionalFormatting sqref="D60">
    <cfRule type="expression" dxfId="320" priority="39">
      <formula>ISNUMBER(SEARCH(TEXT(#REF!,"ddd"),#REF!))</formula>
    </cfRule>
  </conditionalFormatting>
  <conditionalFormatting sqref="A62">
    <cfRule type="expression" dxfId="319" priority="38">
      <formula>ISNUMBER(SEARCH(TEXT(#REF!,"ddd"),#REF!))</formula>
    </cfRule>
  </conditionalFormatting>
  <conditionalFormatting sqref="A64">
    <cfRule type="expression" dxfId="318" priority="37">
      <formula>ISNUMBER(SEARCH(TEXT(#REF!,"ddd"),#REF!))</formula>
    </cfRule>
  </conditionalFormatting>
  <conditionalFormatting sqref="D62">
    <cfRule type="expression" dxfId="317" priority="36">
      <formula>ISNUMBER(SEARCH(TEXT(#REF!,"ddd"),#REF!))</formula>
    </cfRule>
  </conditionalFormatting>
  <conditionalFormatting sqref="D64">
    <cfRule type="expression" dxfId="316" priority="35">
      <formula>ISNUMBER(SEARCH(TEXT(#REF!,"ddd"),#REF!))</formula>
    </cfRule>
  </conditionalFormatting>
  <conditionalFormatting sqref="A50">
    <cfRule type="expression" dxfId="315" priority="34">
      <formula>ISNUMBER(SEARCH(TEXT(#REF!,"ddd"),#REF!))</formula>
    </cfRule>
  </conditionalFormatting>
  <conditionalFormatting sqref="A50">
    <cfRule type="expression" dxfId="314" priority="33">
      <formula>ISNUMBER(SEARCH(TEXT(#REF!,"ddd"),#REF!))</formula>
    </cfRule>
  </conditionalFormatting>
  <conditionalFormatting sqref="A50">
    <cfRule type="expression" dxfId="313" priority="32">
      <formula>ISNUMBER(SEARCH(TEXT(#REF!,"ddd"),#REF!))</formula>
    </cfRule>
  </conditionalFormatting>
  <conditionalFormatting sqref="A50">
    <cfRule type="expression" dxfId="312" priority="31">
      <formula>ISNUMBER(SEARCH(TEXT(#REF!,"ddd"),#REF!))</formula>
    </cfRule>
  </conditionalFormatting>
  <conditionalFormatting sqref="A50">
    <cfRule type="expression" dxfId="311" priority="30">
      <formula>ISNUMBER(SEARCH(TEXT(#REF!,"ddd"),#REF!))</formula>
    </cfRule>
  </conditionalFormatting>
  <conditionalFormatting sqref="A50">
    <cfRule type="expression" dxfId="310" priority="29">
      <formula>ISNUMBER(SEARCH(TEXT(#REF!,"ddd"),#REF!))</formula>
    </cfRule>
  </conditionalFormatting>
  <conditionalFormatting sqref="A50">
    <cfRule type="expression" dxfId="309" priority="28">
      <formula>ISNUMBER(SEARCH(TEXT(#REF!,"ddd"),#REF!))</formula>
    </cfRule>
  </conditionalFormatting>
  <conditionalFormatting sqref="A50">
    <cfRule type="expression" dxfId="308" priority="27">
      <formula>ISNUMBER(SEARCH(TEXT(#REF!,"ddd"),#REF!))</formula>
    </cfRule>
  </conditionalFormatting>
  <conditionalFormatting sqref="D50">
    <cfRule type="expression" dxfId="307" priority="26">
      <formula>ISNUMBER(SEARCH(TEXT(#REF!,"ddd"),#REF!))</formula>
    </cfRule>
  </conditionalFormatting>
  <conditionalFormatting sqref="D50">
    <cfRule type="expression" dxfId="306" priority="25">
      <formula>ISNUMBER(SEARCH(TEXT(#REF!,"ddd"),#REF!))</formula>
    </cfRule>
  </conditionalFormatting>
  <conditionalFormatting sqref="D50">
    <cfRule type="expression" dxfId="305" priority="24">
      <formula>ISNUMBER(SEARCH(TEXT(#REF!,"ddd"),#REF!))</formula>
    </cfRule>
  </conditionalFormatting>
  <conditionalFormatting sqref="D50">
    <cfRule type="expression" dxfId="304" priority="23">
      <formula>ISNUMBER(SEARCH(TEXT(#REF!,"ddd"),#REF!))</formula>
    </cfRule>
  </conditionalFormatting>
  <conditionalFormatting sqref="A66">
    <cfRule type="expression" dxfId="303" priority="22">
      <formula>ISNUMBER(SEARCH(TEXT(#REF!,"ddd"),#REF!))</formula>
    </cfRule>
  </conditionalFormatting>
  <conditionalFormatting sqref="A66">
    <cfRule type="expression" dxfId="302" priority="21">
      <formula>ISNUMBER(SEARCH(TEXT(#REF!,"ddd"),#REF!))</formula>
    </cfRule>
  </conditionalFormatting>
  <conditionalFormatting sqref="A66">
    <cfRule type="expression" dxfId="301" priority="20">
      <formula>ISNUMBER(SEARCH(TEXT(#REF!,"ddd"),#REF!))</formula>
    </cfRule>
  </conditionalFormatting>
  <conditionalFormatting sqref="A66">
    <cfRule type="expression" dxfId="300" priority="19">
      <formula>ISNUMBER(SEARCH(TEXT(#REF!,"ddd"),#REF!))</formula>
    </cfRule>
  </conditionalFormatting>
  <conditionalFormatting sqref="D66">
    <cfRule type="expression" dxfId="299" priority="18">
      <formula>ISNUMBER(SEARCH(TEXT(#REF!,"ddd"),#REF!))</formula>
    </cfRule>
  </conditionalFormatting>
  <conditionalFormatting sqref="D66">
    <cfRule type="expression" dxfId="298" priority="17">
      <formula>ISNUMBER(SEARCH(TEXT(#REF!,"ddd"),#REF!))</formula>
    </cfRule>
  </conditionalFormatting>
  <conditionalFormatting sqref="D66">
    <cfRule type="expression" dxfId="297" priority="16">
      <formula>ISNUMBER(SEARCH(TEXT(#REF!,"ddd"),#REF!))</formula>
    </cfRule>
  </conditionalFormatting>
  <conditionalFormatting sqref="D66">
    <cfRule type="expression" dxfId="296" priority="15">
      <formula>ISNUMBER(SEARCH(TEXT(#REF!,"ddd"),#REF!))</formula>
    </cfRule>
  </conditionalFormatting>
  <conditionalFormatting sqref="D34">
    <cfRule type="expression" dxfId="295" priority="14">
      <formula>ISNUMBER(SEARCH(TEXT(#REF!,"ddd"),#REF!))</formula>
    </cfRule>
  </conditionalFormatting>
  <conditionalFormatting sqref="D34">
    <cfRule type="expression" dxfId="294" priority="13">
      <formula>ISNUMBER(SEARCH(TEXT(#REF!,"ddd"),#REF!))</formula>
    </cfRule>
  </conditionalFormatting>
  <conditionalFormatting sqref="A68">
    <cfRule type="expression" dxfId="293" priority="12">
      <formula>ISNUMBER(SEARCH(TEXT(#REF!,"ddd"),#REF!))</formula>
    </cfRule>
  </conditionalFormatting>
  <conditionalFormatting sqref="A68">
    <cfRule type="expression" dxfId="292" priority="11">
      <formula>ISNUMBER(SEARCH(TEXT(#REF!,"ddd"),#REF!))</formula>
    </cfRule>
  </conditionalFormatting>
  <conditionalFormatting sqref="A68">
    <cfRule type="expression" dxfId="291" priority="10">
      <formula>ISNUMBER(SEARCH(TEXT(#REF!,"ddd"),#REF!))</formula>
    </cfRule>
  </conditionalFormatting>
  <conditionalFormatting sqref="A68">
    <cfRule type="expression" dxfId="290" priority="9">
      <formula>ISNUMBER(SEARCH(TEXT(#REF!,"ddd"),#REF!))</formula>
    </cfRule>
  </conditionalFormatting>
  <conditionalFormatting sqref="D68">
    <cfRule type="expression" dxfId="289" priority="8">
      <formula>ISNUMBER(SEARCH(TEXT(#REF!,"ddd"),#REF!))</formula>
    </cfRule>
  </conditionalFormatting>
  <conditionalFormatting sqref="D68">
    <cfRule type="expression" dxfId="288" priority="7">
      <formula>ISNUMBER(SEARCH(TEXT(#REF!,"ddd"),#REF!))</formula>
    </cfRule>
  </conditionalFormatting>
  <conditionalFormatting sqref="D68">
    <cfRule type="expression" dxfId="287" priority="6">
      <formula>ISNUMBER(SEARCH(TEXT(#REF!,"ddd"),#REF!))</formula>
    </cfRule>
  </conditionalFormatting>
  <conditionalFormatting sqref="D68">
    <cfRule type="expression" dxfId="286" priority="5">
      <formula>ISNUMBER(SEARCH(TEXT(#REF!,"ddd"),#REF!))</formula>
    </cfRule>
  </conditionalFormatting>
  <conditionalFormatting sqref="D70">
    <cfRule type="expression" dxfId="285" priority="4">
      <formula>ISNUMBER(SEARCH(TEXT(#REF!,"ddd"),#REF!))</formula>
    </cfRule>
  </conditionalFormatting>
  <conditionalFormatting sqref="D70">
    <cfRule type="expression" dxfId="284" priority="3">
      <formula>ISNUMBER(SEARCH(TEXT(#REF!,"ddd"),#REF!))</formula>
    </cfRule>
  </conditionalFormatting>
  <conditionalFormatting sqref="D70">
    <cfRule type="expression" dxfId="283" priority="2">
      <formula>ISNUMBER(SEARCH(TEXT(#REF!,"ddd"),#REF!))</formula>
    </cfRule>
  </conditionalFormatting>
  <conditionalFormatting sqref="D70">
    <cfRule type="expression" dxfId="282" priority="1">
      <formula>ISNUMBER(SEARCH(TEXT(#REF!,"ddd"),#REF!))</formula>
    </cfRule>
  </conditionalFormatting>
  <dataValidations count="2">
    <dataValidation type="custom" allowBlank="1" showInputMessage="1" showErrorMessage="1" sqref="C10 C16 C18 C34 C38" xr:uid="{084DC065-0812-433C-859B-3A9A08097248}">
      <formula1>AND($C10&lt;=1,ISNUMBER($C10),($C10&gt;=$B10))</formula1>
    </dataValidation>
    <dataValidation type="custom" allowBlank="1" showInputMessage="1" showErrorMessage="1" sqref="B10 B34 B20:C20 B18 B12:C14 B22:C22 B16 B30 B38" xr:uid="{8B52E0C2-FAF8-4A34-9096-6394EC37430B}">
      <formula1>AND($B10&lt;=1,ISNUMBER($B10))</formula1>
    </dataValidation>
  </dataValidations>
  <pageMargins left="0.11811023622047245" right="0" top="0.11811023622047245" bottom="0.15748031496062992" header="0" footer="0"/>
  <pageSetup paperSize="9" scale="49" fitToHeight="0" orientation="portrait" horizontalDpi="4294967293" verticalDpi="4294967293"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952E7-AFF3-4B89-B7BD-4474DEFEE2DE}">
  <sheetPr codeName="Sheet28">
    <pageSetUpPr fitToPage="1"/>
  </sheetPr>
  <dimension ref="A1:M51"/>
  <sheetViews>
    <sheetView showGridLines="0" zoomScale="85" zoomScaleNormal="85" workbookViewId="0">
      <selection activeCell="F4" sqref="F4"/>
    </sheetView>
  </sheetViews>
  <sheetFormatPr baseColWidth="10" defaultColWidth="9" defaultRowHeight="12.75" x14ac:dyDescent="0.2"/>
  <cols>
    <col min="1" max="1" width="15.5" customWidth="1"/>
    <col min="2" max="2" width="8.875" customWidth="1"/>
    <col min="3" max="3" width="11.75" customWidth="1"/>
    <col min="4" max="4" width="11.5" customWidth="1"/>
    <col min="5" max="5" width="22.125" bestFit="1" customWidth="1"/>
    <col min="6" max="7" width="18" bestFit="1" customWidth="1"/>
    <col min="8" max="8" width="8.875" customWidth="1"/>
    <col min="9" max="9" width="11.625" customWidth="1"/>
    <col min="10" max="10" width="9.5" customWidth="1"/>
    <col min="11" max="11" width="12.375" customWidth="1"/>
    <col min="12" max="12" width="17.875" bestFit="1" customWidth="1"/>
    <col min="13" max="13" width="19.25" bestFit="1" customWidth="1"/>
  </cols>
  <sheetData>
    <row r="1" spans="1:13" ht="27" thickTop="1" x14ac:dyDescent="0.4">
      <c r="A1" s="301" t="s">
        <v>20</v>
      </c>
      <c r="B1" s="301"/>
      <c r="C1" s="301"/>
      <c r="D1" s="301"/>
      <c r="E1" s="55">
        <f>WEEKNUM(A10)</f>
        <v>20</v>
      </c>
      <c r="F1" s="83"/>
      <c r="G1" s="57"/>
      <c r="H1" s="84"/>
      <c r="J1" s="1"/>
    </row>
    <row r="2" spans="1:13" s="1" customFormat="1" ht="14.25" customHeight="1" x14ac:dyDescent="0.25">
      <c r="A2" s="49" t="s">
        <v>1</v>
      </c>
      <c r="B2" s="49"/>
      <c r="C2" s="49" t="s">
        <v>2</v>
      </c>
      <c r="D2" s="49"/>
      <c r="E2" s="85" t="s">
        <v>3</v>
      </c>
      <c r="F2" s="54" t="s">
        <v>4</v>
      </c>
      <c r="G2" s="54" t="s">
        <v>5</v>
      </c>
      <c r="H2" s="20"/>
      <c r="I2" s="86"/>
      <c r="J2" s="87"/>
      <c r="M2" s="1" t="s">
        <v>21</v>
      </c>
    </row>
    <row r="3" spans="1:13" ht="16.5" thickBot="1" x14ac:dyDescent="0.25">
      <c r="A3" s="136">
        <f>MIN(A10:A84)</f>
        <v>43962</v>
      </c>
      <c r="B3" s="202"/>
      <c r="C3" s="136">
        <f>MAXA(A10:A84)</f>
        <v>43968</v>
      </c>
      <c r="D3" s="188"/>
      <c r="E3" s="88" t="s">
        <v>6</v>
      </c>
      <c r="F3" s="177">
        <f>Sumcolor(E3,D10:D66)</f>
        <v>0</v>
      </c>
      <c r="G3" s="177">
        <f>SUM(Først:Sist!F3)</f>
        <v>1.0381944444444446</v>
      </c>
      <c r="H3" s="89"/>
      <c r="I3" s="90"/>
      <c r="J3" s="90"/>
      <c r="M3" t="s">
        <v>22</v>
      </c>
    </row>
    <row r="4" spans="1:13" ht="15" customHeight="1" x14ac:dyDescent="0.2">
      <c r="A4" s="391" t="s">
        <v>23</v>
      </c>
      <c r="B4" s="194"/>
      <c r="C4" s="293" t="s">
        <v>24</v>
      </c>
      <c r="D4" s="203"/>
      <c r="E4" s="91" t="s">
        <v>9</v>
      </c>
      <c r="F4" s="177">
        <f>Sumcolor(E4,D10:D66)</f>
        <v>0.25694444444444442</v>
      </c>
      <c r="G4" s="177">
        <f>SUM(Først:Sist!F4)</f>
        <v>8.03125</v>
      </c>
      <c r="H4" s="89"/>
      <c r="I4" s="90"/>
      <c r="J4" s="309"/>
    </row>
    <row r="5" spans="1:13" ht="15.75" x14ac:dyDescent="0.2">
      <c r="A5" s="302"/>
      <c r="B5" s="203"/>
      <c r="C5" s="302"/>
      <c r="D5" s="203"/>
      <c r="E5" s="159" t="s">
        <v>10</v>
      </c>
      <c r="F5" s="177">
        <f>Sumcolor(E5,D10:D66)</f>
        <v>0.14583333333333326</v>
      </c>
      <c r="G5" s="177">
        <f>SUM(Først:Sist!F5)</f>
        <v>1.8090277777777768</v>
      </c>
      <c r="H5" s="89"/>
      <c r="I5" s="90"/>
      <c r="J5" s="309"/>
      <c r="M5" t="s">
        <v>25</v>
      </c>
    </row>
    <row r="6" spans="1:13" ht="18.75" customHeight="1" thickBot="1" x14ac:dyDescent="0.25">
      <c r="A6" s="182">
        <f>SUM(D10:D84)</f>
        <v>0.48263888888888878</v>
      </c>
      <c r="B6" s="51"/>
      <c r="C6" s="82">
        <f>SUM(Først:Sist!A6)</f>
        <v>12.965277777777779</v>
      </c>
      <c r="D6" s="52"/>
      <c r="E6" s="92" t="s">
        <v>11</v>
      </c>
      <c r="F6" s="178">
        <f>Sumcolor(E6,D10:D66)</f>
        <v>7.9861111111111105E-2</v>
      </c>
      <c r="G6" s="178">
        <f>SUM(Først:Sist!F6)</f>
        <v>1.9895833333333335</v>
      </c>
      <c r="H6" s="89"/>
      <c r="I6" s="90"/>
      <c r="J6" s="90"/>
      <c r="M6" t="s">
        <v>26</v>
      </c>
    </row>
    <row r="7" spans="1:13" ht="12.75" customHeight="1" x14ac:dyDescent="0.2">
      <c r="A7" s="19"/>
      <c r="B7" s="23"/>
      <c r="C7" s="24"/>
      <c r="D7" s="93"/>
      <c r="E7" s="23"/>
      <c r="F7" s="271">
        <f>SUM(F3:F6)</f>
        <v>0.48263888888888878</v>
      </c>
      <c r="G7" s="25"/>
      <c r="H7" s="25"/>
    </row>
    <row r="8" spans="1:13" x14ac:dyDescent="0.2">
      <c r="A8" s="23"/>
      <c r="B8" s="25"/>
      <c r="C8" s="93"/>
      <c r="D8" s="25"/>
      <c r="E8" s="23"/>
      <c r="F8" s="23"/>
      <c r="G8" s="25"/>
      <c r="H8" s="25"/>
      <c r="M8" t="s">
        <v>27</v>
      </c>
    </row>
    <row r="9" spans="1:13" ht="16.5" thickBot="1" x14ac:dyDescent="0.3">
      <c r="A9" s="49" t="s">
        <v>12</v>
      </c>
      <c r="B9" s="49" t="s">
        <v>13</v>
      </c>
      <c r="C9" s="49" t="s">
        <v>14</v>
      </c>
      <c r="D9" s="49" t="s">
        <v>15</v>
      </c>
      <c r="E9" s="107" t="s">
        <v>16</v>
      </c>
      <c r="F9" s="102"/>
      <c r="G9" s="166" t="s">
        <v>17</v>
      </c>
      <c r="H9" s="25"/>
      <c r="M9" t="s">
        <v>28</v>
      </c>
    </row>
    <row r="10" spans="1:13" ht="15.75" customHeight="1" x14ac:dyDescent="0.2">
      <c r="A10" s="132">
        <f>DATE(2020,5,11)</f>
        <v>43962</v>
      </c>
      <c r="B10" s="120">
        <v>0</v>
      </c>
      <c r="C10" s="120">
        <v>1.7361111111111112E-2</v>
      </c>
      <c r="D10" s="120">
        <f>(C10-B10)</f>
        <v>1.7361111111111112E-2</v>
      </c>
      <c r="E10" s="396" t="s">
        <v>270</v>
      </c>
      <c r="F10" s="334"/>
      <c r="G10" s="183"/>
      <c r="H10" s="173"/>
    </row>
    <row r="11" spans="1:13" ht="15.75" thickBot="1" x14ac:dyDescent="0.3">
      <c r="A11" s="265"/>
      <c r="B11" s="251"/>
      <c r="C11" s="251"/>
      <c r="D11" s="251"/>
      <c r="E11" s="335"/>
      <c r="F11" s="336"/>
      <c r="G11" s="184"/>
      <c r="H11" s="25"/>
      <c r="K11" s="257"/>
      <c r="M11" t="s">
        <v>30</v>
      </c>
    </row>
    <row r="12" spans="1:13" ht="15.75" x14ac:dyDescent="0.25">
      <c r="A12" s="125">
        <f>DATE(2020,5,12)</f>
        <v>43963</v>
      </c>
      <c r="B12" s="160">
        <v>0.54166666666666663</v>
      </c>
      <c r="C12" s="163">
        <v>0.58333333333333337</v>
      </c>
      <c r="D12" s="160">
        <f>(C12-B12)</f>
        <v>4.1666666666666741E-2</v>
      </c>
      <c r="E12" s="319" t="s">
        <v>78</v>
      </c>
      <c r="F12" s="320"/>
      <c r="G12" s="185"/>
      <c r="M12" t="s">
        <v>32</v>
      </c>
    </row>
    <row r="13" spans="1:13" ht="16.5" thickBot="1" x14ac:dyDescent="0.3">
      <c r="A13" s="229"/>
      <c r="B13" s="230"/>
      <c r="C13" s="230"/>
      <c r="D13" s="231"/>
      <c r="E13" s="321"/>
      <c r="F13" s="322"/>
      <c r="G13" s="217"/>
    </row>
    <row r="14" spans="1:13" ht="15.75" x14ac:dyDescent="0.25">
      <c r="A14" s="125">
        <f>DATE(2020,5,12)</f>
        <v>43963</v>
      </c>
      <c r="B14" s="163">
        <v>0.58333333333333337</v>
      </c>
      <c r="C14" s="233">
        <v>0.60416666666666663</v>
      </c>
      <c r="D14" s="160">
        <f>(C14-B14)</f>
        <v>2.0833333333333259E-2</v>
      </c>
      <c r="E14" s="319" t="s">
        <v>271</v>
      </c>
      <c r="F14" s="320"/>
      <c r="G14" s="184"/>
    </row>
    <row r="15" spans="1:13" ht="15.75" thickBot="1" x14ac:dyDescent="0.3">
      <c r="A15" s="235"/>
      <c r="B15" s="161"/>
      <c r="C15" s="161"/>
      <c r="D15" s="161"/>
      <c r="E15" s="321"/>
      <c r="F15" s="322"/>
      <c r="G15" s="186"/>
      <c r="H15" s="5"/>
    </row>
    <row r="16" spans="1:13" ht="15.75" x14ac:dyDescent="0.25">
      <c r="A16" s="132">
        <f>DATE(2020,5,12)</f>
        <v>43963</v>
      </c>
      <c r="B16" s="249">
        <v>0.60416666666666663</v>
      </c>
      <c r="C16" s="120">
        <v>0.61805555555555558</v>
      </c>
      <c r="D16" s="120">
        <f>(C16-B16)</f>
        <v>1.3888888888888951E-2</v>
      </c>
      <c r="E16" s="396" t="s">
        <v>272</v>
      </c>
      <c r="F16" s="334"/>
      <c r="G16" s="187"/>
      <c r="H16" s="81"/>
      <c r="I16" s="5"/>
    </row>
    <row r="17" spans="1:12" ht="23.25" customHeight="1" thickBot="1" x14ac:dyDescent="0.25">
      <c r="A17" s="207"/>
      <c r="B17" s="208"/>
      <c r="C17" s="208"/>
      <c r="D17" s="208"/>
      <c r="E17" s="335"/>
      <c r="F17" s="336"/>
      <c r="G17" s="184"/>
      <c r="I17" s="5"/>
    </row>
    <row r="18" spans="1:12" ht="15.75" x14ac:dyDescent="0.2">
      <c r="A18" s="132">
        <f>DATE(2020,5,12)</f>
        <v>43963</v>
      </c>
      <c r="B18" s="120">
        <v>0.61805555555555558</v>
      </c>
      <c r="C18" s="120">
        <v>0.66666666666666663</v>
      </c>
      <c r="D18" s="120">
        <f>(C18-B18)</f>
        <v>4.8611111111111049E-2</v>
      </c>
      <c r="E18" s="396" t="s">
        <v>273</v>
      </c>
      <c r="F18" s="334"/>
      <c r="G18" s="185"/>
      <c r="I18" s="5"/>
    </row>
    <row r="19" spans="1:12" ht="15.75" customHeight="1" thickBot="1" x14ac:dyDescent="0.3">
      <c r="A19" s="265"/>
      <c r="B19" s="251"/>
      <c r="C19" s="251"/>
      <c r="D19" s="251"/>
      <c r="E19" s="335"/>
      <c r="F19" s="336"/>
      <c r="G19" s="184"/>
      <c r="I19" s="5"/>
    </row>
    <row r="20" spans="1:12" ht="15.75" x14ac:dyDescent="0.2">
      <c r="A20" s="134">
        <f>DATE(2020,5,14)</f>
        <v>43965</v>
      </c>
      <c r="B20" s="123">
        <v>0.5625</v>
      </c>
      <c r="C20" s="123">
        <v>0.67013888888888884</v>
      </c>
      <c r="D20" s="123">
        <f>(C20-B20)</f>
        <v>0.10763888888888884</v>
      </c>
      <c r="E20" s="392" t="s">
        <v>275</v>
      </c>
      <c r="F20" s="393"/>
      <c r="G20" s="185"/>
    </row>
    <row r="21" spans="1:12" ht="15.75" thickBot="1" x14ac:dyDescent="0.3">
      <c r="A21" s="137"/>
      <c r="B21" s="138"/>
      <c r="C21" s="138"/>
      <c r="D21" s="138"/>
      <c r="E21" s="394"/>
      <c r="F21" s="395"/>
      <c r="G21" s="186"/>
      <c r="I21" s="268"/>
      <c r="J21" s="257"/>
      <c r="K21" s="268"/>
      <c r="L21" s="257"/>
    </row>
    <row r="22" spans="1:12" ht="15.75" customHeight="1" x14ac:dyDescent="0.2">
      <c r="A22" s="134">
        <f>DATE(2020,5,14)</f>
        <v>43965</v>
      </c>
      <c r="B22" s="123">
        <v>0.74652777777777779</v>
      </c>
      <c r="C22" s="123">
        <v>0.83333333333333337</v>
      </c>
      <c r="D22" s="123">
        <f>(C22-B22)</f>
        <v>8.680555555555558E-2</v>
      </c>
      <c r="E22" s="392" t="s">
        <v>275</v>
      </c>
      <c r="F22" s="393"/>
      <c r="G22" s="184"/>
      <c r="I22" s="404"/>
      <c r="J22" s="405"/>
      <c r="K22" s="406"/>
      <c r="L22" s="269"/>
    </row>
    <row r="23" spans="1:12" ht="15.75" customHeight="1" thickBot="1" x14ac:dyDescent="0.3">
      <c r="A23" s="137"/>
      <c r="B23" s="138"/>
      <c r="C23" s="138"/>
      <c r="D23" s="138"/>
      <c r="E23" s="394"/>
      <c r="F23" s="395"/>
      <c r="G23" s="186"/>
      <c r="I23" s="405"/>
      <c r="J23" s="405"/>
      <c r="K23" s="406"/>
      <c r="L23" s="269"/>
    </row>
    <row r="24" spans="1:12" ht="15.75" x14ac:dyDescent="0.2">
      <c r="A24" s="125">
        <f>DATE(2020,5,17)</f>
        <v>43968</v>
      </c>
      <c r="B24" s="164">
        <v>0.58333333333333337</v>
      </c>
      <c r="C24" s="164">
        <v>0.66666666666666663</v>
      </c>
      <c r="D24" s="160">
        <f>(C24-B24)</f>
        <v>8.3333333333333259E-2</v>
      </c>
      <c r="E24" s="319" t="s">
        <v>274</v>
      </c>
      <c r="F24" s="320"/>
      <c r="G24" s="184"/>
      <c r="H24" s="218"/>
      <c r="I24" s="405"/>
      <c r="J24" s="405"/>
      <c r="K24" s="406"/>
      <c r="L24" s="269"/>
    </row>
    <row r="25" spans="1:12" ht="16.5" thickBot="1" x14ac:dyDescent="0.3">
      <c r="A25" s="131"/>
      <c r="B25" s="165"/>
      <c r="C25" s="165"/>
      <c r="D25" s="165"/>
      <c r="E25" s="321"/>
      <c r="F25" s="322"/>
      <c r="G25" s="186"/>
      <c r="H25" s="219"/>
      <c r="I25" s="405"/>
      <c r="J25" s="405"/>
      <c r="K25" s="406"/>
      <c r="L25" s="269"/>
    </row>
    <row r="26" spans="1:12" ht="15.75" x14ac:dyDescent="0.2">
      <c r="A26" s="134">
        <f>DATE(2020,5,17)</f>
        <v>43968</v>
      </c>
      <c r="B26" s="122">
        <v>0.72916666666666663</v>
      </c>
      <c r="C26" s="123">
        <v>0.79166666666666663</v>
      </c>
      <c r="D26" s="123">
        <f>(C26-B26)</f>
        <v>6.25E-2</v>
      </c>
      <c r="E26" s="392" t="s">
        <v>276</v>
      </c>
      <c r="F26" s="393"/>
      <c r="G26" s="185"/>
      <c r="H26" s="218"/>
      <c r="I26" s="278"/>
      <c r="J26" s="269"/>
      <c r="K26" s="270"/>
      <c r="L26" s="257"/>
    </row>
    <row r="27" spans="1:12" ht="33.75" customHeight="1" thickBot="1" x14ac:dyDescent="0.25">
      <c r="A27" s="266"/>
      <c r="B27" s="266"/>
      <c r="C27" s="266"/>
      <c r="D27" s="266"/>
      <c r="E27" s="394"/>
      <c r="F27" s="395"/>
      <c r="G27" s="186"/>
      <c r="H27" s="220"/>
      <c r="I27" s="257"/>
      <c r="J27" s="257"/>
      <c r="K27" s="269"/>
      <c r="L27" s="257"/>
    </row>
    <row r="28" spans="1:12" ht="15.75" x14ac:dyDescent="0.2">
      <c r="A28" s="272"/>
      <c r="B28" s="274"/>
      <c r="C28" s="274"/>
      <c r="D28" s="273"/>
      <c r="E28" s="407"/>
      <c r="F28" s="408"/>
      <c r="G28" s="184"/>
    </row>
    <row r="29" spans="1:12" ht="16.5" thickBot="1" x14ac:dyDescent="0.3">
      <c r="A29" s="275"/>
      <c r="B29" s="276"/>
      <c r="C29" s="276"/>
      <c r="D29" s="276"/>
      <c r="E29" s="409"/>
      <c r="F29" s="410"/>
      <c r="G29" s="186"/>
    </row>
    <row r="30" spans="1:12" ht="24" thickBot="1" x14ac:dyDescent="0.4">
      <c r="A30" s="101" t="s">
        <v>18</v>
      </c>
      <c r="B30" s="101"/>
      <c r="C30" s="27"/>
      <c r="D30" s="27"/>
      <c r="E30" s="27"/>
      <c r="F30" s="102"/>
      <c r="G30" s="102"/>
    </row>
    <row r="31" spans="1:12" x14ac:dyDescent="0.2">
      <c r="B31" s="103"/>
      <c r="C31" s="104"/>
      <c r="D31" s="105"/>
      <c r="E31" s="106"/>
      <c r="K31" s="180"/>
    </row>
    <row r="32" spans="1:12" ht="12.75" customHeight="1" x14ac:dyDescent="0.2">
      <c r="A32" s="314"/>
      <c r="B32" s="314"/>
      <c r="C32" s="314"/>
      <c r="D32" s="314"/>
      <c r="E32" s="314"/>
      <c r="F32" s="314"/>
      <c r="G32" s="314"/>
      <c r="H32" s="5"/>
      <c r="K32" s="180"/>
    </row>
    <row r="33" spans="1:11" ht="12.75" customHeight="1" x14ac:dyDescent="0.2">
      <c r="A33" s="314"/>
      <c r="B33" s="314"/>
      <c r="C33" s="314"/>
      <c r="D33" s="314"/>
      <c r="E33" s="314"/>
      <c r="F33" s="314"/>
      <c r="G33" s="314"/>
      <c r="H33" s="5"/>
      <c r="K33" s="180"/>
    </row>
    <row r="34" spans="1:11" ht="12.75" customHeight="1" x14ac:dyDescent="0.2">
      <c r="A34" s="314"/>
      <c r="B34" s="314"/>
      <c r="C34" s="314"/>
      <c r="D34" s="314"/>
      <c r="E34" s="314"/>
      <c r="F34" s="314"/>
      <c r="G34" s="314"/>
      <c r="H34" s="5"/>
      <c r="K34" s="180"/>
    </row>
    <row r="35" spans="1:11" ht="12.75" customHeight="1" x14ac:dyDescent="0.2">
      <c r="A35" s="314"/>
      <c r="B35" s="314"/>
      <c r="C35" s="314"/>
      <c r="D35" s="314"/>
      <c r="E35" s="314"/>
      <c r="F35" s="314"/>
      <c r="G35" s="314"/>
      <c r="H35" s="5"/>
      <c r="K35" s="180"/>
    </row>
    <row r="36" spans="1:11" ht="12.75" customHeight="1" x14ac:dyDescent="0.2">
      <c r="A36" s="314"/>
      <c r="B36" s="314"/>
      <c r="C36" s="314"/>
      <c r="D36" s="314"/>
      <c r="E36" s="314"/>
      <c r="F36" s="314"/>
      <c r="G36" s="314"/>
      <c r="H36" s="5"/>
      <c r="K36" s="180"/>
    </row>
    <row r="37" spans="1:11" ht="12.75" customHeight="1" x14ac:dyDescent="0.2">
      <c r="A37" s="314"/>
      <c r="B37" s="314"/>
      <c r="C37" s="314"/>
      <c r="D37" s="314"/>
      <c r="E37" s="314"/>
      <c r="F37" s="314"/>
      <c r="G37" s="314"/>
      <c r="H37" s="5"/>
      <c r="K37" s="180"/>
    </row>
    <row r="38" spans="1:11" ht="12.75" customHeight="1" x14ac:dyDescent="0.2">
      <c r="A38" s="314"/>
      <c r="B38" s="314"/>
      <c r="C38" s="314"/>
      <c r="D38" s="314"/>
      <c r="E38" s="314"/>
      <c r="F38" s="314"/>
      <c r="G38" s="314"/>
      <c r="H38" s="5"/>
      <c r="K38" s="252"/>
    </row>
    <row r="39" spans="1:11" ht="12.75" customHeight="1" x14ac:dyDescent="0.2">
      <c r="A39" s="314"/>
      <c r="B39" s="314"/>
      <c r="C39" s="314"/>
      <c r="D39" s="314"/>
      <c r="E39" s="314"/>
      <c r="F39" s="314"/>
      <c r="G39" s="314"/>
      <c r="H39" s="5"/>
    </row>
    <row r="40" spans="1:11" ht="12.75" customHeight="1" x14ac:dyDescent="0.2">
      <c r="A40" s="314"/>
      <c r="B40" s="314"/>
      <c r="C40" s="314"/>
      <c r="D40" s="314"/>
      <c r="E40" s="314"/>
      <c r="F40" s="314"/>
      <c r="G40" s="314"/>
      <c r="H40" s="5"/>
    </row>
    <row r="41" spans="1:11" ht="12.75" customHeight="1" x14ac:dyDescent="0.2">
      <c r="A41" s="314"/>
      <c r="B41" s="314"/>
      <c r="C41" s="314"/>
      <c r="D41" s="314"/>
      <c r="E41" s="314"/>
      <c r="F41" s="314"/>
      <c r="G41" s="314"/>
      <c r="H41" s="5"/>
    </row>
    <row r="42" spans="1:11" ht="12.75" customHeight="1" x14ac:dyDescent="0.2">
      <c r="A42" s="314"/>
      <c r="B42" s="314"/>
      <c r="C42" s="314"/>
      <c r="D42" s="314"/>
      <c r="E42" s="314"/>
      <c r="F42" s="314"/>
      <c r="G42" s="314"/>
      <c r="H42" s="5"/>
    </row>
    <row r="43" spans="1:11" ht="12.75" customHeight="1" x14ac:dyDescent="0.2">
      <c r="A43" s="314"/>
      <c r="B43" s="314"/>
      <c r="C43" s="314"/>
      <c r="D43" s="314"/>
      <c r="E43" s="314"/>
      <c r="F43" s="314"/>
      <c r="G43" s="314"/>
      <c r="H43" s="5"/>
    </row>
    <row r="44" spans="1:11" ht="12.75" customHeight="1" x14ac:dyDescent="0.2">
      <c r="A44" s="314"/>
      <c r="B44" s="314"/>
      <c r="C44" s="314"/>
      <c r="D44" s="314"/>
      <c r="E44" s="314"/>
      <c r="F44" s="314"/>
      <c r="G44" s="314"/>
      <c r="H44" s="5"/>
    </row>
    <row r="45" spans="1:11" ht="12.75" customHeight="1" x14ac:dyDescent="0.2">
      <c r="A45" s="5"/>
      <c r="B45" s="5"/>
      <c r="C45" s="5"/>
      <c r="D45" s="5"/>
      <c r="E45" s="5"/>
      <c r="F45" s="5"/>
      <c r="G45" s="5"/>
      <c r="H45" s="5"/>
    </row>
    <row r="46" spans="1:11" ht="12.75" customHeight="1" x14ac:dyDescent="0.2">
      <c r="A46" s="5"/>
      <c r="B46" s="5"/>
      <c r="C46" s="5"/>
      <c r="D46" s="5"/>
      <c r="E46" s="5"/>
      <c r="F46" s="5"/>
      <c r="G46" s="5"/>
      <c r="H46" s="5"/>
    </row>
    <row r="47" spans="1:11" ht="12.75" customHeight="1" x14ac:dyDescent="0.2">
      <c r="A47" s="5"/>
      <c r="B47" s="5"/>
      <c r="C47" s="5"/>
      <c r="D47" s="5"/>
      <c r="E47" s="5"/>
      <c r="F47" s="5"/>
      <c r="G47" s="5"/>
      <c r="H47" s="5"/>
    </row>
    <row r="48" spans="1:11" x14ac:dyDescent="0.2">
      <c r="A48" s="5"/>
      <c r="B48" s="5"/>
      <c r="C48" s="5"/>
      <c r="D48" s="5"/>
      <c r="E48" s="5"/>
      <c r="F48" s="5"/>
      <c r="G48" s="5"/>
      <c r="H48" s="5"/>
    </row>
    <row r="49" spans="1:8" ht="12.75" customHeight="1" x14ac:dyDescent="0.2">
      <c r="A49" s="5"/>
      <c r="B49" s="5"/>
      <c r="C49" s="5"/>
      <c r="D49" s="5"/>
      <c r="E49" s="5"/>
      <c r="F49" s="5"/>
      <c r="G49" s="5"/>
      <c r="H49" s="5"/>
    </row>
    <row r="50" spans="1:8" ht="12.75" customHeight="1" x14ac:dyDescent="0.2"/>
    <row r="51" spans="1:8" ht="12.75" customHeight="1" x14ac:dyDescent="0.2"/>
  </sheetData>
  <mergeCells count="19">
    <mergeCell ref="E28:F29"/>
    <mergeCell ref="A32:G44"/>
    <mergeCell ref="K22:K23"/>
    <mergeCell ref="E24:F25"/>
    <mergeCell ref="I24:J25"/>
    <mergeCell ref="K24:K25"/>
    <mergeCell ref="E26:F27"/>
    <mergeCell ref="I22:J23"/>
    <mergeCell ref="E14:F15"/>
    <mergeCell ref="E16:F17"/>
    <mergeCell ref="E18:F19"/>
    <mergeCell ref="E20:F21"/>
    <mergeCell ref="E22:F23"/>
    <mergeCell ref="E12:F13"/>
    <mergeCell ref="A1:D1"/>
    <mergeCell ref="A4:A5"/>
    <mergeCell ref="C4:C5"/>
    <mergeCell ref="J4:J5"/>
    <mergeCell ref="E10:F11"/>
  </mergeCells>
  <conditionalFormatting sqref="I21 H24">
    <cfRule type="expression" dxfId="281" priority="259">
      <formula>ISNUMBER(SEARCH(TEXT(#REF!,"ddd"),#REF!))</formula>
    </cfRule>
  </conditionalFormatting>
  <conditionalFormatting sqref="C22">
    <cfRule type="expression" dxfId="280" priority="260">
      <formula>ISNUMBER(SEARCH(TEXT(#REF!,"ddd"),#REF!))</formula>
    </cfRule>
  </conditionalFormatting>
  <conditionalFormatting sqref="K21">
    <cfRule type="expression" dxfId="279" priority="261">
      <formula>ISNUMBER(SEARCH(TEXT(#REF!,"ddd"),#REF!))</formula>
    </cfRule>
  </conditionalFormatting>
  <conditionalFormatting sqref="A10:D10">
    <cfRule type="expression" dxfId="278" priority="258">
      <formula>ISNUMBER(SEARCH(TEXT(#REF!,"ddd"),#REF!))</formula>
    </cfRule>
  </conditionalFormatting>
  <conditionalFormatting sqref="B20:C20">
    <cfRule type="expression" dxfId="277" priority="257">
      <formula>ISNUMBER(SEARCH(TEXT(#REF!,"ddd"),#REF!))</formula>
    </cfRule>
  </conditionalFormatting>
  <conditionalFormatting sqref="B13:C14 C12">
    <cfRule type="expression" dxfId="276" priority="256">
      <formula>ISNUMBER(SEARCH(TEXT(#REF!,"ddd"),#REF!))</formula>
    </cfRule>
  </conditionalFormatting>
  <conditionalFormatting sqref="D13">
    <cfRule type="expression" dxfId="275" priority="255">
      <formula>ISNUMBER(SEARCH(TEXT(#REF!,"ddd"),#REF!))</formula>
    </cfRule>
  </conditionalFormatting>
  <conditionalFormatting sqref="A13">
    <cfRule type="expression" dxfId="274" priority="254">
      <formula>ISNUMBER(SEARCH(TEXT(#REF!,"ddd"),#REF!))</formula>
    </cfRule>
  </conditionalFormatting>
  <conditionalFormatting sqref="H26">
    <cfRule type="expression" dxfId="273" priority="253">
      <formula>ISNUMBER(SEARCH(TEXT(#REF!,"ddd"),#REF!))</formula>
    </cfRule>
  </conditionalFormatting>
  <conditionalFormatting sqref="B20:C20">
    <cfRule type="expression" dxfId="272" priority="250">
      <formula>ISNUMBER(SEARCH(TEXT(#REF!,"ddd"),#REF!))</formula>
    </cfRule>
  </conditionalFormatting>
  <conditionalFormatting sqref="C16">
    <cfRule type="expression" dxfId="271" priority="249">
      <formula>ISNUMBER(SEARCH(TEXT(#REF!,"ddd"),#REF!))</formula>
    </cfRule>
  </conditionalFormatting>
  <conditionalFormatting sqref="A28">
    <cfRule type="expression" dxfId="270" priority="238">
      <formula>ISNUMBER(SEARCH(TEXT(#REF!,"ddd"),#REF!))</formula>
    </cfRule>
  </conditionalFormatting>
  <conditionalFormatting sqref="D28">
    <cfRule type="expression" dxfId="269" priority="239">
      <formula>ISNUMBER(SEARCH(TEXT(#REF!,"ddd"),#REF!))</formula>
    </cfRule>
  </conditionalFormatting>
  <conditionalFormatting sqref="B18">
    <cfRule type="expression" dxfId="268" priority="237">
      <formula>ISNUMBER(SEARCH(TEXT(#REF!,"ddd"),#REF!))</formula>
    </cfRule>
  </conditionalFormatting>
  <conditionalFormatting sqref="C18">
    <cfRule type="expression" dxfId="267" priority="236">
      <formula>ISNUMBER(SEARCH(TEXT(#REF!,"ddd"),#REF!))</formula>
    </cfRule>
  </conditionalFormatting>
  <conditionalFormatting sqref="B22">
    <cfRule type="expression" dxfId="266" priority="235">
      <formula>ISNUMBER(SEARCH(TEXT(#REF!,"ddd"),#REF!))</formula>
    </cfRule>
  </conditionalFormatting>
  <conditionalFormatting sqref="B22">
    <cfRule type="expression" dxfId="265" priority="234">
      <formula>ISNUMBER(SEARCH(TEXT(#REF!,"ddd"),#REF!))</formula>
    </cfRule>
  </conditionalFormatting>
  <conditionalFormatting sqref="A20">
    <cfRule type="expression" dxfId="264" priority="224">
      <formula>ISNUMBER(SEARCH(TEXT(#REF!,"ddd"),#REF!))</formula>
    </cfRule>
  </conditionalFormatting>
  <conditionalFormatting sqref="A24">
    <cfRule type="expression" dxfId="263" priority="220">
      <formula>ISNUMBER(SEARCH(TEXT(#REF!,"ddd"),#REF!))</formula>
    </cfRule>
  </conditionalFormatting>
  <conditionalFormatting sqref="A12">
    <cfRule type="expression" dxfId="262" priority="17">
      <formula>ISNUMBER(SEARCH(TEXT(#REF!,"ddd"),#REF!))</formula>
    </cfRule>
  </conditionalFormatting>
  <conditionalFormatting sqref="B12">
    <cfRule type="expression" dxfId="261" priority="16">
      <formula>ISNUMBER(SEARCH(TEXT(#REF!,"ddd"),#REF!))</formula>
    </cfRule>
  </conditionalFormatting>
  <conditionalFormatting sqref="D12">
    <cfRule type="expression" dxfId="260" priority="15">
      <formula>ISNUMBER(SEARCH(TEXT(#REF!,"ddd"),#REF!))</formula>
    </cfRule>
  </conditionalFormatting>
  <conditionalFormatting sqref="D14">
    <cfRule type="expression" dxfId="259" priority="14">
      <formula>ISNUMBER(SEARCH(TEXT(#REF!,"ddd"),#REF!))</formula>
    </cfRule>
  </conditionalFormatting>
  <conditionalFormatting sqref="A14">
    <cfRule type="expression" dxfId="258" priority="13">
      <formula>ISNUMBER(SEARCH(TEXT(#REF!,"ddd"),#REF!))</formula>
    </cfRule>
  </conditionalFormatting>
  <conditionalFormatting sqref="B16">
    <cfRule type="expression" dxfId="257" priority="12">
      <formula>ISNUMBER(SEARCH(TEXT(#REF!,"ddd"),#REF!))</formula>
    </cfRule>
  </conditionalFormatting>
  <conditionalFormatting sqref="A16">
    <cfRule type="expression" dxfId="256" priority="11">
      <formula>ISNUMBER(SEARCH(TEXT(#REF!,"ddd"),#REF!))</formula>
    </cfRule>
  </conditionalFormatting>
  <conditionalFormatting sqref="D16">
    <cfRule type="expression" dxfId="255" priority="10">
      <formula>ISNUMBER(SEARCH(TEXT(#REF!,"ddd"),#REF!))</formula>
    </cfRule>
  </conditionalFormatting>
  <conditionalFormatting sqref="A18">
    <cfRule type="expression" dxfId="254" priority="9">
      <formula>ISNUMBER(SEARCH(TEXT(#REF!,"ddd"),#REF!))</formula>
    </cfRule>
  </conditionalFormatting>
  <conditionalFormatting sqref="D18">
    <cfRule type="expression" dxfId="253" priority="8">
      <formula>ISNUMBER(SEARCH(TEXT(#REF!,"ddd"),#REF!))</formula>
    </cfRule>
  </conditionalFormatting>
  <conditionalFormatting sqref="D20">
    <cfRule type="expression" dxfId="252" priority="7">
      <formula>ISNUMBER(SEARCH(TEXT(#REF!,"ddd"),#REF!))</formula>
    </cfRule>
  </conditionalFormatting>
  <conditionalFormatting sqref="A22">
    <cfRule type="expression" dxfId="251" priority="6">
      <formula>ISNUMBER(SEARCH(TEXT(#REF!,"ddd"),#REF!))</formula>
    </cfRule>
  </conditionalFormatting>
  <conditionalFormatting sqref="D22">
    <cfRule type="expression" dxfId="250" priority="5">
      <formula>ISNUMBER(SEARCH(TEXT(#REF!,"ddd"),#REF!))</formula>
    </cfRule>
  </conditionalFormatting>
  <conditionalFormatting sqref="D24">
    <cfRule type="expression" dxfId="249" priority="4">
      <formula>ISNUMBER(SEARCH(TEXT(#REF!,"ddd"),#REF!))</formula>
    </cfRule>
  </conditionalFormatting>
  <conditionalFormatting sqref="C26">
    <cfRule type="expression" dxfId="248" priority="3">
      <formula>ISNUMBER(SEARCH(TEXT(#REF!,"ddd"),#REF!))</formula>
    </cfRule>
  </conditionalFormatting>
  <conditionalFormatting sqref="A26">
    <cfRule type="expression" dxfId="247" priority="2">
      <formula>ISNUMBER(SEARCH(TEXT(#REF!,"ddd"),#REF!))</formula>
    </cfRule>
  </conditionalFormatting>
  <conditionalFormatting sqref="D26">
    <cfRule type="expression" dxfId="246" priority="1">
      <formula>ISNUMBER(SEARCH(TEXT(#REF!,"ddd"),#REF!))</formula>
    </cfRule>
  </conditionalFormatting>
  <dataValidations count="2">
    <dataValidation type="custom" allowBlank="1" showInputMessage="1" showErrorMessage="1" sqref="B10 B20:C20 B18 B22:C22 B12:C14 B16 C26" xr:uid="{8CD9522C-49F0-4F0D-9A6B-F3C14A040D98}">
      <formula1>AND($B10&lt;=1,ISNUMBER($B10))</formula1>
    </dataValidation>
    <dataValidation type="custom" allowBlank="1" showInputMessage="1" showErrorMessage="1" sqref="C10 C16 C18" xr:uid="{671674B4-16E3-4933-AB9D-7EAD5CA37C57}">
      <formula1>AND($C10&lt;=1,ISNUMBER($C10),($C10&gt;=$B10))</formula1>
    </dataValidation>
  </dataValidations>
  <pageMargins left="0.11811023622047245" right="0" top="0.11811023622047245" bottom="0.15748031496062992" header="0" footer="0"/>
  <pageSetup paperSize="9" scale="49" fitToHeight="0" orientation="portrait" horizontalDpi="4294967293" verticalDpi="4294967293"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80114-2064-4D06-B908-F9AA4E342ADB}">
  <sheetPr codeName="Sheet29">
    <pageSetUpPr fitToPage="1"/>
  </sheetPr>
  <dimension ref="A1:M95"/>
  <sheetViews>
    <sheetView showGridLines="0" zoomScale="85" zoomScaleNormal="85" workbookViewId="0">
      <selection activeCell="M12" sqref="M12"/>
    </sheetView>
  </sheetViews>
  <sheetFormatPr baseColWidth="10" defaultColWidth="9" defaultRowHeight="12.75" x14ac:dyDescent="0.2"/>
  <cols>
    <col min="1" max="1" width="15.5" customWidth="1"/>
    <col min="2" max="2" width="8.875" customWidth="1"/>
    <col min="3" max="3" width="11.75" customWidth="1"/>
    <col min="4" max="4" width="11.5" customWidth="1"/>
    <col min="5" max="5" width="22.125" bestFit="1" customWidth="1"/>
    <col min="6" max="7" width="18" bestFit="1" customWidth="1"/>
    <col min="8" max="8" width="8.875" customWidth="1"/>
    <col min="9" max="9" width="11.625" customWidth="1"/>
    <col min="10" max="10" width="9.5" customWidth="1"/>
    <col min="11" max="11" width="12.375" customWidth="1"/>
    <col min="12" max="12" width="17.875" bestFit="1" customWidth="1"/>
    <col min="13" max="13" width="19.25" bestFit="1" customWidth="1"/>
  </cols>
  <sheetData>
    <row r="1" spans="1:13" ht="27" thickTop="1" x14ac:dyDescent="0.4">
      <c r="A1" s="301" t="s">
        <v>20</v>
      </c>
      <c r="B1" s="301"/>
      <c r="C1" s="301"/>
      <c r="D1" s="301"/>
      <c r="E1" s="55">
        <f>WEEKNUM(A10)</f>
        <v>21</v>
      </c>
      <c r="F1" s="83"/>
      <c r="G1" s="57"/>
      <c r="H1" s="84"/>
      <c r="J1" s="1"/>
    </row>
    <row r="2" spans="1:13" s="1" customFormat="1" ht="14.25" customHeight="1" x14ac:dyDescent="0.25">
      <c r="A2" s="49" t="s">
        <v>1</v>
      </c>
      <c r="B2" s="49"/>
      <c r="C2" s="49" t="s">
        <v>2</v>
      </c>
      <c r="D2" s="49"/>
      <c r="E2" s="85" t="s">
        <v>3</v>
      </c>
      <c r="F2" s="54" t="s">
        <v>4</v>
      </c>
      <c r="G2" s="54" t="s">
        <v>5</v>
      </c>
      <c r="H2" s="20"/>
      <c r="I2" s="86"/>
      <c r="J2" s="87"/>
      <c r="M2" s="1" t="s">
        <v>21</v>
      </c>
    </row>
    <row r="3" spans="1:13" ht="16.5" thickBot="1" x14ac:dyDescent="0.25">
      <c r="A3" s="136">
        <f>MIN(A10:A128)</f>
        <v>43969</v>
      </c>
      <c r="B3" s="202"/>
      <c r="C3" s="136">
        <f>MAXA(A10:A128)</f>
        <v>43969</v>
      </c>
      <c r="D3" s="188"/>
      <c r="E3" s="88" t="s">
        <v>6</v>
      </c>
      <c r="F3" s="177">
        <f>Sumcolor(E3,D10:D110)</f>
        <v>0</v>
      </c>
      <c r="G3" s="177">
        <f>SUM(Først:Sist!F3)</f>
        <v>1.0381944444444446</v>
      </c>
      <c r="H3" s="89"/>
      <c r="I3" s="90"/>
      <c r="J3" s="90"/>
      <c r="M3" t="s">
        <v>22</v>
      </c>
    </row>
    <row r="4" spans="1:13" ht="15" customHeight="1" x14ac:dyDescent="0.2">
      <c r="A4" s="391" t="s">
        <v>23</v>
      </c>
      <c r="B4" s="194"/>
      <c r="C4" s="293" t="s">
        <v>24</v>
      </c>
      <c r="D4" s="203"/>
      <c r="E4" s="91" t="s">
        <v>9</v>
      </c>
      <c r="F4" s="177">
        <f>Sumcolor(E4,D10:D110)</f>
        <v>0</v>
      </c>
      <c r="G4" s="177">
        <f>SUM(Først:Sist!F4)</f>
        <v>8.03125</v>
      </c>
      <c r="H4" s="89"/>
      <c r="I4" s="90"/>
      <c r="J4" s="309"/>
    </row>
    <row r="5" spans="1:13" ht="15.75" x14ac:dyDescent="0.2">
      <c r="A5" s="302"/>
      <c r="B5" s="203"/>
      <c r="C5" s="302"/>
      <c r="D5" s="203"/>
      <c r="E5" s="159" t="s">
        <v>10</v>
      </c>
      <c r="F5" s="177">
        <f>Sumcolor(E5,D10:D110)</f>
        <v>0.18402777777777779</v>
      </c>
      <c r="G5" s="177">
        <f>SUM(Først:Sist!F5)</f>
        <v>1.8090277777777768</v>
      </c>
      <c r="H5" s="89"/>
      <c r="I5" s="90"/>
      <c r="J5" s="309"/>
      <c r="M5" t="s">
        <v>25</v>
      </c>
    </row>
    <row r="6" spans="1:13" ht="18.75" customHeight="1" thickBot="1" x14ac:dyDescent="0.25">
      <c r="A6" s="182">
        <f>SUM(D10:D128)</f>
        <v>0.18402777777777779</v>
      </c>
      <c r="B6" s="51"/>
      <c r="C6" s="82">
        <f>SUM(Først:Sist!A6)</f>
        <v>12.965277777777779</v>
      </c>
      <c r="D6" s="52"/>
      <c r="E6" s="92" t="s">
        <v>11</v>
      </c>
      <c r="F6" s="178">
        <f>Sumcolor(E6,D10:D110)</f>
        <v>0</v>
      </c>
      <c r="G6" s="178">
        <f>SUM(Først:Sist!F6)</f>
        <v>1.9895833333333335</v>
      </c>
      <c r="H6" s="89"/>
      <c r="I6" s="90"/>
      <c r="J6" s="90"/>
      <c r="M6" t="s">
        <v>26</v>
      </c>
    </row>
    <row r="7" spans="1:13" ht="12.75" customHeight="1" x14ac:dyDescent="0.2">
      <c r="A7" s="19"/>
      <c r="B7" s="23"/>
      <c r="C7" s="24"/>
      <c r="D7" s="93"/>
      <c r="E7" s="23"/>
      <c r="F7" s="271">
        <f>SUM(F3:F6)</f>
        <v>0.18402777777777779</v>
      </c>
      <c r="G7" s="25"/>
      <c r="H7" s="25"/>
    </row>
    <row r="8" spans="1:13" x14ac:dyDescent="0.2">
      <c r="A8" s="23"/>
      <c r="B8" s="25"/>
      <c r="C8" s="93"/>
      <c r="D8" s="25"/>
      <c r="E8" s="23"/>
      <c r="F8" s="23"/>
      <c r="G8" s="25"/>
      <c r="H8" s="25"/>
      <c r="M8" t="s">
        <v>27</v>
      </c>
    </row>
    <row r="9" spans="1:13" ht="16.5" thickBot="1" x14ac:dyDescent="0.3">
      <c r="A9" s="49" t="s">
        <v>12</v>
      </c>
      <c r="B9" s="49" t="s">
        <v>13</v>
      </c>
      <c r="C9" s="49" t="s">
        <v>14</v>
      </c>
      <c r="D9" s="49" t="s">
        <v>15</v>
      </c>
      <c r="E9" s="107" t="s">
        <v>16</v>
      </c>
      <c r="F9" s="102"/>
      <c r="G9" s="166" t="s">
        <v>17</v>
      </c>
      <c r="H9" s="25"/>
      <c r="M9" t="s">
        <v>28</v>
      </c>
    </row>
    <row r="10" spans="1:13" ht="15.75" customHeight="1" x14ac:dyDescent="0.2">
      <c r="A10" s="125">
        <f>DATE(2020,5,18)</f>
        <v>43969</v>
      </c>
      <c r="B10" s="160">
        <v>0.58333333333333337</v>
      </c>
      <c r="C10" s="160">
        <v>0.65277777777777779</v>
      </c>
      <c r="D10" s="160">
        <f>(C10-B10)</f>
        <v>6.944444444444442E-2</v>
      </c>
      <c r="E10" s="411" t="s">
        <v>277</v>
      </c>
      <c r="F10" s="412"/>
      <c r="G10" s="183"/>
      <c r="H10" s="173"/>
    </row>
    <row r="11" spans="1:13" ht="15.75" thickBot="1" x14ac:dyDescent="0.3">
      <c r="A11" s="126"/>
      <c r="B11" s="161"/>
      <c r="C11" s="161"/>
      <c r="D11" s="161"/>
      <c r="E11" s="413"/>
      <c r="F11" s="414"/>
      <c r="G11" s="184"/>
      <c r="H11" s="25"/>
      <c r="K11" s="257"/>
      <c r="M11" t="s">
        <v>30</v>
      </c>
    </row>
    <row r="12" spans="1:13" ht="15.75" x14ac:dyDescent="0.25">
      <c r="A12" s="125">
        <f>DATE(2020,5,18)</f>
        <v>43969</v>
      </c>
      <c r="B12" s="160">
        <v>0.72916666666666663</v>
      </c>
      <c r="C12" s="163">
        <v>0.84375</v>
      </c>
      <c r="D12" s="160">
        <f>(C12-B12)</f>
        <v>0.11458333333333337</v>
      </c>
      <c r="E12" s="411" t="s">
        <v>278</v>
      </c>
      <c r="F12" s="412"/>
      <c r="G12" s="185"/>
      <c r="M12" t="s">
        <v>32</v>
      </c>
    </row>
    <row r="13" spans="1:13" ht="16.5" thickBot="1" x14ac:dyDescent="0.3">
      <c r="A13" s="229"/>
      <c r="B13" s="230"/>
      <c r="C13" s="230"/>
      <c r="D13" s="231"/>
      <c r="E13" s="413"/>
      <c r="F13" s="414"/>
      <c r="G13" s="217"/>
    </row>
    <row r="14" spans="1:13" ht="15.75" x14ac:dyDescent="0.25">
      <c r="A14" s="272"/>
      <c r="B14" s="283"/>
      <c r="C14" s="284"/>
      <c r="D14" s="273"/>
      <c r="E14" s="415"/>
      <c r="F14" s="416"/>
      <c r="G14" s="184"/>
    </row>
    <row r="15" spans="1:13" ht="15.75" thickBot="1" x14ac:dyDescent="0.3">
      <c r="A15" s="285"/>
      <c r="B15" s="280"/>
      <c r="C15" s="280"/>
      <c r="D15" s="280"/>
      <c r="E15" s="417"/>
      <c r="F15" s="418"/>
      <c r="G15" s="186"/>
      <c r="H15" s="5"/>
    </row>
    <row r="16" spans="1:13" ht="15.75" x14ac:dyDescent="0.25">
      <c r="A16" s="272"/>
      <c r="B16" s="284"/>
      <c r="C16" s="273"/>
      <c r="D16" s="273"/>
      <c r="E16" s="419"/>
      <c r="F16" s="416"/>
      <c r="G16" s="187"/>
      <c r="H16" s="81"/>
      <c r="I16" s="5"/>
    </row>
    <row r="17" spans="1:12" ht="23.25" customHeight="1" thickBot="1" x14ac:dyDescent="0.25">
      <c r="A17" s="286"/>
      <c r="B17" s="287"/>
      <c r="C17" s="287"/>
      <c r="D17" s="287"/>
      <c r="E17" s="417"/>
      <c r="F17" s="418"/>
      <c r="G17" s="184"/>
      <c r="I17" s="5"/>
    </row>
    <row r="18" spans="1:12" ht="15.75" x14ac:dyDescent="0.2">
      <c r="A18" s="272"/>
      <c r="B18" s="273"/>
      <c r="C18" s="273"/>
      <c r="D18" s="273"/>
      <c r="E18" s="419"/>
      <c r="F18" s="416"/>
      <c r="G18" s="185"/>
      <c r="I18" s="5"/>
    </row>
    <row r="19" spans="1:12" ht="15.75" customHeight="1" thickBot="1" x14ac:dyDescent="0.3">
      <c r="A19" s="281"/>
      <c r="B19" s="280"/>
      <c r="C19" s="280"/>
      <c r="D19" s="280"/>
      <c r="E19" s="417"/>
      <c r="F19" s="418"/>
      <c r="G19" s="184"/>
      <c r="I19" s="5"/>
    </row>
    <row r="20" spans="1:12" ht="15.75" x14ac:dyDescent="0.2">
      <c r="A20" s="272"/>
      <c r="B20" s="273"/>
      <c r="C20" s="273"/>
      <c r="D20" s="273"/>
      <c r="E20" s="415"/>
      <c r="F20" s="416"/>
      <c r="G20" s="185"/>
    </row>
    <row r="21" spans="1:12" ht="15.75" thickBot="1" x14ac:dyDescent="0.3">
      <c r="A21" s="281"/>
      <c r="B21" s="280"/>
      <c r="C21" s="280"/>
      <c r="D21" s="280"/>
      <c r="E21" s="417"/>
      <c r="F21" s="418"/>
      <c r="G21" s="186"/>
      <c r="I21" s="268"/>
      <c r="J21" s="257"/>
      <c r="K21" s="268"/>
      <c r="L21" s="257"/>
    </row>
    <row r="22" spans="1:12" ht="15.75" customHeight="1" x14ac:dyDescent="0.2">
      <c r="A22" s="272"/>
      <c r="B22" s="273"/>
      <c r="C22" s="273"/>
      <c r="D22" s="273"/>
      <c r="E22" s="415"/>
      <c r="F22" s="416"/>
      <c r="G22" s="184"/>
      <c r="I22" s="404"/>
      <c r="J22" s="405"/>
      <c r="K22" s="406"/>
      <c r="L22" s="269"/>
    </row>
    <row r="23" spans="1:12" ht="15.75" customHeight="1" thickBot="1" x14ac:dyDescent="0.3">
      <c r="A23" s="281"/>
      <c r="B23" s="280"/>
      <c r="C23" s="280"/>
      <c r="D23" s="280"/>
      <c r="E23" s="417"/>
      <c r="F23" s="418"/>
      <c r="G23" s="186"/>
      <c r="I23" s="405"/>
      <c r="J23" s="405"/>
      <c r="K23" s="406"/>
      <c r="L23" s="269"/>
    </row>
    <row r="24" spans="1:12" ht="15.75" x14ac:dyDescent="0.2">
      <c r="A24" s="272"/>
      <c r="B24" s="274"/>
      <c r="C24" s="274"/>
      <c r="D24" s="273"/>
      <c r="E24" s="415"/>
      <c r="F24" s="416"/>
      <c r="G24" s="184"/>
      <c r="H24" s="218"/>
      <c r="I24" s="405"/>
      <c r="J24" s="405"/>
      <c r="K24" s="406"/>
      <c r="L24" s="269"/>
    </row>
    <row r="25" spans="1:12" ht="16.5" thickBot="1" x14ac:dyDescent="0.3">
      <c r="A25" s="275"/>
      <c r="B25" s="276"/>
      <c r="C25" s="276"/>
      <c r="D25" s="276"/>
      <c r="E25" s="417"/>
      <c r="F25" s="418"/>
      <c r="G25" s="186"/>
      <c r="H25" s="219"/>
      <c r="I25" s="405"/>
      <c r="J25" s="405"/>
      <c r="K25" s="406"/>
      <c r="L25" s="269"/>
    </row>
    <row r="26" spans="1:12" ht="15.75" x14ac:dyDescent="0.2">
      <c r="A26" s="272"/>
      <c r="B26" s="274"/>
      <c r="C26" s="273"/>
      <c r="D26" s="273"/>
      <c r="E26" s="415"/>
      <c r="F26" s="416"/>
      <c r="G26" s="185"/>
      <c r="H26" s="218"/>
      <c r="I26" s="278"/>
      <c r="J26" s="269"/>
      <c r="K26" s="270"/>
      <c r="L26" s="257"/>
    </row>
    <row r="27" spans="1:12" ht="33.75" customHeight="1" thickBot="1" x14ac:dyDescent="0.25">
      <c r="A27" s="282"/>
      <c r="B27" s="282"/>
      <c r="C27" s="282"/>
      <c r="D27" s="282"/>
      <c r="E27" s="417"/>
      <c r="F27" s="418"/>
      <c r="G27" s="186"/>
      <c r="H27" s="220"/>
      <c r="I27" s="257"/>
      <c r="J27" s="257"/>
      <c r="K27" s="269"/>
      <c r="L27" s="257"/>
    </row>
    <row r="28" spans="1:12" ht="15.75" x14ac:dyDescent="0.2">
      <c r="A28" s="272"/>
      <c r="B28" s="274"/>
      <c r="C28" s="274"/>
      <c r="D28" s="273"/>
      <c r="E28" s="415"/>
      <c r="F28" s="416"/>
      <c r="G28" s="185"/>
      <c r="H28" s="29"/>
      <c r="I28" s="278"/>
      <c r="K28" s="5"/>
    </row>
    <row r="29" spans="1:12" ht="16.5" thickBot="1" x14ac:dyDescent="0.3">
      <c r="A29" s="275"/>
      <c r="B29" s="276"/>
      <c r="C29" s="276"/>
      <c r="D29" s="276"/>
      <c r="E29" s="417"/>
      <c r="F29" s="418"/>
      <c r="G29" s="186"/>
    </row>
    <row r="30" spans="1:12" ht="15.75" x14ac:dyDescent="0.2">
      <c r="A30" s="272"/>
      <c r="B30" s="273"/>
      <c r="C30" s="274"/>
      <c r="D30" s="273"/>
      <c r="E30" s="415"/>
      <c r="F30" s="416"/>
      <c r="G30" s="185"/>
      <c r="I30" s="21"/>
    </row>
    <row r="31" spans="1:12" ht="13.5" thickBot="1" x14ac:dyDescent="0.25">
      <c r="A31" s="282"/>
      <c r="B31" s="282"/>
      <c r="C31" s="282"/>
      <c r="D31" s="282"/>
      <c r="E31" s="417"/>
      <c r="F31" s="418"/>
      <c r="G31" s="186"/>
    </row>
    <row r="32" spans="1:12" ht="15.75" x14ac:dyDescent="0.2">
      <c r="A32" s="272"/>
      <c r="B32" s="274"/>
      <c r="C32" s="274"/>
      <c r="D32" s="273"/>
      <c r="E32" s="415"/>
      <c r="F32" s="416"/>
      <c r="G32" s="185"/>
      <c r="I32" s="278"/>
    </row>
    <row r="33" spans="1:11" ht="16.5" thickBot="1" x14ac:dyDescent="0.3">
      <c r="A33" s="275"/>
      <c r="B33" s="276"/>
      <c r="C33" s="276"/>
      <c r="D33" s="276"/>
      <c r="E33" s="417"/>
      <c r="F33" s="418"/>
      <c r="G33" s="186"/>
    </row>
    <row r="34" spans="1:11" ht="15.75" x14ac:dyDescent="0.2">
      <c r="A34" s="272"/>
      <c r="B34" s="273"/>
      <c r="C34" s="273"/>
      <c r="D34" s="273"/>
      <c r="E34" s="415"/>
      <c r="F34" s="416"/>
      <c r="G34" s="185"/>
      <c r="I34" s="21"/>
    </row>
    <row r="35" spans="1:11" ht="16.5" thickBot="1" x14ac:dyDescent="0.3">
      <c r="A35" s="275"/>
      <c r="B35" s="276"/>
      <c r="C35" s="276"/>
      <c r="D35" s="276"/>
      <c r="E35" s="417"/>
      <c r="F35" s="418"/>
      <c r="G35" s="186"/>
      <c r="K35" s="90"/>
    </row>
    <row r="36" spans="1:11" ht="15.75" x14ac:dyDescent="0.2">
      <c r="A36" s="272"/>
      <c r="B36" s="274"/>
      <c r="C36" s="274"/>
      <c r="D36" s="273"/>
      <c r="E36" s="415"/>
      <c r="F36" s="416"/>
      <c r="G36" s="185"/>
      <c r="H36" s="21"/>
      <c r="I36" s="21"/>
    </row>
    <row r="37" spans="1:11" ht="16.5" thickBot="1" x14ac:dyDescent="0.3">
      <c r="A37" s="275"/>
      <c r="B37" s="276"/>
      <c r="C37" s="276"/>
      <c r="D37" s="276"/>
      <c r="E37" s="417"/>
      <c r="F37" s="418"/>
      <c r="G37" s="186"/>
    </row>
    <row r="38" spans="1:11" ht="15.75" x14ac:dyDescent="0.2">
      <c r="A38" s="272"/>
      <c r="B38" s="273"/>
      <c r="C38" s="273"/>
      <c r="D38" s="273"/>
      <c r="E38" s="415"/>
      <c r="F38" s="416"/>
      <c r="G38" s="185"/>
    </row>
    <row r="39" spans="1:11" ht="16.5" thickBot="1" x14ac:dyDescent="0.3">
      <c r="A39" s="275"/>
      <c r="B39" s="276"/>
      <c r="C39" s="276"/>
      <c r="D39" s="276"/>
      <c r="E39" s="417"/>
      <c r="F39" s="418"/>
      <c r="G39" s="186"/>
    </row>
    <row r="40" spans="1:11" ht="15.75" x14ac:dyDescent="0.2">
      <c r="A40" s="272"/>
      <c r="B40" s="274"/>
      <c r="C40" s="274"/>
      <c r="D40" s="273"/>
      <c r="E40" s="415"/>
      <c r="F40" s="416"/>
      <c r="G40" s="184"/>
    </row>
    <row r="41" spans="1:11" ht="16.5" thickBot="1" x14ac:dyDescent="0.3">
      <c r="A41" s="275"/>
      <c r="B41" s="276"/>
      <c r="C41" s="276"/>
      <c r="D41" s="276"/>
      <c r="E41" s="417"/>
      <c r="F41" s="418"/>
      <c r="G41" s="186"/>
    </row>
    <row r="42" spans="1:11" ht="15.75" x14ac:dyDescent="0.2">
      <c r="A42" s="272"/>
      <c r="B42" s="274"/>
      <c r="C42" s="274"/>
      <c r="D42" s="273"/>
      <c r="E42" s="415"/>
      <c r="F42" s="416"/>
      <c r="G42" s="185"/>
    </row>
    <row r="43" spans="1:11" ht="16.5" thickBot="1" x14ac:dyDescent="0.3">
      <c r="A43" s="275"/>
      <c r="B43" s="276"/>
      <c r="C43" s="276"/>
      <c r="D43" s="276"/>
      <c r="E43" s="417"/>
      <c r="F43" s="418"/>
      <c r="G43" s="186"/>
    </row>
    <row r="44" spans="1:11" ht="15.75" x14ac:dyDescent="0.2">
      <c r="A44" s="272"/>
      <c r="B44" s="274"/>
      <c r="C44" s="274"/>
      <c r="D44" s="273"/>
      <c r="E44" s="415"/>
      <c r="F44" s="416"/>
      <c r="G44" s="185"/>
    </row>
    <row r="45" spans="1:11" ht="16.5" thickBot="1" x14ac:dyDescent="0.3">
      <c r="A45" s="275"/>
      <c r="B45" s="276"/>
      <c r="C45" s="276"/>
      <c r="D45" s="276"/>
      <c r="E45" s="417"/>
      <c r="F45" s="418"/>
      <c r="G45" s="186"/>
      <c r="H45" s="279"/>
    </row>
    <row r="46" spans="1:11" ht="15.75" x14ac:dyDescent="0.2">
      <c r="A46" s="272"/>
      <c r="B46" s="274"/>
      <c r="C46" s="274"/>
      <c r="D46" s="273"/>
      <c r="E46" s="415"/>
      <c r="F46" s="416"/>
      <c r="G46" s="184"/>
    </row>
    <row r="47" spans="1:11" ht="16.5" thickBot="1" x14ac:dyDescent="0.3">
      <c r="A47" s="275"/>
      <c r="B47" s="276"/>
      <c r="C47" s="276"/>
      <c r="D47" s="276"/>
      <c r="E47" s="417"/>
      <c r="F47" s="418"/>
      <c r="G47" s="186"/>
    </row>
    <row r="48" spans="1:11" ht="15.75" x14ac:dyDescent="0.2">
      <c r="A48" s="272"/>
      <c r="B48" s="274"/>
      <c r="C48" s="274"/>
      <c r="D48" s="273"/>
      <c r="E48" s="415"/>
      <c r="F48" s="416"/>
      <c r="G48" s="184"/>
    </row>
    <row r="49" spans="1:8" ht="16.5" thickBot="1" x14ac:dyDescent="0.3">
      <c r="A49" s="275"/>
      <c r="B49" s="276"/>
      <c r="C49" s="276"/>
      <c r="D49" s="276"/>
      <c r="E49" s="417"/>
      <c r="F49" s="418"/>
      <c r="G49" s="186"/>
    </row>
    <row r="50" spans="1:8" ht="15.75" x14ac:dyDescent="0.2">
      <c r="A50" s="272"/>
      <c r="B50" s="274"/>
      <c r="C50" s="274"/>
      <c r="D50" s="273"/>
      <c r="E50" s="415"/>
      <c r="F50" s="416"/>
      <c r="G50" s="184"/>
      <c r="H50" s="21"/>
    </row>
    <row r="51" spans="1:8" ht="16.5" thickBot="1" x14ac:dyDescent="0.3">
      <c r="A51" s="275"/>
      <c r="B51" s="276"/>
      <c r="C51" s="276"/>
      <c r="D51" s="276"/>
      <c r="E51" s="417"/>
      <c r="F51" s="418"/>
      <c r="G51" s="186"/>
    </row>
    <row r="52" spans="1:8" ht="15.75" x14ac:dyDescent="0.2">
      <c r="A52" s="272"/>
      <c r="B52" s="274"/>
      <c r="C52" s="274"/>
      <c r="D52" s="273"/>
      <c r="E52" s="415"/>
      <c r="F52" s="416"/>
      <c r="G52" s="184"/>
    </row>
    <row r="53" spans="1:8" ht="16.5" thickBot="1" x14ac:dyDescent="0.3">
      <c r="A53" s="275"/>
      <c r="B53" s="276"/>
      <c r="C53" s="276"/>
      <c r="D53" s="276"/>
      <c r="E53" s="417"/>
      <c r="F53" s="418"/>
      <c r="G53" s="186"/>
    </row>
    <row r="54" spans="1:8" ht="15.75" x14ac:dyDescent="0.2">
      <c r="A54" s="272"/>
      <c r="B54" s="274"/>
      <c r="C54" s="274"/>
      <c r="D54" s="273"/>
      <c r="E54" s="415"/>
      <c r="F54" s="416"/>
      <c r="G54" s="184"/>
    </row>
    <row r="55" spans="1:8" ht="16.5" thickBot="1" x14ac:dyDescent="0.3">
      <c r="A55" s="275"/>
      <c r="B55" s="276"/>
      <c r="C55" s="276"/>
      <c r="D55" s="276"/>
      <c r="E55" s="417"/>
      <c r="F55" s="418"/>
      <c r="G55" s="186"/>
    </row>
    <row r="56" spans="1:8" ht="15.75" x14ac:dyDescent="0.2">
      <c r="A56" s="272"/>
      <c r="B56" s="274"/>
      <c r="C56" s="274"/>
      <c r="D56" s="273"/>
      <c r="E56" s="415"/>
      <c r="F56" s="416"/>
      <c r="G56" s="184"/>
    </row>
    <row r="57" spans="1:8" ht="16.5" thickBot="1" x14ac:dyDescent="0.3">
      <c r="A57" s="275"/>
      <c r="B57" s="276"/>
      <c r="C57" s="276"/>
      <c r="D57" s="276"/>
      <c r="E57" s="417"/>
      <c r="F57" s="418"/>
      <c r="G57" s="186"/>
    </row>
    <row r="58" spans="1:8" ht="15.75" x14ac:dyDescent="0.2">
      <c r="A58" s="272"/>
      <c r="B58" s="274"/>
      <c r="C58" s="274"/>
      <c r="D58" s="273"/>
      <c r="E58" s="415"/>
      <c r="F58" s="416"/>
      <c r="G58" s="184"/>
    </row>
    <row r="59" spans="1:8" ht="16.5" thickBot="1" x14ac:dyDescent="0.3">
      <c r="A59" s="275"/>
      <c r="B59" s="276"/>
      <c r="C59" s="276"/>
      <c r="D59" s="276"/>
      <c r="E59" s="417"/>
      <c r="F59" s="418"/>
      <c r="G59" s="186"/>
    </row>
    <row r="60" spans="1:8" ht="15.75" x14ac:dyDescent="0.2">
      <c r="A60" s="272"/>
      <c r="B60" s="274"/>
      <c r="C60" s="274"/>
      <c r="D60" s="273"/>
      <c r="E60" s="415"/>
      <c r="F60" s="416"/>
      <c r="G60" s="184"/>
    </row>
    <row r="61" spans="1:8" ht="16.5" thickBot="1" x14ac:dyDescent="0.3">
      <c r="A61" s="275"/>
      <c r="B61" s="276"/>
      <c r="C61" s="276"/>
      <c r="D61" s="276"/>
      <c r="E61" s="417"/>
      <c r="F61" s="418"/>
      <c r="G61" s="186"/>
    </row>
    <row r="62" spans="1:8" ht="15.75" x14ac:dyDescent="0.2">
      <c r="A62" s="272"/>
      <c r="B62" s="274"/>
      <c r="C62" s="274"/>
      <c r="D62" s="273"/>
      <c r="E62" s="415"/>
      <c r="F62" s="416"/>
      <c r="G62" s="184"/>
    </row>
    <row r="63" spans="1:8" ht="16.5" thickBot="1" x14ac:dyDescent="0.3">
      <c r="A63" s="275"/>
      <c r="B63" s="276"/>
      <c r="C63" s="276"/>
      <c r="D63" s="276"/>
      <c r="E63" s="417"/>
      <c r="F63" s="418"/>
      <c r="G63" s="186"/>
    </row>
    <row r="64" spans="1:8" ht="15.75" x14ac:dyDescent="0.2">
      <c r="A64" s="272"/>
      <c r="B64" s="274"/>
      <c r="C64" s="274"/>
      <c r="D64" s="273"/>
      <c r="E64" s="415"/>
      <c r="F64" s="416"/>
      <c r="G64" s="184"/>
    </row>
    <row r="65" spans="1:11" ht="16.5" thickBot="1" x14ac:dyDescent="0.3">
      <c r="A65" s="275"/>
      <c r="B65" s="276"/>
      <c r="C65" s="276"/>
      <c r="D65" s="276"/>
      <c r="E65" s="417"/>
      <c r="F65" s="418"/>
      <c r="G65" s="186"/>
    </row>
    <row r="66" spans="1:11" ht="15.75" x14ac:dyDescent="0.2">
      <c r="A66" s="272"/>
      <c r="B66" s="274"/>
      <c r="C66" s="274"/>
      <c r="D66" s="273"/>
      <c r="E66" s="415"/>
      <c r="F66" s="416"/>
      <c r="G66" s="184"/>
    </row>
    <row r="67" spans="1:11" ht="16.5" thickBot="1" x14ac:dyDescent="0.3">
      <c r="A67" s="275"/>
      <c r="B67" s="276"/>
      <c r="C67" s="276"/>
      <c r="D67" s="276"/>
      <c r="E67" s="417"/>
      <c r="F67" s="418"/>
      <c r="G67" s="186"/>
    </row>
    <row r="68" spans="1:11" ht="15.75" x14ac:dyDescent="0.2">
      <c r="A68" s="272"/>
      <c r="B68" s="274"/>
      <c r="C68" s="274"/>
      <c r="D68" s="273"/>
      <c r="E68" s="415"/>
      <c r="F68" s="416"/>
      <c r="G68" s="184"/>
    </row>
    <row r="69" spans="1:11" ht="16.5" thickBot="1" x14ac:dyDescent="0.3">
      <c r="A69" s="275"/>
      <c r="B69" s="276"/>
      <c r="C69" s="276"/>
      <c r="D69" s="276"/>
      <c r="E69" s="417"/>
      <c r="F69" s="418"/>
      <c r="G69" s="186"/>
    </row>
    <row r="70" spans="1:11" ht="15.75" x14ac:dyDescent="0.2">
      <c r="A70" s="272"/>
      <c r="B70" s="274"/>
      <c r="C70" s="274"/>
      <c r="D70" s="273"/>
      <c r="E70" s="407"/>
      <c r="F70" s="408"/>
      <c r="G70" s="184"/>
    </row>
    <row r="71" spans="1:11" ht="16.5" thickBot="1" x14ac:dyDescent="0.3">
      <c r="A71" s="275"/>
      <c r="B71" s="276"/>
      <c r="C71" s="276"/>
      <c r="D71" s="276"/>
      <c r="E71" s="409"/>
      <c r="F71" s="410"/>
      <c r="G71" s="186"/>
    </row>
    <row r="72" spans="1:11" ht="15.75" x14ac:dyDescent="0.2">
      <c r="A72" s="272"/>
      <c r="B72" s="274"/>
      <c r="C72" s="274"/>
      <c r="D72" s="273"/>
      <c r="E72" s="407"/>
      <c r="F72" s="408"/>
      <c r="G72" s="184"/>
    </row>
    <row r="73" spans="1:11" ht="16.5" thickBot="1" x14ac:dyDescent="0.3">
      <c r="A73" s="275"/>
      <c r="B73" s="276"/>
      <c r="C73" s="276"/>
      <c r="D73" s="276"/>
      <c r="E73" s="409"/>
      <c r="F73" s="410"/>
      <c r="G73" s="186"/>
    </row>
    <row r="74" spans="1:11" ht="24" thickBot="1" x14ac:dyDescent="0.4">
      <c r="A74" s="101" t="s">
        <v>18</v>
      </c>
      <c r="B74" s="101"/>
      <c r="C74" s="27"/>
      <c r="D74" s="27"/>
      <c r="E74" s="27"/>
      <c r="F74" s="102"/>
      <c r="G74" s="102"/>
    </row>
    <row r="75" spans="1:11" x14ac:dyDescent="0.2">
      <c r="B75" s="103"/>
      <c r="C75" s="104"/>
      <c r="D75" s="105"/>
      <c r="E75" s="106"/>
      <c r="K75" s="180"/>
    </row>
    <row r="76" spans="1:11" ht="12.75" customHeight="1" x14ac:dyDescent="0.2">
      <c r="A76" s="314"/>
      <c r="B76" s="314"/>
      <c r="C76" s="314"/>
      <c r="D76" s="314"/>
      <c r="E76" s="314"/>
      <c r="F76" s="314"/>
      <c r="G76" s="314"/>
      <c r="H76" s="5"/>
      <c r="K76" s="180"/>
    </row>
    <row r="77" spans="1:11" ht="12.75" customHeight="1" x14ac:dyDescent="0.2">
      <c r="A77" s="314"/>
      <c r="B77" s="314"/>
      <c r="C77" s="314"/>
      <c r="D77" s="314"/>
      <c r="E77" s="314"/>
      <c r="F77" s="314"/>
      <c r="G77" s="314"/>
      <c r="H77" s="5"/>
      <c r="K77" s="180"/>
    </row>
    <row r="78" spans="1:11" ht="12.75" customHeight="1" x14ac:dyDescent="0.2">
      <c r="A78" s="314"/>
      <c r="B78" s="314"/>
      <c r="C78" s="314"/>
      <c r="D78" s="314"/>
      <c r="E78" s="314"/>
      <c r="F78" s="314"/>
      <c r="G78" s="314"/>
      <c r="H78" s="5"/>
      <c r="K78" s="180"/>
    </row>
    <row r="79" spans="1:11" ht="12.75" customHeight="1" x14ac:dyDescent="0.2">
      <c r="A79" s="314"/>
      <c r="B79" s="314"/>
      <c r="C79" s="314"/>
      <c r="D79" s="314"/>
      <c r="E79" s="314"/>
      <c r="F79" s="314"/>
      <c r="G79" s="314"/>
      <c r="H79" s="5"/>
      <c r="K79" s="180"/>
    </row>
    <row r="80" spans="1:11" ht="12.75" customHeight="1" x14ac:dyDescent="0.2">
      <c r="A80" s="314"/>
      <c r="B80" s="314"/>
      <c r="C80" s="314"/>
      <c r="D80" s="314"/>
      <c r="E80" s="314"/>
      <c r="F80" s="314"/>
      <c r="G80" s="314"/>
      <c r="H80" s="5"/>
      <c r="K80" s="180"/>
    </row>
    <row r="81" spans="1:11" ht="12.75" customHeight="1" x14ac:dyDescent="0.2">
      <c r="A81" s="314"/>
      <c r="B81" s="314"/>
      <c r="C81" s="314"/>
      <c r="D81" s="314"/>
      <c r="E81" s="314"/>
      <c r="F81" s="314"/>
      <c r="G81" s="314"/>
      <c r="H81" s="5"/>
      <c r="K81" s="180"/>
    </row>
    <row r="82" spans="1:11" ht="12.75" customHeight="1" x14ac:dyDescent="0.2">
      <c r="A82" s="314"/>
      <c r="B82" s="314"/>
      <c r="C82" s="314"/>
      <c r="D82" s="314"/>
      <c r="E82" s="314"/>
      <c r="F82" s="314"/>
      <c r="G82" s="314"/>
      <c r="H82" s="5"/>
      <c r="K82" s="252"/>
    </row>
    <row r="83" spans="1:11" ht="12.75" customHeight="1" x14ac:dyDescent="0.2">
      <c r="A83" s="314"/>
      <c r="B83" s="314"/>
      <c r="C83" s="314"/>
      <c r="D83" s="314"/>
      <c r="E83" s="314"/>
      <c r="F83" s="314"/>
      <c r="G83" s="314"/>
      <c r="H83" s="5"/>
    </row>
    <row r="84" spans="1:11" ht="12.75" customHeight="1" x14ac:dyDescent="0.2">
      <c r="A84" s="314"/>
      <c r="B84" s="314"/>
      <c r="C84" s="314"/>
      <c r="D84" s="314"/>
      <c r="E84" s="314"/>
      <c r="F84" s="314"/>
      <c r="G84" s="314"/>
      <c r="H84" s="5"/>
    </row>
    <row r="85" spans="1:11" ht="12.75" customHeight="1" x14ac:dyDescent="0.2">
      <c r="A85" s="314"/>
      <c r="B85" s="314"/>
      <c r="C85" s="314"/>
      <c r="D85" s="314"/>
      <c r="E85" s="314"/>
      <c r="F85" s="314"/>
      <c r="G85" s="314"/>
      <c r="H85" s="5"/>
    </row>
    <row r="86" spans="1:11" ht="12.75" customHeight="1" x14ac:dyDescent="0.2">
      <c r="A86" s="314"/>
      <c r="B86" s="314"/>
      <c r="C86" s="314"/>
      <c r="D86" s="314"/>
      <c r="E86" s="314"/>
      <c r="F86" s="314"/>
      <c r="G86" s="314"/>
      <c r="H86" s="5"/>
    </row>
    <row r="87" spans="1:11" ht="12.75" customHeight="1" x14ac:dyDescent="0.2">
      <c r="A87" s="314"/>
      <c r="B87" s="314"/>
      <c r="C87" s="314"/>
      <c r="D87" s="314"/>
      <c r="E87" s="314"/>
      <c r="F87" s="314"/>
      <c r="G87" s="314"/>
      <c r="H87" s="5"/>
    </row>
    <row r="88" spans="1:11" ht="12.75" customHeight="1" x14ac:dyDescent="0.2">
      <c r="A88" s="314"/>
      <c r="B88" s="314"/>
      <c r="C88" s="314"/>
      <c r="D88" s="314"/>
      <c r="E88" s="314"/>
      <c r="F88" s="314"/>
      <c r="G88" s="314"/>
      <c r="H88" s="5"/>
    </row>
    <row r="89" spans="1:11" ht="12.75" customHeight="1" x14ac:dyDescent="0.2">
      <c r="A89" s="5"/>
      <c r="B89" s="5"/>
      <c r="C89" s="5"/>
      <c r="D89" s="5"/>
      <c r="E89" s="5"/>
      <c r="F89" s="5"/>
      <c r="G89" s="5"/>
      <c r="H89" s="5"/>
    </row>
    <row r="90" spans="1:11" ht="12.75" customHeight="1" x14ac:dyDescent="0.2">
      <c r="A90" s="5"/>
      <c r="B90" s="5"/>
      <c r="C90" s="5"/>
      <c r="D90" s="5"/>
      <c r="E90" s="5"/>
      <c r="F90" s="5"/>
      <c r="G90" s="5"/>
      <c r="H90" s="5"/>
    </row>
    <row r="91" spans="1:11" ht="12.75" customHeight="1" x14ac:dyDescent="0.2">
      <c r="A91" s="5"/>
      <c r="B91" s="5"/>
      <c r="C91" s="5"/>
      <c r="D91" s="5"/>
      <c r="E91" s="5"/>
      <c r="F91" s="5"/>
      <c r="G91" s="5"/>
      <c r="H91" s="5"/>
    </row>
    <row r="92" spans="1:11" x14ac:dyDescent="0.2">
      <c r="A92" s="5"/>
      <c r="B92" s="5"/>
      <c r="C92" s="5"/>
      <c r="D92" s="5"/>
      <c r="E92" s="5"/>
      <c r="F92" s="5"/>
      <c r="G92" s="5"/>
      <c r="H92" s="5"/>
    </row>
    <row r="93" spans="1:11" ht="12.75" customHeight="1" x14ac:dyDescent="0.2">
      <c r="A93" s="5"/>
      <c r="B93" s="5"/>
      <c r="C93" s="5"/>
      <c r="D93" s="5"/>
      <c r="E93" s="5"/>
      <c r="F93" s="5"/>
      <c r="G93" s="5"/>
      <c r="H93" s="5"/>
    </row>
    <row r="94" spans="1:11" ht="12.75" customHeight="1" x14ac:dyDescent="0.2"/>
    <row r="95" spans="1:11" ht="12.75" customHeight="1" x14ac:dyDescent="0.2"/>
  </sheetData>
  <mergeCells count="41">
    <mergeCell ref="E66:F67"/>
    <mergeCell ref="E68:F69"/>
    <mergeCell ref="E70:F71"/>
    <mergeCell ref="E72:F73"/>
    <mergeCell ref="A76:G88"/>
    <mergeCell ref="E64:F65"/>
    <mergeCell ref="E42:F43"/>
    <mergeCell ref="E44:F45"/>
    <mergeCell ref="E46:F47"/>
    <mergeCell ref="E48:F49"/>
    <mergeCell ref="E50:F51"/>
    <mergeCell ref="E52:F53"/>
    <mergeCell ref="E54:F55"/>
    <mergeCell ref="E56:F57"/>
    <mergeCell ref="E58:F59"/>
    <mergeCell ref="E60:F61"/>
    <mergeCell ref="E62:F63"/>
    <mergeCell ref="E40:F41"/>
    <mergeCell ref="K22:K23"/>
    <mergeCell ref="E24:F25"/>
    <mergeCell ref="I24:J25"/>
    <mergeCell ref="K24:K25"/>
    <mergeCell ref="E26:F27"/>
    <mergeCell ref="E28:F29"/>
    <mergeCell ref="I22:J23"/>
    <mergeCell ref="E30:F31"/>
    <mergeCell ref="E32:F33"/>
    <mergeCell ref="E34:F35"/>
    <mergeCell ref="E36:F37"/>
    <mergeCell ref="E38:F39"/>
    <mergeCell ref="E14:F15"/>
    <mergeCell ref="E16:F17"/>
    <mergeCell ref="E18:F19"/>
    <mergeCell ref="E20:F21"/>
    <mergeCell ref="E22:F23"/>
    <mergeCell ref="E12:F13"/>
    <mergeCell ref="A1:D1"/>
    <mergeCell ref="A4:A5"/>
    <mergeCell ref="C4:C5"/>
    <mergeCell ref="J4:J5"/>
    <mergeCell ref="E10:F11"/>
  </mergeCells>
  <conditionalFormatting sqref="I21 H24">
    <cfRule type="expression" dxfId="245" priority="246">
      <formula>ISNUMBER(SEARCH(TEXT(#REF!,"ddd"),#REF!))</formula>
    </cfRule>
  </conditionalFormatting>
  <conditionalFormatting sqref="C22">
    <cfRule type="expression" dxfId="244" priority="247">
      <formula>ISNUMBER(SEARCH(TEXT(#REF!,"ddd"),#REF!))</formula>
    </cfRule>
  </conditionalFormatting>
  <conditionalFormatting sqref="K21">
    <cfRule type="expression" dxfId="243" priority="248">
      <formula>ISNUMBER(SEARCH(TEXT(#REF!,"ddd"),#REF!))</formula>
    </cfRule>
  </conditionalFormatting>
  <conditionalFormatting sqref="A10:D10">
    <cfRule type="expression" dxfId="242" priority="245">
      <formula>ISNUMBER(SEARCH(TEXT(#REF!,"ddd"),#REF!))</formula>
    </cfRule>
  </conditionalFormatting>
  <conditionalFormatting sqref="B20:C20">
    <cfRule type="expression" dxfId="241" priority="244">
      <formula>ISNUMBER(SEARCH(TEXT(#REF!,"ddd"),#REF!))</formula>
    </cfRule>
  </conditionalFormatting>
  <conditionalFormatting sqref="B13:C14 C12">
    <cfRule type="expression" dxfId="240" priority="243">
      <formula>ISNUMBER(SEARCH(TEXT(#REF!,"ddd"),#REF!))</formula>
    </cfRule>
  </conditionalFormatting>
  <conditionalFormatting sqref="D13">
    <cfRule type="expression" dxfId="239" priority="242">
      <formula>ISNUMBER(SEARCH(TEXT(#REF!,"ddd"),#REF!))</formula>
    </cfRule>
  </conditionalFormatting>
  <conditionalFormatting sqref="A13">
    <cfRule type="expression" dxfId="238" priority="241">
      <formula>ISNUMBER(SEARCH(TEXT(#REF!,"ddd"),#REF!))</formula>
    </cfRule>
  </conditionalFormatting>
  <conditionalFormatting sqref="H26">
    <cfRule type="expression" dxfId="237" priority="240">
      <formula>ISNUMBER(SEARCH(TEXT(#REF!,"ddd"),#REF!))</formula>
    </cfRule>
  </conditionalFormatting>
  <conditionalFormatting sqref="A58">
    <cfRule type="expression" dxfId="236" priority="239">
      <formula>ISNUMBER(SEARCH(TEXT(#REF!,"ddd"),#REF!))</formula>
    </cfRule>
  </conditionalFormatting>
  <conditionalFormatting sqref="A60">
    <cfRule type="expression" dxfId="235" priority="238">
      <formula>ISNUMBER(SEARCH(TEXT(#REF!,"ddd"),#REF!))</formula>
    </cfRule>
  </conditionalFormatting>
  <conditionalFormatting sqref="B20:C20">
    <cfRule type="expression" dxfId="234" priority="237">
      <formula>ISNUMBER(SEARCH(TEXT(#REF!,"ddd"),#REF!))</formula>
    </cfRule>
  </conditionalFormatting>
  <conditionalFormatting sqref="C16">
    <cfRule type="expression" dxfId="233" priority="236">
      <formula>ISNUMBER(SEARCH(TEXT(#REF!,"ddd"),#REF!))</formula>
    </cfRule>
  </conditionalFormatting>
  <conditionalFormatting sqref="A56">
    <cfRule type="expression" dxfId="232" priority="235">
      <formula>ISNUMBER(SEARCH(TEXT(#REF!,"ddd"),#REF!))</formula>
    </cfRule>
  </conditionalFormatting>
  <conditionalFormatting sqref="D56">
    <cfRule type="expression" dxfId="231" priority="234">
      <formula>ISNUMBER(SEARCH(TEXT(#REF!,"ddd"),#REF!))</formula>
    </cfRule>
  </conditionalFormatting>
  <conditionalFormatting sqref="D58">
    <cfRule type="expression" dxfId="230" priority="233">
      <formula>ISNUMBER(SEARCH(TEXT(#REF!,"ddd"),#REF!))</formula>
    </cfRule>
  </conditionalFormatting>
  <conditionalFormatting sqref="A62">
    <cfRule type="expression" dxfId="229" priority="232">
      <formula>ISNUMBER(SEARCH(TEXT(#REF!,"ddd"),#REF!))</formula>
    </cfRule>
  </conditionalFormatting>
  <conditionalFormatting sqref="D60">
    <cfRule type="expression" dxfId="228" priority="231">
      <formula>ISNUMBER(SEARCH(TEXT(#REF!,"ddd"),#REF!))</formula>
    </cfRule>
  </conditionalFormatting>
  <conditionalFormatting sqref="D62">
    <cfRule type="expression" dxfId="227" priority="230">
      <formula>ISNUMBER(SEARCH(TEXT(#REF!,"ddd"),#REF!))</formula>
    </cfRule>
  </conditionalFormatting>
  <conditionalFormatting sqref="A64">
    <cfRule type="expression" dxfId="226" priority="229">
      <formula>ISNUMBER(SEARCH(TEXT(#REF!,"ddd"),#REF!))</formula>
    </cfRule>
  </conditionalFormatting>
  <conditionalFormatting sqref="D64">
    <cfRule type="expression" dxfId="225" priority="228">
      <formula>ISNUMBER(SEARCH(TEXT(#REF!,"ddd"),#REF!))</formula>
    </cfRule>
  </conditionalFormatting>
  <conditionalFormatting sqref="A72">
    <cfRule type="expression" dxfId="224" priority="225">
      <formula>ISNUMBER(SEARCH(TEXT(#REF!,"ddd"),#REF!))</formula>
    </cfRule>
  </conditionalFormatting>
  <conditionalFormatting sqref="A70">
    <cfRule type="expression" dxfId="223" priority="227">
      <formula>ISNUMBER(SEARCH(TEXT(#REF!,"ddd"),#REF!))</formula>
    </cfRule>
  </conditionalFormatting>
  <conditionalFormatting sqref="D72">
    <cfRule type="expression" dxfId="222" priority="226">
      <formula>ISNUMBER(SEARCH(TEXT(#REF!,"ddd"),#REF!))</formula>
    </cfRule>
  </conditionalFormatting>
  <conditionalFormatting sqref="B18">
    <cfRule type="expression" dxfId="221" priority="224">
      <formula>ISNUMBER(SEARCH(TEXT(#REF!,"ddd"),#REF!))</formula>
    </cfRule>
  </conditionalFormatting>
  <conditionalFormatting sqref="C18">
    <cfRule type="expression" dxfId="220" priority="223">
      <formula>ISNUMBER(SEARCH(TEXT(#REF!,"ddd"),#REF!))</formula>
    </cfRule>
  </conditionalFormatting>
  <conditionalFormatting sqref="B22">
    <cfRule type="expression" dxfId="219" priority="222">
      <formula>ISNUMBER(SEARCH(TEXT(#REF!,"ddd"),#REF!))</formula>
    </cfRule>
  </conditionalFormatting>
  <conditionalFormatting sqref="B22">
    <cfRule type="expression" dxfId="218" priority="221">
      <formula>ISNUMBER(SEARCH(TEXT(#REF!,"ddd"),#REF!))</formula>
    </cfRule>
  </conditionalFormatting>
  <conditionalFormatting sqref="A20">
    <cfRule type="expression" dxfId="217" priority="220">
      <formula>ISNUMBER(SEARCH(TEXT(#REF!,"ddd"),#REF!))</formula>
    </cfRule>
  </conditionalFormatting>
  <conditionalFormatting sqref="A24">
    <cfRule type="expression" dxfId="216" priority="219">
      <formula>ISNUMBER(SEARCH(TEXT(#REF!,"ddd"),#REF!))</formula>
    </cfRule>
  </conditionalFormatting>
  <conditionalFormatting sqref="A30">
    <cfRule type="expression" dxfId="215" priority="218">
      <formula>ISNUMBER(SEARCH(TEXT(#REF!,"ddd"),#REF!))</formula>
    </cfRule>
  </conditionalFormatting>
  <conditionalFormatting sqref="B30">
    <cfRule type="expression" dxfId="214" priority="217">
      <formula>ISNUMBER(SEARCH(TEXT(#REF!,"ddd"),#REF!))</formula>
    </cfRule>
  </conditionalFormatting>
  <conditionalFormatting sqref="C30">
    <cfRule type="expression" dxfId="213" priority="216">
      <formula>ISNUMBER(SEARCH(TEXT(#REF!,"ddd"),#REF!))</formula>
    </cfRule>
  </conditionalFormatting>
  <conditionalFormatting sqref="D30">
    <cfRule type="expression" dxfId="212" priority="215">
      <formula>ISNUMBER(SEARCH(TEXT(#REF!,"ddd"),#REF!))</formula>
    </cfRule>
  </conditionalFormatting>
  <conditionalFormatting sqref="D36">
    <cfRule type="expression" dxfId="211" priority="214">
      <formula>ISNUMBER(SEARCH(TEXT(#REF!,"ddd"),#REF!))</formula>
    </cfRule>
  </conditionalFormatting>
  <conditionalFormatting sqref="D38">
    <cfRule type="expression" dxfId="210" priority="213">
      <formula>ISNUMBER(SEARCH(TEXT(#REF!,"ddd"),#REF!))</formula>
    </cfRule>
  </conditionalFormatting>
  <conditionalFormatting sqref="D40">
    <cfRule type="expression" dxfId="209" priority="212">
      <formula>ISNUMBER(SEARCH(TEXT(#REF!,"ddd"),#REF!))</formula>
    </cfRule>
  </conditionalFormatting>
  <conditionalFormatting sqref="D42">
    <cfRule type="expression" dxfId="208" priority="211">
      <formula>ISNUMBER(SEARCH(TEXT(#REF!,"ddd"),#REF!))</formula>
    </cfRule>
  </conditionalFormatting>
  <conditionalFormatting sqref="D44">
    <cfRule type="expression" dxfId="207" priority="210">
      <formula>ISNUMBER(SEARCH(TEXT(#REF!,"ddd"),#REF!))</formula>
    </cfRule>
  </conditionalFormatting>
  <conditionalFormatting sqref="A46">
    <cfRule type="expression" dxfId="206" priority="209">
      <formula>ISNUMBER(SEARCH(TEXT(#REF!,"ddd"),#REF!))</formula>
    </cfRule>
  </conditionalFormatting>
  <conditionalFormatting sqref="D46">
    <cfRule type="expression" dxfId="205" priority="208">
      <formula>ISNUMBER(SEARCH(TEXT(#REF!,"ddd"),#REF!))</formula>
    </cfRule>
  </conditionalFormatting>
  <conditionalFormatting sqref="A48">
    <cfRule type="expression" dxfId="204" priority="207">
      <formula>ISNUMBER(SEARCH(TEXT(#REF!,"ddd"),#REF!))</formula>
    </cfRule>
  </conditionalFormatting>
  <conditionalFormatting sqref="D48">
    <cfRule type="expression" dxfId="203" priority="206">
      <formula>ISNUMBER(SEARCH(TEXT(#REF!,"ddd"),#REF!))</formula>
    </cfRule>
  </conditionalFormatting>
  <conditionalFormatting sqref="A52">
    <cfRule type="expression" dxfId="202" priority="205">
      <formula>ISNUMBER(SEARCH(TEXT(#REF!,"ddd"),#REF!))</formula>
    </cfRule>
  </conditionalFormatting>
  <conditionalFormatting sqref="A54">
    <cfRule type="expression" dxfId="201" priority="204">
      <formula>ISNUMBER(SEARCH(TEXT(#REF!,"ddd"),#REF!))</formula>
    </cfRule>
  </conditionalFormatting>
  <conditionalFormatting sqref="D52">
    <cfRule type="expression" dxfId="200" priority="203">
      <formula>ISNUMBER(SEARCH(TEXT(#REF!,"ddd"),#REF!))</formula>
    </cfRule>
  </conditionalFormatting>
  <conditionalFormatting sqref="D54">
    <cfRule type="expression" dxfId="199" priority="202">
      <formula>ISNUMBER(SEARCH(TEXT(#REF!,"ddd"),#REF!))</formula>
    </cfRule>
  </conditionalFormatting>
  <conditionalFormatting sqref="B30">
    <cfRule type="expression" dxfId="198" priority="201">
      <formula>ISNUMBER(SEARCH(TEXT(#REF!,"ddd"),#REF!))</formula>
    </cfRule>
  </conditionalFormatting>
  <conditionalFormatting sqref="A30">
    <cfRule type="expression" dxfId="197" priority="200">
      <formula>ISNUMBER(SEARCH(TEXT(#REF!,"ddd"),#REF!))</formula>
    </cfRule>
  </conditionalFormatting>
  <conditionalFormatting sqref="D30">
    <cfRule type="expression" dxfId="196" priority="199">
      <formula>ISNUMBER(SEARCH(TEXT(#REF!,"ddd"),#REF!))</formula>
    </cfRule>
  </conditionalFormatting>
  <conditionalFormatting sqref="B34">
    <cfRule type="expression" dxfId="195" priority="198">
      <formula>ISNUMBER(SEARCH(TEXT(#REF!,"ddd"),#REF!))</formula>
    </cfRule>
  </conditionalFormatting>
  <conditionalFormatting sqref="C34">
    <cfRule type="expression" dxfId="194" priority="197">
      <formula>ISNUMBER(SEARCH(TEXT(#REF!,"ddd"),#REF!))</formula>
    </cfRule>
  </conditionalFormatting>
  <conditionalFormatting sqref="D36">
    <cfRule type="expression" dxfId="193" priority="196">
      <formula>ISNUMBER(SEARCH(TEXT(#REF!,"ddd"),#REF!))</formula>
    </cfRule>
  </conditionalFormatting>
  <conditionalFormatting sqref="D38">
    <cfRule type="expression" dxfId="192" priority="195">
      <formula>ISNUMBER(SEARCH(TEXT(#REF!,"ddd"),#REF!))</formula>
    </cfRule>
  </conditionalFormatting>
  <conditionalFormatting sqref="D40">
    <cfRule type="expression" dxfId="191" priority="194">
      <formula>ISNUMBER(SEARCH(TEXT(#REF!,"ddd"),#REF!))</formula>
    </cfRule>
  </conditionalFormatting>
  <conditionalFormatting sqref="D42">
    <cfRule type="expression" dxfId="190" priority="193">
      <formula>ISNUMBER(SEARCH(TEXT(#REF!,"ddd"),#REF!))</formula>
    </cfRule>
  </conditionalFormatting>
  <conditionalFormatting sqref="D44">
    <cfRule type="expression" dxfId="189" priority="192">
      <formula>ISNUMBER(SEARCH(TEXT(#REF!,"ddd"),#REF!))</formula>
    </cfRule>
  </conditionalFormatting>
  <conditionalFormatting sqref="A46">
    <cfRule type="expression" dxfId="188" priority="191">
      <formula>ISNUMBER(SEARCH(TEXT(#REF!,"ddd"),#REF!))</formula>
    </cfRule>
  </conditionalFormatting>
  <conditionalFormatting sqref="D46">
    <cfRule type="expression" dxfId="187" priority="190">
      <formula>ISNUMBER(SEARCH(TEXT(#REF!,"ddd"),#REF!))</formula>
    </cfRule>
  </conditionalFormatting>
  <conditionalFormatting sqref="A48">
    <cfRule type="expression" dxfId="186" priority="189">
      <formula>ISNUMBER(SEARCH(TEXT(#REF!,"ddd"),#REF!))</formula>
    </cfRule>
  </conditionalFormatting>
  <conditionalFormatting sqref="D48">
    <cfRule type="expression" dxfId="185" priority="188">
      <formula>ISNUMBER(SEARCH(TEXT(#REF!,"ddd"),#REF!))</formula>
    </cfRule>
  </conditionalFormatting>
  <conditionalFormatting sqref="A52">
    <cfRule type="expression" dxfId="184" priority="187">
      <formula>ISNUMBER(SEARCH(TEXT(#REF!,"ddd"),#REF!))</formula>
    </cfRule>
  </conditionalFormatting>
  <conditionalFormatting sqref="D52">
    <cfRule type="expression" dxfId="183" priority="186">
      <formula>ISNUMBER(SEARCH(TEXT(#REF!,"ddd"),#REF!))</formula>
    </cfRule>
  </conditionalFormatting>
  <conditionalFormatting sqref="A54">
    <cfRule type="expression" dxfId="182" priority="185">
      <formula>ISNUMBER(SEARCH(TEXT(#REF!,"ddd"),#REF!))</formula>
    </cfRule>
  </conditionalFormatting>
  <conditionalFormatting sqref="D54">
    <cfRule type="expression" dxfId="181" priority="184">
      <formula>ISNUMBER(SEARCH(TEXT(#REF!,"ddd"),#REF!))</formula>
    </cfRule>
  </conditionalFormatting>
  <conditionalFormatting sqref="A56">
    <cfRule type="expression" dxfId="180" priority="183">
      <formula>ISNUMBER(SEARCH(TEXT(#REF!,"ddd"),#REF!))</formula>
    </cfRule>
  </conditionalFormatting>
  <conditionalFormatting sqref="A58">
    <cfRule type="expression" dxfId="179" priority="182">
      <formula>ISNUMBER(SEARCH(TEXT(#REF!,"ddd"),#REF!))</formula>
    </cfRule>
  </conditionalFormatting>
  <conditionalFormatting sqref="D56">
    <cfRule type="expression" dxfId="178" priority="181">
      <formula>ISNUMBER(SEARCH(TEXT(#REF!,"ddd"),#REF!))</formula>
    </cfRule>
  </conditionalFormatting>
  <conditionalFormatting sqref="D58">
    <cfRule type="expression" dxfId="177" priority="180">
      <formula>ISNUMBER(SEARCH(TEXT(#REF!,"ddd"),#REF!))</formula>
    </cfRule>
  </conditionalFormatting>
  <conditionalFormatting sqref="A28">
    <cfRule type="expression" dxfId="176" priority="179">
      <formula>ISNUMBER(SEARCH(TEXT(#REF!,"ddd"),#REF!))</formula>
    </cfRule>
  </conditionalFormatting>
  <conditionalFormatting sqref="A44">
    <cfRule type="expression" dxfId="175" priority="178">
      <formula>ISNUMBER(SEARCH(TEXT(#REF!,"ddd"),#REF!))</formula>
    </cfRule>
  </conditionalFormatting>
  <conditionalFormatting sqref="A44">
    <cfRule type="expression" dxfId="174" priority="177">
      <formula>ISNUMBER(SEARCH(TEXT(#REF!,"ddd"),#REF!))</formula>
    </cfRule>
  </conditionalFormatting>
  <conditionalFormatting sqref="A42">
    <cfRule type="expression" dxfId="173" priority="176">
      <formula>ISNUMBER(SEARCH(TEXT(#REF!,"ddd"),#REF!))</formula>
    </cfRule>
  </conditionalFormatting>
  <conditionalFormatting sqref="A42">
    <cfRule type="expression" dxfId="172" priority="175">
      <formula>ISNUMBER(SEARCH(TEXT(#REF!,"ddd"),#REF!))</formula>
    </cfRule>
  </conditionalFormatting>
  <conditionalFormatting sqref="A40">
    <cfRule type="expression" dxfId="171" priority="174">
      <formula>ISNUMBER(SEARCH(TEXT(#REF!,"ddd"),#REF!))</formula>
    </cfRule>
  </conditionalFormatting>
  <conditionalFormatting sqref="A40">
    <cfRule type="expression" dxfId="170" priority="173">
      <formula>ISNUMBER(SEARCH(TEXT(#REF!,"ddd"),#REF!))</formula>
    </cfRule>
  </conditionalFormatting>
  <conditionalFormatting sqref="A38">
    <cfRule type="expression" dxfId="169" priority="172">
      <formula>ISNUMBER(SEARCH(TEXT(#REF!,"ddd"),#REF!))</formula>
    </cfRule>
  </conditionalFormatting>
  <conditionalFormatting sqref="A38">
    <cfRule type="expression" dxfId="168" priority="171">
      <formula>ISNUMBER(SEARCH(TEXT(#REF!,"ddd"),#REF!))</formula>
    </cfRule>
  </conditionalFormatting>
  <conditionalFormatting sqref="A36">
    <cfRule type="expression" dxfId="167" priority="170">
      <formula>ISNUMBER(SEARCH(TEXT(#REF!,"ddd"),#REF!))</formula>
    </cfRule>
  </conditionalFormatting>
  <conditionalFormatting sqref="A36">
    <cfRule type="expression" dxfId="166" priority="169">
      <formula>ISNUMBER(SEARCH(TEXT(#REF!,"ddd"),#REF!))</formula>
    </cfRule>
  </conditionalFormatting>
  <conditionalFormatting sqref="D28">
    <cfRule type="expression" dxfId="165" priority="168">
      <formula>ISNUMBER(SEARCH(TEXT(#REF!,"ddd"),#REF!))</formula>
    </cfRule>
  </conditionalFormatting>
  <conditionalFormatting sqref="C28">
    <cfRule type="expression" dxfId="164" priority="167">
      <formula>ISNUMBER(SEARCH(TEXT(#REF!,"ddd"),#REF!))</formula>
    </cfRule>
  </conditionalFormatting>
  <conditionalFormatting sqref="A62">
    <cfRule type="expression" dxfId="163" priority="166">
      <formula>ISNUMBER(SEARCH(TEXT(#REF!,"ddd"),#REF!))</formula>
    </cfRule>
  </conditionalFormatting>
  <conditionalFormatting sqref="A60">
    <cfRule type="expression" dxfId="162" priority="165">
      <formula>ISNUMBER(SEARCH(TEXT(#REF!,"ddd"),#REF!))</formula>
    </cfRule>
  </conditionalFormatting>
  <conditionalFormatting sqref="D60">
    <cfRule type="expression" dxfId="161" priority="164">
      <formula>ISNUMBER(SEARCH(TEXT(#REF!,"ddd"),#REF!))</formula>
    </cfRule>
  </conditionalFormatting>
  <conditionalFormatting sqref="D62">
    <cfRule type="expression" dxfId="160" priority="163">
      <formula>ISNUMBER(SEARCH(TEXT(#REF!,"ddd"),#REF!))</formula>
    </cfRule>
  </conditionalFormatting>
  <conditionalFormatting sqref="D36">
    <cfRule type="expression" dxfId="159" priority="162">
      <formula>ISNUMBER(SEARCH(TEXT(#REF!,"ddd"),#REF!))</formula>
    </cfRule>
  </conditionalFormatting>
  <conditionalFormatting sqref="A36">
    <cfRule type="expression" dxfId="158" priority="161">
      <formula>ISNUMBER(SEARCH(TEXT(#REF!,"ddd"),#REF!))</formula>
    </cfRule>
  </conditionalFormatting>
  <conditionalFormatting sqref="D38">
    <cfRule type="expression" dxfId="157" priority="160">
      <formula>ISNUMBER(SEARCH(TEXT(#REF!,"ddd"),#REF!))</formula>
    </cfRule>
  </conditionalFormatting>
  <conditionalFormatting sqref="D40">
    <cfRule type="expression" dxfId="156" priority="159">
      <formula>ISNUMBER(SEARCH(TEXT(#REF!,"ddd"),#REF!))</formula>
    </cfRule>
  </conditionalFormatting>
  <conditionalFormatting sqref="D42">
    <cfRule type="expression" dxfId="155" priority="158">
      <formula>ISNUMBER(SEARCH(TEXT(#REF!,"ddd"),#REF!))</formula>
    </cfRule>
  </conditionalFormatting>
  <conditionalFormatting sqref="D44">
    <cfRule type="expression" dxfId="154" priority="157">
      <formula>ISNUMBER(SEARCH(TEXT(#REF!,"ddd"),#REF!))</formula>
    </cfRule>
  </conditionalFormatting>
  <conditionalFormatting sqref="D46">
    <cfRule type="expression" dxfId="153" priority="156">
      <formula>ISNUMBER(SEARCH(TEXT(#REF!,"ddd"),#REF!))</formula>
    </cfRule>
  </conditionalFormatting>
  <conditionalFormatting sqref="D48">
    <cfRule type="expression" dxfId="152" priority="155">
      <formula>ISNUMBER(SEARCH(TEXT(#REF!,"ddd"),#REF!))</formula>
    </cfRule>
  </conditionalFormatting>
  <conditionalFormatting sqref="A52">
    <cfRule type="expression" dxfId="151" priority="154">
      <formula>ISNUMBER(SEARCH(TEXT(#REF!,"ddd"),#REF!))</formula>
    </cfRule>
  </conditionalFormatting>
  <conditionalFormatting sqref="D52">
    <cfRule type="expression" dxfId="150" priority="153">
      <formula>ISNUMBER(SEARCH(TEXT(#REF!,"ddd"),#REF!))</formula>
    </cfRule>
  </conditionalFormatting>
  <conditionalFormatting sqref="A54">
    <cfRule type="expression" dxfId="149" priority="152">
      <formula>ISNUMBER(SEARCH(TEXT(#REF!,"ddd"),#REF!))</formula>
    </cfRule>
  </conditionalFormatting>
  <conditionalFormatting sqref="D54">
    <cfRule type="expression" dxfId="148" priority="151">
      <formula>ISNUMBER(SEARCH(TEXT(#REF!,"ddd"),#REF!))</formula>
    </cfRule>
  </conditionalFormatting>
  <conditionalFormatting sqref="A56">
    <cfRule type="expression" dxfId="147" priority="150">
      <formula>ISNUMBER(SEARCH(TEXT(#REF!,"ddd"),#REF!))</formula>
    </cfRule>
  </conditionalFormatting>
  <conditionalFormatting sqref="A58">
    <cfRule type="expression" dxfId="146" priority="149">
      <formula>ISNUMBER(SEARCH(TEXT(#REF!,"ddd"),#REF!))</formula>
    </cfRule>
  </conditionalFormatting>
  <conditionalFormatting sqref="D56">
    <cfRule type="expression" dxfId="145" priority="148">
      <formula>ISNUMBER(SEARCH(TEXT(#REF!,"ddd"),#REF!))</formula>
    </cfRule>
  </conditionalFormatting>
  <conditionalFormatting sqref="D58">
    <cfRule type="expression" dxfId="144" priority="147">
      <formula>ISNUMBER(SEARCH(TEXT(#REF!,"ddd"),#REF!))</formula>
    </cfRule>
  </conditionalFormatting>
  <conditionalFormatting sqref="A36">
    <cfRule type="expression" dxfId="143" priority="146">
      <formula>ISNUMBER(SEARCH(TEXT(#REF!,"ddd"),#REF!))</formula>
    </cfRule>
  </conditionalFormatting>
  <conditionalFormatting sqref="D36">
    <cfRule type="expression" dxfId="142" priority="145">
      <formula>ISNUMBER(SEARCH(TEXT(#REF!,"ddd"),#REF!))</formula>
    </cfRule>
  </conditionalFormatting>
  <conditionalFormatting sqref="B38">
    <cfRule type="expression" dxfId="141" priority="144">
      <formula>ISNUMBER(SEARCH(TEXT(#REF!,"ddd"),#REF!))</formula>
    </cfRule>
  </conditionalFormatting>
  <conditionalFormatting sqref="C38">
    <cfRule type="expression" dxfId="140" priority="143">
      <formula>ISNUMBER(SEARCH(TEXT(#REF!,"ddd"),#REF!))</formula>
    </cfRule>
  </conditionalFormatting>
  <conditionalFormatting sqref="D38">
    <cfRule type="expression" dxfId="139" priority="142">
      <formula>ISNUMBER(SEARCH(TEXT(#REF!,"ddd"),#REF!))</formula>
    </cfRule>
  </conditionalFormatting>
  <conditionalFormatting sqref="D40">
    <cfRule type="expression" dxfId="138" priority="141">
      <formula>ISNUMBER(SEARCH(TEXT(#REF!,"ddd"),#REF!))</formula>
    </cfRule>
  </conditionalFormatting>
  <conditionalFormatting sqref="D42">
    <cfRule type="expression" dxfId="137" priority="140">
      <formula>ISNUMBER(SEARCH(TEXT(#REF!,"ddd"),#REF!))</formula>
    </cfRule>
  </conditionalFormatting>
  <conditionalFormatting sqref="D44">
    <cfRule type="expression" dxfId="136" priority="139">
      <formula>ISNUMBER(SEARCH(TEXT(#REF!,"ddd"),#REF!))</formula>
    </cfRule>
  </conditionalFormatting>
  <conditionalFormatting sqref="D46">
    <cfRule type="expression" dxfId="135" priority="138">
      <formula>ISNUMBER(SEARCH(TEXT(#REF!,"ddd"),#REF!))</formula>
    </cfRule>
  </conditionalFormatting>
  <conditionalFormatting sqref="D48">
    <cfRule type="expression" dxfId="134" priority="137">
      <formula>ISNUMBER(SEARCH(TEXT(#REF!,"ddd"),#REF!))</formula>
    </cfRule>
  </conditionalFormatting>
  <conditionalFormatting sqref="A52">
    <cfRule type="expression" dxfId="133" priority="136">
      <formula>ISNUMBER(SEARCH(TEXT(#REF!,"ddd"),#REF!))</formula>
    </cfRule>
  </conditionalFormatting>
  <conditionalFormatting sqref="D52">
    <cfRule type="expression" dxfId="132" priority="135">
      <formula>ISNUMBER(SEARCH(TEXT(#REF!,"ddd"),#REF!))</formula>
    </cfRule>
  </conditionalFormatting>
  <conditionalFormatting sqref="A54">
    <cfRule type="expression" dxfId="131" priority="134">
      <formula>ISNUMBER(SEARCH(TEXT(#REF!,"ddd"),#REF!))</formula>
    </cfRule>
  </conditionalFormatting>
  <conditionalFormatting sqref="D54">
    <cfRule type="expression" dxfId="130" priority="133">
      <formula>ISNUMBER(SEARCH(TEXT(#REF!,"ddd"),#REF!))</formula>
    </cfRule>
  </conditionalFormatting>
  <conditionalFormatting sqref="A56">
    <cfRule type="expression" dxfId="129" priority="132">
      <formula>ISNUMBER(SEARCH(TEXT(#REF!,"ddd"),#REF!))</formula>
    </cfRule>
  </conditionalFormatting>
  <conditionalFormatting sqref="D56">
    <cfRule type="expression" dxfId="128" priority="131">
      <formula>ISNUMBER(SEARCH(TEXT(#REF!,"ddd"),#REF!))</formula>
    </cfRule>
  </conditionalFormatting>
  <conditionalFormatting sqref="A58">
    <cfRule type="expression" dxfId="127" priority="130">
      <formula>ISNUMBER(SEARCH(TEXT(#REF!,"ddd"),#REF!))</formula>
    </cfRule>
  </conditionalFormatting>
  <conditionalFormatting sqref="D58">
    <cfRule type="expression" dxfId="126" priority="129">
      <formula>ISNUMBER(SEARCH(TEXT(#REF!,"ddd"),#REF!))</formula>
    </cfRule>
  </conditionalFormatting>
  <conditionalFormatting sqref="A60">
    <cfRule type="expression" dxfId="125" priority="128">
      <formula>ISNUMBER(SEARCH(TEXT(#REF!,"ddd"),#REF!))</formula>
    </cfRule>
  </conditionalFormatting>
  <conditionalFormatting sqref="A62">
    <cfRule type="expression" dxfId="124" priority="127">
      <formula>ISNUMBER(SEARCH(TEXT(#REF!,"ddd"),#REF!))</formula>
    </cfRule>
  </conditionalFormatting>
  <conditionalFormatting sqref="D60">
    <cfRule type="expression" dxfId="123" priority="126">
      <formula>ISNUMBER(SEARCH(TEXT(#REF!,"ddd"),#REF!))</formula>
    </cfRule>
  </conditionalFormatting>
  <conditionalFormatting sqref="D62">
    <cfRule type="expression" dxfId="122" priority="125">
      <formula>ISNUMBER(SEARCH(TEXT(#REF!,"ddd"),#REF!))</formula>
    </cfRule>
  </conditionalFormatting>
  <conditionalFormatting sqref="A48">
    <cfRule type="expression" dxfId="121" priority="124">
      <formula>ISNUMBER(SEARCH(TEXT(#REF!,"ddd"),#REF!))</formula>
    </cfRule>
  </conditionalFormatting>
  <conditionalFormatting sqref="A48">
    <cfRule type="expression" dxfId="120" priority="123">
      <formula>ISNUMBER(SEARCH(TEXT(#REF!,"ddd"),#REF!))</formula>
    </cfRule>
  </conditionalFormatting>
  <conditionalFormatting sqref="A46">
    <cfRule type="expression" dxfId="119" priority="122">
      <formula>ISNUMBER(SEARCH(TEXT(#REF!,"ddd"),#REF!))</formula>
    </cfRule>
  </conditionalFormatting>
  <conditionalFormatting sqref="A46">
    <cfRule type="expression" dxfId="118" priority="121">
      <formula>ISNUMBER(SEARCH(TEXT(#REF!,"ddd"),#REF!))</formula>
    </cfRule>
  </conditionalFormatting>
  <conditionalFormatting sqref="A44">
    <cfRule type="expression" dxfId="117" priority="120">
      <formula>ISNUMBER(SEARCH(TEXT(#REF!,"ddd"),#REF!))</formula>
    </cfRule>
  </conditionalFormatting>
  <conditionalFormatting sqref="A44">
    <cfRule type="expression" dxfId="116" priority="119">
      <formula>ISNUMBER(SEARCH(TEXT(#REF!,"ddd"),#REF!))</formula>
    </cfRule>
  </conditionalFormatting>
  <conditionalFormatting sqref="A42">
    <cfRule type="expression" dxfId="115" priority="118">
      <formula>ISNUMBER(SEARCH(TEXT(#REF!,"ddd"),#REF!))</formula>
    </cfRule>
  </conditionalFormatting>
  <conditionalFormatting sqref="A42">
    <cfRule type="expression" dxfId="114" priority="117">
      <formula>ISNUMBER(SEARCH(TEXT(#REF!,"ddd"),#REF!))</formula>
    </cfRule>
  </conditionalFormatting>
  <conditionalFormatting sqref="A40">
    <cfRule type="expression" dxfId="113" priority="116">
      <formula>ISNUMBER(SEARCH(TEXT(#REF!,"ddd"),#REF!))</formula>
    </cfRule>
  </conditionalFormatting>
  <conditionalFormatting sqref="A40">
    <cfRule type="expression" dxfId="112" priority="115">
      <formula>ISNUMBER(SEARCH(TEXT(#REF!,"ddd"),#REF!))</formula>
    </cfRule>
  </conditionalFormatting>
  <conditionalFormatting sqref="A38">
    <cfRule type="expression" dxfId="111" priority="114">
      <formula>ISNUMBER(SEARCH(TEXT(#REF!,"ddd"),#REF!))</formula>
    </cfRule>
  </conditionalFormatting>
  <conditionalFormatting sqref="A38">
    <cfRule type="expression" dxfId="110" priority="113">
      <formula>ISNUMBER(SEARCH(TEXT(#REF!,"ddd"),#REF!))</formula>
    </cfRule>
  </conditionalFormatting>
  <conditionalFormatting sqref="B32">
    <cfRule type="expression" dxfId="109" priority="112">
      <formula>ISNUMBER(SEARCH(TEXT(#REF!,"ddd"),#REF!))</formula>
    </cfRule>
  </conditionalFormatting>
  <conditionalFormatting sqref="A32">
    <cfRule type="expression" dxfId="108" priority="111">
      <formula>ISNUMBER(SEARCH(TEXT(#REF!,"ddd"),#REF!))</formula>
    </cfRule>
  </conditionalFormatting>
  <conditionalFormatting sqref="A32">
    <cfRule type="expression" dxfId="107" priority="110">
      <formula>ISNUMBER(SEARCH(TEXT(#REF!,"ddd"),#REF!))</formula>
    </cfRule>
  </conditionalFormatting>
  <conditionalFormatting sqref="D32">
    <cfRule type="expression" dxfId="106" priority="109">
      <formula>ISNUMBER(SEARCH(TEXT(#REF!,"ddd"),#REF!))</formula>
    </cfRule>
  </conditionalFormatting>
  <conditionalFormatting sqref="D32">
    <cfRule type="expression" dxfId="105" priority="108">
      <formula>ISNUMBER(SEARCH(TEXT(#REF!,"ddd"),#REF!))</formula>
    </cfRule>
  </conditionalFormatting>
  <conditionalFormatting sqref="A34">
    <cfRule type="expression" dxfId="104" priority="107">
      <formula>ISNUMBER(SEARCH(TEXT(#REF!,"ddd"),#REF!))</formula>
    </cfRule>
  </conditionalFormatting>
  <conditionalFormatting sqref="A34">
    <cfRule type="expression" dxfId="103" priority="106">
      <formula>ISNUMBER(SEARCH(TEXT(#REF!,"ddd"),#REF!))</formula>
    </cfRule>
  </conditionalFormatting>
  <conditionalFormatting sqref="A60">
    <cfRule type="expression" dxfId="102" priority="105">
      <formula>ISNUMBER(SEARCH(TEXT(#REF!,"ddd"),#REF!))</formula>
    </cfRule>
  </conditionalFormatting>
  <conditionalFormatting sqref="A62">
    <cfRule type="expression" dxfId="101" priority="104">
      <formula>ISNUMBER(SEARCH(TEXT(#REF!,"ddd"),#REF!))</formula>
    </cfRule>
  </conditionalFormatting>
  <conditionalFormatting sqref="A58">
    <cfRule type="expression" dxfId="100" priority="103">
      <formula>ISNUMBER(SEARCH(TEXT(#REF!,"ddd"),#REF!))</formula>
    </cfRule>
  </conditionalFormatting>
  <conditionalFormatting sqref="D58">
    <cfRule type="expression" dxfId="99" priority="102">
      <formula>ISNUMBER(SEARCH(TEXT(#REF!,"ddd"),#REF!))</formula>
    </cfRule>
  </conditionalFormatting>
  <conditionalFormatting sqref="D60">
    <cfRule type="expression" dxfId="98" priority="101">
      <formula>ISNUMBER(SEARCH(TEXT(#REF!,"ddd"),#REF!))</formula>
    </cfRule>
  </conditionalFormatting>
  <conditionalFormatting sqref="A64">
    <cfRule type="expression" dxfId="97" priority="100">
      <formula>ISNUMBER(SEARCH(TEXT(#REF!,"ddd"),#REF!))</formula>
    </cfRule>
  </conditionalFormatting>
  <conditionalFormatting sqref="D62">
    <cfRule type="expression" dxfId="96" priority="99">
      <formula>ISNUMBER(SEARCH(TEXT(#REF!,"ddd"),#REF!))</formula>
    </cfRule>
  </conditionalFormatting>
  <conditionalFormatting sqref="D64">
    <cfRule type="expression" dxfId="95" priority="98">
      <formula>ISNUMBER(SEARCH(TEXT(#REF!,"ddd"),#REF!))</formula>
    </cfRule>
  </conditionalFormatting>
  <conditionalFormatting sqref="A52">
    <cfRule type="expression" dxfId="94" priority="97">
      <formula>ISNUMBER(SEARCH(TEXT(#REF!,"ddd"),#REF!))</formula>
    </cfRule>
  </conditionalFormatting>
  <conditionalFormatting sqref="D52">
    <cfRule type="expression" dxfId="93" priority="96">
      <formula>ISNUMBER(SEARCH(TEXT(#REF!,"ddd"),#REF!))</formula>
    </cfRule>
  </conditionalFormatting>
  <conditionalFormatting sqref="A54">
    <cfRule type="expression" dxfId="92" priority="95">
      <formula>ISNUMBER(SEARCH(TEXT(#REF!,"ddd"),#REF!))</formula>
    </cfRule>
  </conditionalFormatting>
  <conditionalFormatting sqref="A56">
    <cfRule type="expression" dxfId="91" priority="94">
      <formula>ISNUMBER(SEARCH(TEXT(#REF!,"ddd"),#REF!))</formula>
    </cfRule>
  </conditionalFormatting>
  <conditionalFormatting sqref="D54">
    <cfRule type="expression" dxfId="90" priority="93">
      <formula>ISNUMBER(SEARCH(TEXT(#REF!,"ddd"),#REF!))</formula>
    </cfRule>
  </conditionalFormatting>
  <conditionalFormatting sqref="D56">
    <cfRule type="expression" dxfId="89" priority="92">
      <formula>ISNUMBER(SEARCH(TEXT(#REF!,"ddd"),#REF!))</formula>
    </cfRule>
  </conditionalFormatting>
  <conditionalFormatting sqref="A52">
    <cfRule type="expression" dxfId="88" priority="91">
      <formula>ISNUMBER(SEARCH(TEXT(#REF!,"ddd"),#REF!))</formula>
    </cfRule>
  </conditionalFormatting>
  <conditionalFormatting sqref="D52">
    <cfRule type="expression" dxfId="87" priority="90">
      <formula>ISNUMBER(SEARCH(TEXT(#REF!,"ddd"),#REF!))</formula>
    </cfRule>
  </conditionalFormatting>
  <conditionalFormatting sqref="A54">
    <cfRule type="expression" dxfId="86" priority="89">
      <formula>ISNUMBER(SEARCH(TEXT(#REF!,"ddd"),#REF!))</formula>
    </cfRule>
  </conditionalFormatting>
  <conditionalFormatting sqref="D54">
    <cfRule type="expression" dxfId="85" priority="88">
      <formula>ISNUMBER(SEARCH(TEXT(#REF!,"ddd"),#REF!))</formula>
    </cfRule>
  </conditionalFormatting>
  <conditionalFormatting sqref="A56">
    <cfRule type="expression" dxfId="84" priority="87">
      <formula>ISNUMBER(SEARCH(TEXT(#REF!,"ddd"),#REF!))</formula>
    </cfRule>
  </conditionalFormatting>
  <conditionalFormatting sqref="D56">
    <cfRule type="expression" dxfId="83" priority="86">
      <formula>ISNUMBER(SEARCH(TEXT(#REF!,"ddd"),#REF!))</formula>
    </cfRule>
  </conditionalFormatting>
  <conditionalFormatting sqref="A58">
    <cfRule type="expression" dxfId="82" priority="85">
      <formula>ISNUMBER(SEARCH(TEXT(#REF!,"ddd"),#REF!))</formula>
    </cfRule>
  </conditionalFormatting>
  <conditionalFormatting sqref="A60">
    <cfRule type="expression" dxfId="81" priority="84">
      <formula>ISNUMBER(SEARCH(TEXT(#REF!,"ddd"),#REF!))</formula>
    </cfRule>
  </conditionalFormatting>
  <conditionalFormatting sqref="D58">
    <cfRule type="expression" dxfId="80" priority="83">
      <formula>ISNUMBER(SEARCH(TEXT(#REF!,"ddd"),#REF!))</formula>
    </cfRule>
  </conditionalFormatting>
  <conditionalFormatting sqref="D60">
    <cfRule type="expression" dxfId="79" priority="82">
      <formula>ISNUMBER(SEARCH(TEXT(#REF!,"ddd"),#REF!))</formula>
    </cfRule>
  </conditionalFormatting>
  <conditionalFormatting sqref="A64">
    <cfRule type="expression" dxfId="78" priority="81">
      <formula>ISNUMBER(SEARCH(TEXT(#REF!,"ddd"),#REF!))</formula>
    </cfRule>
  </conditionalFormatting>
  <conditionalFormatting sqref="A62">
    <cfRule type="expression" dxfId="77" priority="80">
      <formula>ISNUMBER(SEARCH(TEXT(#REF!,"ddd"),#REF!))</formula>
    </cfRule>
  </conditionalFormatting>
  <conditionalFormatting sqref="D62">
    <cfRule type="expression" dxfId="76" priority="79">
      <formula>ISNUMBER(SEARCH(TEXT(#REF!,"ddd"),#REF!))</formula>
    </cfRule>
  </conditionalFormatting>
  <conditionalFormatting sqref="D64">
    <cfRule type="expression" dxfId="75" priority="78">
      <formula>ISNUMBER(SEARCH(TEXT(#REF!,"ddd"),#REF!))</formula>
    </cfRule>
  </conditionalFormatting>
  <conditionalFormatting sqref="A52">
    <cfRule type="expression" dxfId="74" priority="77">
      <formula>ISNUMBER(SEARCH(TEXT(#REF!,"ddd"),#REF!))</formula>
    </cfRule>
  </conditionalFormatting>
  <conditionalFormatting sqref="D52">
    <cfRule type="expression" dxfId="73" priority="76">
      <formula>ISNUMBER(SEARCH(TEXT(#REF!,"ddd"),#REF!))</formula>
    </cfRule>
  </conditionalFormatting>
  <conditionalFormatting sqref="A54">
    <cfRule type="expression" dxfId="72" priority="75">
      <formula>ISNUMBER(SEARCH(TEXT(#REF!,"ddd"),#REF!))</formula>
    </cfRule>
  </conditionalFormatting>
  <conditionalFormatting sqref="D54">
    <cfRule type="expression" dxfId="71" priority="74">
      <formula>ISNUMBER(SEARCH(TEXT(#REF!,"ddd"),#REF!))</formula>
    </cfRule>
  </conditionalFormatting>
  <conditionalFormatting sqref="A56">
    <cfRule type="expression" dxfId="70" priority="73">
      <formula>ISNUMBER(SEARCH(TEXT(#REF!,"ddd"),#REF!))</formula>
    </cfRule>
  </conditionalFormatting>
  <conditionalFormatting sqref="D56">
    <cfRule type="expression" dxfId="69" priority="72">
      <formula>ISNUMBER(SEARCH(TEXT(#REF!,"ddd"),#REF!))</formula>
    </cfRule>
  </conditionalFormatting>
  <conditionalFormatting sqref="A58">
    <cfRule type="expression" dxfId="68" priority="71">
      <formula>ISNUMBER(SEARCH(TEXT(#REF!,"ddd"),#REF!))</formula>
    </cfRule>
  </conditionalFormatting>
  <conditionalFormatting sqref="A60">
    <cfRule type="expression" dxfId="67" priority="70">
      <formula>ISNUMBER(SEARCH(TEXT(#REF!,"ddd"),#REF!))</formula>
    </cfRule>
  </conditionalFormatting>
  <conditionalFormatting sqref="D58">
    <cfRule type="expression" dxfId="66" priority="69">
      <formula>ISNUMBER(SEARCH(TEXT(#REF!,"ddd"),#REF!))</formula>
    </cfRule>
  </conditionalFormatting>
  <conditionalFormatting sqref="D60">
    <cfRule type="expression" dxfId="65" priority="68">
      <formula>ISNUMBER(SEARCH(TEXT(#REF!,"ddd"),#REF!))</formula>
    </cfRule>
  </conditionalFormatting>
  <conditionalFormatting sqref="A52">
    <cfRule type="expression" dxfId="64" priority="67">
      <formula>ISNUMBER(SEARCH(TEXT(#REF!,"ddd"),#REF!))</formula>
    </cfRule>
  </conditionalFormatting>
  <conditionalFormatting sqref="D52">
    <cfRule type="expression" dxfId="63" priority="66">
      <formula>ISNUMBER(SEARCH(TEXT(#REF!,"ddd"),#REF!))</formula>
    </cfRule>
  </conditionalFormatting>
  <conditionalFormatting sqref="A54">
    <cfRule type="expression" dxfId="62" priority="65">
      <formula>ISNUMBER(SEARCH(TEXT(#REF!,"ddd"),#REF!))</formula>
    </cfRule>
  </conditionalFormatting>
  <conditionalFormatting sqref="D54">
    <cfRule type="expression" dxfId="61" priority="64">
      <formula>ISNUMBER(SEARCH(TEXT(#REF!,"ddd"),#REF!))</formula>
    </cfRule>
  </conditionalFormatting>
  <conditionalFormatting sqref="A56">
    <cfRule type="expression" dxfId="60" priority="63">
      <formula>ISNUMBER(SEARCH(TEXT(#REF!,"ddd"),#REF!))</formula>
    </cfRule>
  </conditionalFormatting>
  <conditionalFormatting sqref="D56">
    <cfRule type="expression" dxfId="59" priority="62">
      <formula>ISNUMBER(SEARCH(TEXT(#REF!,"ddd"),#REF!))</formula>
    </cfRule>
  </conditionalFormatting>
  <conditionalFormatting sqref="A58">
    <cfRule type="expression" dxfId="58" priority="61">
      <formula>ISNUMBER(SEARCH(TEXT(#REF!,"ddd"),#REF!))</formula>
    </cfRule>
  </conditionalFormatting>
  <conditionalFormatting sqref="D58">
    <cfRule type="expression" dxfId="57" priority="60">
      <formula>ISNUMBER(SEARCH(TEXT(#REF!,"ddd"),#REF!))</formula>
    </cfRule>
  </conditionalFormatting>
  <conditionalFormatting sqref="A60">
    <cfRule type="expression" dxfId="56" priority="59">
      <formula>ISNUMBER(SEARCH(TEXT(#REF!,"ddd"),#REF!))</formula>
    </cfRule>
  </conditionalFormatting>
  <conditionalFormatting sqref="D60">
    <cfRule type="expression" dxfId="55" priority="58">
      <formula>ISNUMBER(SEARCH(TEXT(#REF!,"ddd"),#REF!))</formula>
    </cfRule>
  </conditionalFormatting>
  <conditionalFormatting sqref="A62">
    <cfRule type="expression" dxfId="54" priority="57">
      <formula>ISNUMBER(SEARCH(TEXT(#REF!,"ddd"),#REF!))</formula>
    </cfRule>
  </conditionalFormatting>
  <conditionalFormatting sqref="A64">
    <cfRule type="expression" dxfId="53" priority="56">
      <formula>ISNUMBER(SEARCH(TEXT(#REF!,"ddd"),#REF!))</formula>
    </cfRule>
  </conditionalFormatting>
  <conditionalFormatting sqref="D62">
    <cfRule type="expression" dxfId="52" priority="55">
      <formula>ISNUMBER(SEARCH(TEXT(#REF!,"ddd"),#REF!))</formula>
    </cfRule>
  </conditionalFormatting>
  <conditionalFormatting sqref="D64">
    <cfRule type="expression" dxfId="51" priority="54">
      <formula>ISNUMBER(SEARCH(TEXT(#REF!,"ddd"),#REF!))</formula>
    </cfRule>
  </conditionalFormatting>
  <conditionalFormatting sqref="A50">
    <cfRule type="expression" dxfId="50" priority="53">
      <formula>ISNUMBER(SEARCH(TEXT(#REF!,"ddd"),#REF!))</formula>
    </cfRule>
  </conditionalFormatting>
  <conditionalFormatting sqref="A50">
    <cfRule type="expression" dxfId="49" priority="52">
      <formula>ISNUMBER(SEARCH(TEXT(#REF!,"ddd"),#REF!))</formula>
    </cfRule>
  </conditionalFormatting>
  <conditionalFormatting sqref="A50">
    <cfRule type="expression" dxfId="48" priority="51">
      <formula>ISNUMBER(SEARCH(TEXT(#REF!,"ddd"),#REF!))</formula>
    </cfRule>
  </conditionalFormatting>
  <conditionalFormatting sqref="A50">
    <cfRule type="expression" dxfId="47" priority="50">
      <formula>ISNUMBER(SEARCH(TEXT(#REF!,"ddd"),#REF!))</formula>
    </cfRule>
  </conditionalFormatting>
  <conditionalFormatting sqref="A50">
    <cfRule type="expression" dxfId="46" priority="49">
      <formula>ISNUMBER(SEARCH(TEXT(#REF!,"ddd"),#REF!))</formula>
    </cfRule>
  </conditionalFormatting>
  <conditionalFormatting sqref="A50">
    <cfRule type="expression" dxfId="45" priority="48">
      <formula>ISNUMBER(SEARCH(TEXT(#REF!,"ddd"),#REF!))</formula>
    </cfRule>
  </conditionalFormatting>
  <conditionalFormatting sqref="A50">
    <cfRule type="expression" dxfId="44" priority="47">
      <formula>ISNUMBER(SEARCH(TEXT(#REF!,"ddd"),#REF!))</formula>
    </cfRule>
  </conditionalFormatting>
  <conditionalFormatting sqref="A50">
    <cfRule type="expression" dxfId="43" priority="46">
      <formula>ISNUMBER(SEARCH(TEXT(#REF!,"ddd"),#REF!))</formula>
    </cfRule>
  </conditionalFormatting>
  <conditionalFormatting sqref="D50">
    <cfRule type="expression" dxfId="42" priority="45">
      <formula>ISNUMBER(SEARCH(TEXT(#REF!,"ddd"),#REF!))</formula>
    </cfRule>
  </conditionalFormatting>
  <conditionalFormatting sqref="D50">
    <cfRule type="expression" dxfId="41" priority="44">
      <formula>ISNUMBER(SEARCH(TEXT(#REF!,"ddd"),#REF!))</formula>
    </cfRule>
  </conditionalFormatting>
  <conditionalFormatting sqref="D50">
    <cfRule type="expression" dxfId="40" priority="43">
      <formula>ISNUMBER(SEARCH(TEXT(#REF!,"ddd"),#REF!))</formula>
    </cfRule>
  </conditionalFormatting>
  <conditionalFormatting sqref="D50">
    <cfRule type="expression" dxfId="39" priority="42">
      <formula>ISNUMBER(SEARCH(TEXT(#REF!,"ddd"),#REF!))</formula>
    </cfRule>
  </conditionalFormatting>
  <conditionalFormatting sqref="A66">
    <cfRule type="expression" dxfId="38" priority="41">
      <formula>ISNUMBER(SEARCH(TEXT(#REF!,"ddd"),#REF!))</formula>
    </cfRule>
  </conditionalFormatting>
  <conditionalFormatting sqref="A66">
    <cfRule type="expression" dxfId="37" priority="40">
      <formula>ISNUMBER(SEARCH(TEXT(#REF!,"ddd"),#REF!))</formula>
    </cfRule>
  </conditionalFormatting>
  <conditionalFormatting sqref="A66">
    <cfRule type="expression" dxfId="36" priority="39">
      <formula>ISNUMBER(SEARCH(TEXT(#REF!,"ddd"),#REF!))</formula>
    </cfRule>
  </conditionalFormatting>
  <conditionalFormatting sqref="A66">
    <cfRule type="expression" dxfId="35" priority="38">
      <formula>ISNUMBER(SEARCH(TEXT(#REF!,"ddd"),#REF!))</formula>
    </cfRule>
  </conditionalFormatting>
  <conditionalFormatting sqref="D66">
    <cfRule type="expression" dxfId="34" priority="37">
      <formula>ISNUMBER(SEARCH(TEXT(#REF!,"ddd"),#REF!))</formula>
    </cfRule>
  </conditionalFormatting>
  <conditionalFormatting sqref="D66">
    <cfRule type="expression" dxfId="33" priority="36">
      <formula>ISNUMBER(SEARCH(TEXT(#REF!,"ddd"),#REF!))</formula>
    </cfRule>
  </conditionalFormatting>
  <conditionalFormatting sqref="D66">
    <cfRule type="expression" dxfId="32" priority="35">
      <formula>ISNUMBER(SEARCH(TEXT(#REF!,"ddd"),#REF!))</formula>
    </cfRule>
  </conditionalFormatting>
  <conditionalFormatting sqref="D66">
    <cfRule type="expression" dxfId="31" priority="34">
      <formula>ISNUMBER(SEARCH(TEXT(#REF!,"ddd"),#REF!))</formula>
    </cfRule>
  </conditionalFormatting>
  <conditionalFormatting sqref="D34">
    <cfRule type="expression" dxfId="30" priority="33">
      <formula>ISNUMBER(SEARCH(TEXT(#REF!,"ddd"),#REF!))</formula>
    </cfRule>
  </conditionalFormatting>
  <conditionalFormatting sqref="D34">
    <cfRule type="expression" dxfId="29" priority="32">
      <formula>ISNUMBER(SEARCH(TEXT(#REF!,"ddd"),#REF!))</formula>
    </cfRule>
  </conditionalFormatting>
  <conditionalFormatting sqref="A68">
    <cfRule type="expression" dxfId="28" priority="31">
      <formula>ISNUMBER(SEARCH(TEXT(#REF!,"ddd"),#REF!))</formula>
    </cfRule>
  </conditionalFormatting>
  <conditionalFormatting sqref="A68">
    <cfRule type="expression" dxfId="27" priority="30">
      <formula>ISNUMBER(SEARCH(TEXT(#REF!,"ddd"),#REF!))</formula>
    </cfRule>
  </conditionalFormatting>
  <conditionalFormatting sqref="A68">
    <cfRule type="expression" dxfId="26" priority="29">
      <formula>ISNUMBER(SEARCH(TEXT(#REF!,"ddd"),#REF!))</formula>
    </cfRule>
  </conditionalFormatting>
  <conditionalFormatting sqref="A68">
    <cfRule type="expression" dxfId="25" priority="28">
      <formula>ISNUMBER(SEARCH(TEXT(#REF!,"ddd"),#REF!))</formula>
    </cfRule>
  </conditionalFormatting>
  <conditionalFormatting sqref="D68">
    <cfRule type="expression" dxfId="24" priority="27">
      <formula>ISNUMBER(SEARCH(TEXT(#REF!,"ddd"),#REF!))</formula>
    </cfRule>
  </conditionalFormatting>
  <conditionalFormatting sqref="D68">
    <cfRule type="expression" dxfId="23" priority="26">
      <formula>ISNUMBER(SEARCH(TEXT(#REF!,"ddd"),#REF!))</formula>
    </cfRule>
  </conditionalFormatting>
  <conditionalFormatting sqref="D68">
    <cfRule type="expression" dxfId="22" priority="25">
      <formula>ISNUMBER(SEARCH(TEXT(#REF!,"ddd"),#REF!))</formula>
    </cfRule>
  </conditionalFormatting>
  <conditionalFormatting sqref="D68">
    <cfRule type="expression" dxfId="21" priority="24">
      <formula>ISNUMBER(SEARCH(TEXT(#REF!,"ddd"),#REF!))</formula>
    </cfRule>
  </conditionalFormatting>
  <conditionalFormatting sqref="D70">
    <cfRule type="expression" dxfId="20" priority="23">
      <formula>ISNUMBER(SEARCH(TEXT(#REF!,"ddd"),#REF!))</formula>
    </cfRule>
  </conditionalFormatting>
  <conditionalFormatting sqref="D70">
    <cfRule type="expression" dxfId="19" priority="22">
      <formula>ISNUMBER(SEARCH(TEXT(#REF!,"ddd"),#REF!))</formula>
    </cfRule>
  </conditionalFormatting>
  <conditionalFormatting sqref="D70">
    <cfRule type="expression" dxfId="18" priority="21">
      <formula>ISNUMBER(SEARCH(TEXT(#REF!,"ddd"),#REF!))</formula>
    </cfRule>
  </conditionalFormatting>
  <conditionalFormatting sqref="D70">
    <cfRule type="expression" dxfId="17" priority="20">
      <formula>ISNUMBER(SEARCH(TEXT(#REF!,"ddd"),#REF!))</formula>
    </cfRule>
  </conditionalFormatting>
  <conditionalFormatting sqref="B12">
    <cfRule type="expression" dxfId="16" priority="18">
      <formula>ISNUMBER(SEARCH(TEXT(#REF!,"ddd"),#REF!))</formula>
    </cfRule>
  </conditionalFormatting>
  <conditionalFormatting sqref="D14">
    <cfRule type="expression" dxfId="15" priority="16">
      <formula>ISNUMBER(SEARCH(TEXT(#REF!,"ddd"),#REF!))</formula>
    </cfRule>
  </conditionalFormatting>
  <conditionalFormatting sqref="A14">
    <cfRule type="expression" dxfId="14" priority="15">
      <formula>ISNUMBER(SEARCH(TEXT(#REF!,"ddd"),#REF!))</formula>
    </cfRule>
  </conditionalFormatting>
  <conditionalFormatting sqref="B16">
    <cfRule type="expression" dxfId="13" priority="14">
      <formula>ISNUMBER(SEARCH(TEXT(#REF!,"ddd"),#REF!))</formula>
    </cfRule>
  </conditionalFormatting>
  <conditionalFormatting sqref="A16">
    <cfRule type="expression" dxfId="12" priority="13">
      <formula>ISNUMBER(SEARCH(TEXT(#REF!,"ddd"),#REF!))</formula>
    </cfRule>
  </conditionalFormatting>
  <conditionalFormatting sqref="D16">
    <cfRule type="expression" dxfId="11" priority="12">
      <formula>ISNUMBER(SEARCH(TEXT(#REF!,"ddd"),#REF!))</formula>
    </cfRule>
  </conditionalFormatting>
  <conditionalFormatting sqref="A18">
    <cfRule type="expression" dxfId="10" priority="11">
      <formula>ISNUMBER(SEARCH(TEXT(#REF!,"ddd"),#REF!))</formula>
    </cfRule>
  </conditionalFormatting>
  <conditionalFormatting sqref="D18">
    <cfRule type="expression" dxfId="9" priority="10">
      <formula>ISNUMBER(SEARCH(TEXT(#REF!,"ddd"),#REF!))</formula>
    </cfRule>
  </conditionalFormatting>
  <conditionalFormatting sqref="D20">
    <cfRule type="expression" dxfId="8" priority="9">
      <formula>ISNUMBER(SEARCH(TEXT(#REF!,"ddd"),#REF!))</formula>
    </cfRule>
  </conditionalFormatting>
  <conditionalFormatting sqref="A22">
    <cfRule type="expression" dxfId="7" priority="8">
      <formula>ISNUMBER(SEARCH(TEXT(#REF!,"ddd"),#REF!))</formula>
    </cfRule>
  </conditionalFormatting>
  <conditionalFormatting sqref="D22">
    <cfRule type="expression" dxfId="6" priority="7">
      <formula>ISNUMBER(SEARCH(TEXT(#REF!,"ddd"),#REF!))</formula>
    </cfRule>
  </conditionalFormatting>
  <conditionalFormatting sqref="D24">
    <cfRule type="expression" dxfId="5" priority="6">
      <formula>ISNUMBER(SEARCH(TEXT(#REF!,"ddd"),#REF!))</formula>
    </cfRule>
  </conditionalFormatting>
  <conditionalFormatting sqref="C26">
    <cfRule type="expression" dxfId="4" priority="5">
      <formula>ISNUMBER(SEARCH(TEXT(#REF!,"ddd"),#REF!))</formula>
    </cfRule>
  </conditionalFormatting>
  <conditionalFormatting sqref="A26">
    <cfRule type="expression" dxfId="3" priority="4">
      <formula>ISNUMBER(SEARCH(TEXT(#REF!,"ddd"),#REF!))</formula>
    </cfRule>
  </conditionalFormatting>
  <conditionalFormatting sqref="D26">
    <cfRule type="expression" dxfId="2" priority="3">
      <formula>ISNUMBER(SEARCH(TEXT(#REF!,"ddd"),#REF!))</formula>
    </cfRule>
  </conditionalFormatting>
  <conditionalFormatting sqref="A12">
    <cfRule type="expression" dxfId="1" priority="2">
      <formula>ISNUMBER(SEARCH(TEXT(#REF!,"ddd"),#REF!))</formula>
    </cfRule>
  </conditionalFormatting>
  <conditionalFormatting sqref="D12">
    <cfRule type="expression" dxfId="0" priority="1">
      <formula>ISNUMBER(SEARCH(TEXT(#REF!,"ddd"),#REF!))</formula>
    </cfRule>
  </conditionalFormatting>
  <dataValidations count="2">
    <dataValidation type="custom" allowBlank="1" showInputMessage="1" showErrorMessage="1" sqref="C10 C16 C18 C34 C38" xr:uid="{51956A5C-20BB-4714-A2D1-49034DCCD2F0}">
      <formula1>AND($C10&lt;=1,ISNUMBER($C10),($C10&gt;=$B10))</formula1>
    </dataValidation>
    <dataValidation type="custom" allowBlank="1" showInputMessage="1" showErrorMessage="1" sqref="B10 B34 B20:C20 B18 B38 B22:C22 B12:C14 B30 B16 C26" xr:uid="{7C5969C3-75DE-4C81-BA66-B3E9A2C25F1A}">
      <formula1>AND($B10&lt;=1,ISNUMBER($B10))</formula1>
    </dataValidation>
  </dataValidations>
  <pageMargins left="0.11811023622047245" right="0" top="0.11811023622047245" bottom="0.15748031496062992" header="0" footer="0"/>
  <pageSetup paperSize="9" scale="49" fitToHeight="0" orientation="portrait" horizontalDpi="4294967293" verticalDpi="4294967293"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5C2D0-C410-4B25-8907-1EF964BA41F5}">
  <sheetPr codeName="Sheet5"/>
  <dimension ref="A6"/>
  <sheetViews>
    <sheetView workbookViewId="0">
      <selection activeCell="E40" sqref="E40:F41"/>
    </sheetView>
  </sheetViews>
  <sheetFormatPr baseColWidth="10" defaultColWidth="9" defaultRowHeight="12.75" x14ac:dyDescent="0.2"/>
  <sheetData>
    <row r="6" spans="1:1" x14ac:dyDescent="0.2">
      <c r="A6" s="21">
        <v>0</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2"/>
  <sheetViews>
    <sheetView showGridLines="0" workbookViewId="0">
      <selection activeCell="B2" sqref="B2"/>
    </sheetView>
  </sheetViews>
  <sheetFormatPr baseColWidth="10" defaultColWidth="9" defaultRowHeight="12.75" x14ac:dyDescent="0.2"/>
  <cols>
    <col min="1" max="1" width="9" style="2"/>
    <col min="2" max="2" width="9.75" style="2" bestFit="1" customWidth="1"/>
    <col min="3" max="3" width="9" style="2"/>
    <col min="4" max="4" width="11.125" style="2" bestFit="1" customWidth="1"/>
    <col min="5" max="5" width="9.875" customWidth="1"/>
    <col min="6" max="6" width="9.75" customWidth="1"/>
  </cols>
  <sheetData>
    <row r="1" spans="1:5" x14ac:dyDescent="0.2">
      <c r="A1" s="4" t="s">
        <v>91</v>
      </c>
      <c r="B1" s="4" t="s">
        <v>92</v>
      </c>
      <c r="C1" s="4" t="s">
        <v>93</v>
      </c>
      <c r="D1" s="4" t="s">
        <v>94</v>
      </c>
      <c r="E1" s="4" t="s">
        <v>95</v>
      </c>
    </row>
    <row r="2" spans="1:5" x14ac:dyDescent="0.2">
      <c r="A2" s="2">
        <v>2015</v>
      </c>
      <c r="B2" s="2" t="s">
        <v>96</v>
      </c>
      <c r="C2" s="2">
        <v>1</v>
      </c>
      <c r="D2" s="3" t="s">
        <v>97</v>
      </c>
      <c r="E2" s="2" t="b">
        <v>1</v>
      </c>
    </row>
    <row r="3" spans="1:5" x14ac:dyDescent="0.2">
      <c r="A3" s="2">
        <v>2016</v>
      </c>
      <c r="B3" s="2" t="s">
        <v>98</v>
      </c>
      <c r="C3" s="2">
        <v>2</v>
      </c>
      <c r="D3" s="3" t="s">
        <v>99</v>
      </c>
    </row>
    <row r="4" spans="1:5" x14ac:dyDescent="0.2">
      <c r="A4" s="2">
        <v>2017</v>
      </c>
      <c r="B4" s="2" t="s">
        <v>100</v>
      </c>
      <c r="C4" s="2">
        <v>3</v>
      </c>
      <c r="D4" s="3" t="s">
        <v>101</v>
      </c>
    </row>
    <row r="5" spans="1:5" x14ac:dyDescent="0.2">
      <c r="A5" s="2">
        <v>2018</v>
      </c>
      <c r="B5" s="2" t="s">
        <v>102</v>
      </c>
      <c r="C5" s="2">
        <v>4</v>
      </c>
      <c r="D5" s="3" t="s">
        <v>103</v>
      </c>
    </row>
    <row r="6" spans="1:5" x14ac:dyDescent="0.2">
      <c r="A6" s="2">
        <v>2019</v>
      </c>
      <c r="B6" s="2" t="s">
        <v>104</v>
      </c>
      <c r="C6" s="2">
        <v>5</v>
      </c>
      <c r="D6" s="3" t="s">
        <v>105</v>
      </c>
    </row>
    <row r="7" spans="1:5" x14ac:dyDescent="0.2">
      <c r="A7" s="2">
        <v>2020</v>
      </c>
      <c r="B7" s="2" t="s">
        <v>106</v>
      </c>
      <c r="C7" s="2">
        <v>6</v>
      </c>
      <c r="D7" s="3" t="s">
        <v>107</v>
      </c>
    </row>
    <row r="8" spans="1:5" x14ac:dyDescent="0.2">
      <c r="A8" s="2">
        <v>2021</v>
      </c>
      <c r="B8" s="2" t="s">
        <v>108</v>
      </c>
      <c r="C8" s="2">
        <v>7</v>
      </c>
      <c r="D8" s="3" t="s">
        <v>109</v>
      </c>
    </row>
    <row r="9" spans="1:5" x14ac:dyDescent="0.2">
      <c r="A9" s="2">
        <v>2022</v>
      </c>
      <c r="B9" s="2" t="s">
        <v>110</v>
      </c>
      <c r="C9" s="2">
        <v>8</v>
      </c>
      <c r="D9" s="3" t="s">
        <v>111</v>
      </c>
    </row>
    <row r="10" spans="1:5" x14ac:dyDescent="0.2">
      <c r="A10" s="2">
        <v>2023</v>
      </c>
      <c r="B10" s="2" t="s">
        <v>112</v>
      </c>
      <c r="C10" s="2">
        <v>9</v>
      </c>
      <c r="D10" s="3" t="s">
        <v>113</v>
      </c>
    </row>
    <row r="11" spans="1:5" x14ac:dyDescent="0.2">
      <c r="A11" s="2">
        <v>2024</v>
      </c>
      <c r="B11" s="2" t="s">
        <v>114</v>
      </c>
      <c r="C11" s="2">
        <v>10</v>
      </c>
      <c r="D11" s="3" t="s">
        <v>115</v>
      </c>
    </row>
    <row r="12" spans="1:5" x14ac:dyDescent="0.2">
      <c r="A12" s="2">
        <v>2025</v>
      </c>
      <c r="B12" s="2" t="s">
        <v>116</v>
      </c>
      <c r="C12" s="2">
        <v>11</v>
      </c>
      <c r="D12" s="3" t="s">
        <v>117</v>
      </c>
    </row>
    <row r="13" spans="1:5" x14ac:dyDescent="0.2">
      <c r="B13" s="2" t="s">
        <v>118</v>
      </c>
      <c r="C13" s="2">
        <v>12</v>
      </c>
      <c r="D13" s="3" t="s">
        <v>119</v>
      </c>
    </row>
    <row r="14" spans="1:5" x14ac:dyDescent="0.2">
      <c r="C14" s="2">
        <v>13</v>
      </c>
      <c r="D14" s="3" t="s">
        <v>120</v>
      </c>
    </row>
    <row r="15" spans="1:5" x14ac:dyDescent="0.2">
      <c r="C15" s="2">
        <v>14</v>
      </c>
      <c r="D15" s="3" t="s">
        <v>121</v>
      </c>
    </row>
    <row r="16" spans="1:5" x14ac:dyDescent="0.2">
      <c r="C16" s="2">
        <v>15</v>
      </c>
      <c r="D16" s="3" t="s">
        <v>122</v>
      </c>
    </row>
    <row r="17" spans="3:4" x14ac:dyDescent="0.2">
      <c r="C17" s="2">
        <v>16</v>
      </c>
      <c r="D17" s="3"/>
    </row>
    <row r="18" spans="3:4" x14ac:dyDescent="0.2">
      <c r="C18" s="2">
        <v>17</v>
      </c>
      <c r="D18" s="3"/>
    </row>
    <row r="19" spans="3:4" x14ac:dyDescent="0.2">
      <c r="C19" s="2">
        <v>18</v>
      </c>
      <c r="D19" s="3"/>
    </row>
    <row r="20" spans="3:4" x14ac:dyDescent="0.2">
      <c r="C20" s="2">
        <v>19</v>
      </c>
    </row>
    <row r="21" spans="3:4" x14ac:dyDescent="0.2">
      <c r="C21" s="2">
        <v>20</v>
      </c>
    </row>
    <row r="22" spans="3:4" x14ac:dyDescent="0.2">
      <c r="C22" s="2">
        <v>21</v>
      </c>
    </row>
    <row r="23" spans="3:4" x14ac:dyDescent="0.2">
      <c r="C23" s="2">
        <v>22</v>
      </c>
    </row>
    <row r="24" spans="3:4" x14ac:dyDescent="0.2">
      <c r="C24" s="2">
        <v>23</v>
      </c>
    </row>
    <row r="25" spans="3:4" x14ac:dyDescent="0.2">
      <c r="C25" s="2">
        <v>24</v>
      </c>
    </row>
    <row r="26" spans="3:4" x14ac:dyDescent="0.2">
      <c r="C26" s="2">
        <v>25</v>
      </c>
    </row>
    <row r="27" spans="3:4" x14ac:dyDescent="0.2">
      <c r="C27" s="2">
        <v>26</v>
      </c>
    </row>
    <row r="28" spans="3:4" x14ac:dyDescent="0.2">
      <c r="C28" s="2">
        <v>27</v>
      </c>
    </row>
    <row r="29" spans="3:4" x14ac:dyDescent="0.2">
      <c r="C29" s="2">
        <v>28</v>
      </c>
    </row>
    <row r="30" spans="3:4" x14ac:dyDescent="0.2">
      <c r="C30" s="2">
        <v>29</v>
      </c>
    </row>
    <row r="31" spans="3:4" x14ac:dyDescent="0.2">
      <c r="C31" s="2">
        <v>30</v>
      </c>
    </row>
    <row r="32" spans="3:4" x14ac:dyDescent="0.2">
      <c r="C32" s="2">
        <v>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23</vt:i4>
      </vt:variant>
    </vt:vector>
  </HeadingPairs>
  <TitlesOfParts>
    <vt:vector size="23" baseType="lpstr">
      <vt:lpstr>Først</vt:lpstr>
      <vt:lpstr>UkeX</vt:lpstr>
      <vt:lpstr>Uke3</vt:lpstr>
      <vt:lpstr>Uke4</vt:lpstr>
      <vt:lpstr>Uke5</vt:lpstr>
      <vt:lpstr>Uke6</vt:lpstr>
      <vt:lpstr>Uke7</vt:lpstr>
      <vt:lpstr>Uke8</vt:lpstr>
      <vt:lpstr>Uke9</vt:lpstr>
      <vt:lpstr>Uke10</vt:lpstr>
      <vt:lpstr>Uke11</vt:lpstr>
      <vt:lpstr>Uke12</vt:lpstr>
      <vt:lpstr>Uke13</vt:lpstr>
      <vt:lpstr>Uke14</vt:lpstr>
      <vt:lpstr>Uke15</vt:lpstr>
      <vt:lpstr>Uke16</vt:lpstr>
      <vt:lpstr>Uke17</vt:lpstr>
      <vt:lpstr>Uke18</vt:lpstr>
      <vt:lpstr>Uke19</vt:lpstr>
      <vt:lpstr>Uke20</vt:lpstr>
      <vt:lpstr>Uke21</vt:lpstr>
      <vt:lpstr>Sist</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sumit bansal</dc:creator>
  <cp:keywords/>
  <dc:description/>
  <cp:lastModifiedBy>Anders</cp:lastModifiedBy>
  <cp:revision/>
  <cp:lastPrinted>2020-05-17T20:44:36Z</cp:lastPrinted>
  <dcterms:created xsi:type="dcterms:W3CDTF">2015-07-13T20:50:55Z</dcterms:created>
  <dcterms:modified xsi:type="dcterms:W3CDTF">2020-05-19T17:42:28Z</dcterms:modified>
  <cp:category/>
  <cp:contentStatus/>
</cp:coreProperties>
</file>
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defaultThemeVersion="166925"/>
  <mc:AlternateContent xmlns:mc="http://schemas.openxmlformats.org/markup-compatibility/2006">
    <mc:Choice Requires="x15">
      <x15ac:absPath xmlns:x15ac="http://schemas.microsoft.com/office/spreadsheetml/2010/11/ac" url="C:\Users\ThinkPad\PycharmProjects\PythonTesting\Scripts\dataExtraction\Weekplans_SystemUtvikling\assets\"/>
    </mc:Choice>
  </mc:AlternateContent>
  <xr:revisionPtr revIDLastSave="0" documentId="13_ncr:1_{8A542515-66AF-4B74-8D0E-D3EC2BFFFA6A}" xr6:coauthVersionLast="44" xr6:coauthVersionMax="45" xr10:uidLastSave="{00000000-0000-0000-0000-000000000000}"/>
  <bookViews>
    <workbookView xWindow="-120" yWindow="480" windowWidth="29040" windowHeight="17640" tabRatio="500" firstSheet="6" activeTab="18" xr2:uid="{00000000-000D-0000-FFFF-FFFF00000000}"/>
  </bookViews>
  <sheets>
    <sheet name="Info side" sheetId="1" r:id="rId1"/>
    <sheet name="Uke3" sheetId="2" r:id="rId2"/>
    <sheet name="Uke4" sheetId="3" r:id="rId3"/>
    <sheet name="Uke5" sheetId="4" r:id="rId4"/>
    <sheet name="Uke6" sheetId="5" r:id="rId5"/>
    <sheet name="Uke7" sheetId="6" r:id="rId6"/>
    <sheet name="Uke8" sheetId="7" r:id="rId7"/>
    <sheet name="Uke9" sheetId="8" r:id="rId8"/>
    <sheet name="Uke10" sheetId="9" r:id="rId9"/>
    <sheet name="Uke11" sheetId="10" r:id="rId10"/>
    <sheet name="Uke12" sheetId="12" r:id="rId11"/>
    <sheet name="Uke13" sheetId="13" r:id="rId12"/>
    <sheet name="Uke14" sheetId="14" r:id="rId13"/>
    <sheet name="Uke15" sheetId="15" r:id="rId14"/>
    <sheet name="Uke16" sheetId="16" r:id="rId15"/>
    <sheet name="Uke17" sheetId="17" r:id="rId16"/>
    <sheet name="Uke18" sheetId="18" r:id="rId17"/>
    <sheet name="Uke19" sheetId="19" r:id="rId18"/>
    <sheet name="Uke20" sheetId="20" r:id="rId19"/>
  </sheets>
  <calcPr calcId="191028"/>
  <extLst>
    <ext xmlns:xcalcf="http://schemas.microsoft.com/office/spreadsheetml/2018/calcfeatures" uri="{B58B0392-4F1F-4190-BB64-5DF3571DCE5F}">
      <xcalcf:calcFeatures>
        <xcalcf:feature name="microsoft.com:RD"/>
        <xcalcf:feature name="microsoft.com:FV"/>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D19" i="20" l="1"/>
  <c r="E7" i="20" s="1"/>
  <c r="D18" i="20" l="1"/>
  <c r="D17" i="20"/>
  <c r="D16" i="20" l="1"/>
  <c r="D15" i="20" l="1"/>
  <c r="E5" i="20" s="1"/>
  <c r="D14" i="20" l="1"/>
  <c r="D12" i="20" l="1"/>
  <c r="D13" i="20"/>
  <c r="D11" i="20"/>
  <c r="E6" i="20" s="1"/>
  <c r="F7" i="20"/>
  <c r="F6" i="20"/>
  <c r="F5" i="20"/>
  <c r="I4" i="20"/>
  <c r="A7" i="20" l="1"/>
  <c r="D27" i="19"/>
  <c r="E7" i="19" s="1"/>
  <c r="D26" i="19"/>
  <c r="D25" i="19" l="1"/>
  <c r="E6" i="19" l="1"/>
  <c r="D24" i="19"/>
  <c r="D22" i="19" l="1"/>
  <c r="D23" i="19"/>
  <c r="E5" i="19" l="1"/>
  <c r="D21" i="19" l="1"/>
  <c r="D20" i="19" l="1"/>
  <c r="D19" i="19"/>
  <c r="D18" i="19" l="1"/>
  <c r="D17" i="19" l="1"/>
  <c r="D16" i="19" l="1"/>
  <c r="D15" i="19" l="1"/>
  <c r="D14" i="19" l="1"/>
  <c r="D13" i="19" l="1"/>
  <c r="D12" i="19" l="1"/>
  <c r="D11" i="19" l="1"/>
  <c r="F7" i="19"/>
  <c r="F6" i="19"/>
  <c r="F5" i="19"/>
  <c r="I4" i="19"/>
  <c r="A7" i="19" l="1"/>
  <c r="D26" i="18"/>
  <c r="E7" i="18" s="1"/>
  <c r="D25" i="18"/>
  <c r="E5" i="18" s="1"/>
  <c r="D24" i="18" l="1"/>
  <c r="E6" i="18" s="1"/>
  <c r="D23" i="18" l="1"/>
  <c r="D22" i="18" l="1"/>
  <c r="D21" i="18" l="1"/>
  <c r="D20" i="18" l="1"/>
  <c r="D19" i="18" l="1"/>
  <c r="D18" i="18" l="1"/>
  <c r="D17" i="18" l="1"/>
  <c r="D16" i="18" l="1"/>
  <c r="D15" i="18" l="1"/>
  <c r="D14" i="18" l="1"/>
  <c r="D13" i="18" l="1"/>
  <c r="D12" i="18" l="1"/>
  <c r="D11" i="18" l="1"/>
  <c r="D25" i="17" l="1"/>
  <c r="F5" i="18"/>
  <c r="F6" i="18"/>
  <c r="I4" i="18"/>
  <c r="E7" i="17"/>
  <c r="D24" i="17"/>
  <c r="E5" i="17" s="1"/>
  <c r="A7" i="18" l="1"/>
  <c r="E4" i="17"/>
  <c r="D23" i="17"/>
  <c r="D22" i="17"/>
  <c r="D21" i="17" l="1"/>
  <c r="D20" i="17"/>
  <c r="D19" i="17"/>
  <c r="D18" i="17" l="1"/>
  <c r="E6" i="17" s="1"/>
  <c r="D17" i="17" l="1"/>
  <c r="D16" i="17" l="1"/>
  <c r="D15" i="17" l="1"/>
  <c r="D14" i="17" l="1"/>
  <c r="D13" i="17" l="1"/>
  <c r="D12" i="17" l="1"/>
  <c r="F7" i="17"/>
  <c r="F7" i="18" s="1"/>
  <c r="D11" i="17"/>
  <c r="F6" i="17" s="1"/>
  <c r="F5" i="17"/>
  <c r="I4" i="17"/>
  <c r="A7" i="17" l="1"/>
  <c r="D33" i="16"/>
  <c r="E7" i="16" s="1"/>
  <c r="D32" i="16" l="1"/>
  <c r="E5" i="16" l="1"/>
  <c r="D31" i="16"/>
  <c r="D30" i="16"/>
  <c r="D29" i="16" l="1"/>
  <c r="D28" i="16"/>
  <c r="D27" i="16" l="1"/>
  <c r="D26" i="16" l="1"/>
  <c r="D25" i="16" l="1"/>
  <c r="D24" i="16" l="1"/>
  <c r="D23" i="16" l="1"/>
  <c r="D22" i="16"/>
  <c r="D21" i="16"/>
  <c r="D20" i="16" l="1"/>
  <c r="D19" i="16"/>
  <c r="D18" i="16" l="1"/>
  <c r="D17" i="16" l="1"/>
  <c r="D16" i="16"/>
  <c r="E4" i="16" s="1"/>
  <c r="D15" i="16"/>
  <c r="D14" i="16" l="1"/>
  <c r="D13" i="16" l="1"/>
  <c r="D12" i="16"/>
  <c r="D11" i="16" l="1"/>
  <c r="E6" i="16" s="1"/>
  <c r="I4" i="16" l="1"/>
  <c r="D16" i="15"/>
  <c r="E7" i="15" s="1"/>
  <c r="A7" i="16" l="1"/>
  <c r="D15" i="15"/>
  <c r="D14" i="15" l="1"/>
  <c r="D13" i="15" l="1"/>
  <c r="E5" i="15" s="1"/>
  <c r="D12" i="15" l="1"/>
  <c r="D11" i="15" l="1"/>
  <c r="I4" i="15"/>
  <c r="E6" i="15" l="1"/>
  <c r="A7" i="15"/>
  <c r="D22" i="14"/>
  <c r="D21" i="14"/>
  <c r="D20" i="14"/>
  <c r="E4" i="14" s="1"/>
  <c r="D19" i="14" l="1"/>
  <c r="D18" i="14"/>
  <c r="D17" i="14" l="1"/>
  <c r="D16" i="14" l="1"/>
  <c r="D15" i="14" l="1"/>
  <c r="E5" i="14" s="1"/>
  <c r="D14" i="14" l="1"/>
  <c r="E7" i="14" s="1"/>
  <c r="D13" i="14"/>
  <c r="D12" i="14" l="1"/>
  <c r="D11" i="14"/>
  <c r="E6" i="14" s="1"/>
  <c r="D26" i="13" l="1"/>
  <c r="I4" i="14" l="1"/>
  <c r="A7" i="14" l="1"/>
  <c r="D25" i="13"/>
  <c r="D24" i="13"/>
  <c r="E4" i="13" s="1"/>
  <c r="D23" i="13"/>
  <c r="D22" i="13" l="1"/>
  <c r="D20" i="13" l="1"/>
  <c r="D19" i="13" l="1"/>
  <c r="D18" i="13" l="1"/>
  <c r="D21" i="13"/>
  <c r="D17" i="13" l="1"/>
  <c r="D16" i="13" l="1"/>
  <c r="E7" i="13" s="1"/>
  <c r="D14" i="13" l="1"/>
  <c r="D13" i="13" l="1"/>
  <c r="D11" i="13" l="1"/>
  <c r="D12" i="13"/>
  <c r="D15" i="13"/>
  <c r="E5" i="13" s="1"/>
  <c r="I4" i="13"/>
  <c r="E6" i="13" l="1"/>
  <c r="A7" i="13"/>
  <c r="D17" i="12"/>
  <c r="E7" i="12" l="1"/>
  <c r="D16" i="12" l="1"/>
  <c r="D15" i="12" l="1"/>
  <c r="D14" i="12" l="1"/>
  <c r="E5" i="12" s="1"/>
  <c r="D13" i="12" l="1"/>
  <c r="D12" i="12" l="1"/>
  <c r="D11" i="12" l="1"/>
  <c r="E6" i="12" s="1"/>
  <c r="I4" i="12"/>
  <c r="A7" i="12" l="1"/>
  <c r="D32" i="10"/>
  <c r="D31" i="10"/>
  <c r="D30" i="10"/>
  <c r="D29" i="10"/>
  <c r="D28" i="10"/>
  <c r="D27" i="10"/>
  <c r="D26" i="10"/>
  <c r="D25" i="10"/>
  <c r="D24" i="10"/>
  <c r="D23" i="10"/>
  <c r="D22" i="10"/>
  <c r="D21" i="10"/>
  <c r="D20" i="10"/>
  <c r="D19" i="10"/>
  <c r="D18" i="10"/>
  <c r="D17" i="10"/>
  <c r="D16" i="10"/>
  <c r="D15" i="10"/>
  <c r="D14" i="10"/>
  <c r="D13" i="10"/>
  <c r="E7" i="10" s="1"/>
  <c r="D12" i="10"/>
  <c r="D11" i="10"/>
  <c r="E6" i="10"/>
  <c r="E5" i="10"/>
  <c r="I4" i="10"/>
  <c r="E4" i="10"/>
  <c r="D22" i="9"/>
  <c r="D21" i="9"/>
  <c r="D20" i="9"/>
  <c r="D19" i="9"/>
  <c r="D18" i="9"/>
  <c r="D17" i="9"/>
  <c r="D16" i="9"/>
  <c r="D15" i="9"/>
  <c r="D14" i="9"/>
  <c r="D13" i="9"/>
  <c r="E5" i="9" s="1"/>
  <c r="D12" i="9"/>
  <c r="D11" i="9"/>
  <c r="E7" i="9"/>
  <c r="E6" i="9"/>
  <c r="I4" i="9"/>
  <c r="E4" i="9" s="1"/>
  <c r="D29" i="8"/>
  <c r="D28" i="8"/>
  <c r="D27" i="8"/>
  <c r="D26" i="8"/>
  <c r="D25" i="8"/>
  <c r="D24" i="8"/>
  <c r="D23" i="8"/>
  <c r="D22" i="8"/>
  <c r="D21" i="8"/>
  <c r="D20" i="8"/>
  <c r="D19" i="8"/>
  <c r="D18" i="8"/>
  <c r="D17" i="8"/>
  <c r="D16" i="8"/>
  <c r="D15" i="8"/>
  <c r="D14" i="8"/>
  <c r="D13" i="8"/>
  <c r="E7" i="8" s="1"/>
  <c r="D12" i="8"/>
  <c r="D11" i="8"/>
  <c r="E6" i="8"/>
  <c r="E5" i="8"/>
  <c r="E4" i="8"/>
  <c r="D19" i="7"/>
  <c r="D18" i="7"/>
  <c r="D17" i="7"/>
  <c r="D16" i="7"/>
  <c r="D15" i="7"/>
  <c r="D14" i="7"/>
  <c r="D13" i="7"/>
  <c r="D12" i="7"/>
  <c r="D11" i="7"/>
  <c r="E7" i="7"/>
  <c r="E6" i="7"/>
  <c r="E5" i="7"/>
  <c r="E4" i="7"/>
  <c r="A7" i="7" s="1"/>
  <c r="D18" i="6"/>
  <c r="D17" i="6"/>
  <c r="D16" i="6"/>
  <c r="D15" i="6"/>
  <c r="D14" i="6"/>
  <c r="D13" i="6"/>
  <c r="D12" i="6"/>
  <c r="D11" i="6"/>
  <c r="E7" i="6"/>
  <c r="E6" i="6"/>
  <c r="A7" i="6" s="1"/>
  <c r="E18" i="5"/>
  <c r="E17" i="5"/>
  <c r="E16" i="5"/>
  <c r="E15" i="5"/>
  <c r="E11" i="5"/>
  <c r="E10" i="5"/>
  <c r="E8" i="5"/>
  <c r="B11" i="5" s="1"/>
  <c r="E21" i="4"/>
  <c r="E20" i="4"/>
  <c r="E19" i="4"/>
  <c r="E18" i="4"/>
  <c r="E17" i="4"/>
  <c r="E16" i="4"/>
  <c r="E15" i="4"/>
  <c r="E11" i="4"/>
  <c r="E10" i="4"/>
  <c r="E8" i="4"/>
  <c r="B11" i="4" s="1"/>
  <c r="E19" i="3"/>
  <c r="E18" i="3"/>
  <c r="E17" i="3"/>
  <c r="E16" i="3"/>
  <c r="E8" i="3" s="1"/>
  <c r="B11" i="3" s="1"/>
  <c r="E15" i="3"/>
  <c r="E11" i="3"/>
  <c r="E20" i="2"/>
  <c r="E19" i="2"/>
  <c r="E18" i="2"/>
  <c r="E17" i="2"/>
  <c r="E16" i="2"/>
  <c r="E12" i="2"/>
  <c r="F12" i="2" s="1"/>
  <c r="F11" i="3" s="1"/>
  <c r="F11" i="4" s="1"/>
  <c r="F11" i="5" s="1"/>
  <c r="F7" i="6" s="1"/>
  <c r="F7" i="7" s="1"/>
  <c r="F11" i="2"/>
  <c r="F10" i="3" s="1"/>
  <c r="F10" i="4" s="1"/>
  <c r="F10" i="5" s="1"/>
  <c r="F6" i="6" s="1"/>
  <c r="F6" i="7" s="1"/>
  <c r="F6" i="8" s="1"/>
  <c r="F6" i="9" s="1"/>
  <c r="F6" i="10" s="1"/>
  <c r="F6" i="12" s="1"/>
  <c r="F6" i="13" s="1"/>
  <c r="F6" i="14" s="1"/>
  <c r="F6" i="15" s="1"/>
  <c r="F6" i="16" s="1"/>
  <c r="F10" i="2"/>
  <c r="F9" i="3" s="1"/>
  <c r="F9" i="4" s="1"/>
  <c r="F9" i="5" s="1"/>
  <c r="F5" i="6" s="1"/>
  <c r="F5" i="7" s="1"/>
  <c r="F5" i="8" s="1"/>
  <c r="E9" i="2"/>
  <c r="A7" i="9" l="1"/>
  <c r="A7" i="8"/>
  <c r="A7" i="10"/>
  <c r="F5" i="9"/>
  <c r="F5" i="10" s="1"/>
  <c r="F5" i="12" s="1"/>
  <c r="F5" i="13" s="1"/>
  <c r="F5" i="14" s="1"/>
  <c r="F5" i="15" s="1"/>
  <c r="F5" i="16" s="1"/>
  <c r="F7" i="8"/>
  <c r="F7" i="9" s="1"/>
  <c r="F7" i="10" s="1"/>
  <c r="F7" i="12" s="1"/>
  <c r="F7" i="13" s="1"/>
  <c r="F7" i="14" s="1"/>
  <c r="F7" i="15" s="1"/>
  <c r="F7" i="16" s="1"/>
  <c r="B12" i="2"/>
  <c r="F9" i="2"/>
  <c r="F8" i="3" l="1"/>
  <c r="C12" i="2"/>
  <c r="F8" i="4" l="1"/>
  <c r="C11" i="3"/>
  <c r="F8" i="5" l="1"/>
  <c r="C11" i="4"/>
  <c r="F4" i="6" l="1"/>
  <c r="C11" i="5"/>
  <c r="F4" i="7" l="1"/>
  <c r="C7" i="6"/>
  <c r="F4" i="8" l="1"/>
  <c r="C7" i="7"/>
  <c r="F4" i="9" l="1"/>
  <c r="C7" i="8"/>
  <c r="F4" i="10" l="1"/>
  <c r="C7" i="9"/>
  <c r="C7" i="10" l="1"/>
  <c r="F4" i="12"/>
  <c r="F4" i="13" l="1"/>
  <c r="C7" i="12"/>
  <c r="F4" i="14" l="1"/>
  <c r="C7" i="13"/>
  <c r="C7" i="14" l="1"/>
  <c r="F4" i="15"/>
  <c r="F4" i="16" l="1"/>
  <c r="C7" i="15"/>
  <c r="C7" i="16" l="1"/>
  <c r="F4" i="17"/>
  <c r="F4" i="18" l="1"/>
  <c r="C7" i="17"/>
  <c r="F4" i="19" l="1"/>
  <c r="C7" i="18"/>
  <c r="F4" i="20" l="1"/>
  <c r="C7" i="20" s="1"/>
  <c r="C7" i="19"/>
</calcChain>
</file>

<file path=xl/sharedStrings.xml><?xml version="1.0" encoding="utf-8"?>
<sst xmlns="http://schemas.openxmlformats.org/spreadsheetml/2006/main" count="618" uniqueCount="216">
  <si>
    <t>Timeliste - Eivind Blom Eriksen - Uke 3</t>
  </si>
  <si>
    <t>Fra dato</t>
  </si>
  <si>
    <t>Til dato</t>
  </si>
  <si>
    <t>Kategori</t>
  </si>
  <si>
    <t>Timer denne uka</t>
  </si>
  <si>
    <t>Timer totalt brukt</t>
  </si>
  <si>
    <t>Teori</t>
  </si>
  <si>
    <t>Total tid brukt denne uken:</t>
  </si>
  <si>
    <t>Total tid brukt på prosjekt:</t>
  </si>
  <si>
    <t>Utvikling</t>
  </si>
  <si>
    <t>Administrativt</t>
  </si>
  <si>
    <t>Logg/oppg</t>
  </si>
  <si>
    <t>Dato</t>
  </si>
  <si>
    <t>Starttid</t>
  </si>
  <si>
    <t>Slutttid</t>
  </si>
  <si>
    <t>Antall timer</t>
  </si>
  <si>
    <t>Kategori/Stikkord</t>
  </si>
  <si>
    <t>Backlog</t>
  </si>
  <si>
    <t>Utviklingsprosesser</t>
  </si>
  <si>
    <t>UML</t>
  </si>
  <si>
    <t>Smidig/Agile og Scrum del 1</t>
  </si>
  <si>
    <t>Leste opp på hva vi gikk igjennom denne uken</t>
  </si>
  <si>
    <t>Jobbet med timelisten og oppsummering</t>
  </si>
  <si>
    <t>Oppsummering</t>
  </si>
  <si>
    <t>I denne uken så har det bare vært teori og gjennomgåelse i faget. Vi har gått igjennom utviklingsprosesser, UML (Unified Modelling Language), Smidig/Agile og Scrum. Utviklingsprosesser på mandag, UML på onsdag og Smidig/Agile og Scrum ble tatt på torsdag. Jeg personlig hadde problemer med å få med meg hva Scrum var for noe, annet enn at det var en arbeidsmåte for å ha en mer effektiv utvikling av produkter. Så jeg måtte lese opp på dem igjen på fredag siden jeg hadde ikke noe annet enn et mobilprogram å jobbe med. Det gikk ganske greit og jeg fant ut at jeg ikke hadde misforstått så mye som jeg hadde trodd. Denne uken satte jeg også opp et format for sammendrag og satte opp ark i excel Timelisten.</t>
  </si>
  <si>
    <t>Timeliste - Eivind Blom Eriksen - Uke 4</t>
  </si>
  <si>
    <t>Scrum del 2</t>
  </si>
  <si>
    <t>Design Patterns</t>
  </si>
  <si>
    <t>XP</t>
  </si>
  <si>
    <t xml:space="preserve">Denne uken så skulle vi gå igjennom litt Design Patterns, Extreme Programming (XP) og litt mere Scrum. Vi fikk bare gått igjennom Scrum biten pga læreren ble syk. Derfor måtte vi gå igjennom Design Patterns og XP på egenhånd via powerpointen og fjorårets opptak av disse temaene. Derfor så er det bare en forelesning innført på timelisten og en del mere på egen lesning.
Da vi gikk igjennom Scrum på mandag så hadde jeg en morsom opplevelse da jeg fant ut at jeg hadde gått igjennom den biten vi hadde på mandag på fredag forrige uke på grunn av at jeg ikke forsto hva Sprinten var for noe. Tydeligvis så hadde vi bare ikke gått igjennom det ennå. Både Design Patterns og Extreme Programming (XP) var ganske greie å forstå, men XP var en del mer engasjerende å lære enn Design Patterns.
Jeg hadde planlagt å gå igjennom powerpointene på fredag siden jeg synes ofte at det å gå igjennom ting skriftlig etter at jeg har hatt det gått gjennom muntlig hjelper meg svært mye når det kommer til å forstå stoffet og jeg har fredagen fri fra alt som jeg ikke setter meg til selv. Jeg kunne ikke gjøre det på fredag siden jeg satt fast med en innlevering i mobil prog så jeg brukte dagen til å gjøre det ferdig. Jeg gikk igjennom powerpointene på lørdag.
Jeg har gjort noen forbedringer på timelisten. Den har nå sum for hver kategori og alle kategoriene har fått sin egen farge. Jeg har også gitt sum verdiene kantlinjer slik at de er lettere å se.
</t>
  </si>
  <si>
    <t>Timeliste - Eivind Blom Eriksen - Uke 5</t>
  </si>
  <si>
    <t>Prosjekt presentasjon</t>
  </si>
  <si>
    <t>Prosjekt styring og rapporttering</t>
  </si>
  <si>
    <t>Første møte på gruppen</t>
  </si>
  <si>
    <t>Risikoanalyse</t>
  </si>
  <si>
    <t>Jobbet litt med timelisten</t>
  </si>
  <si>
    <t>Gjorde en del mer med timelisten</t>
  </si>
  <si>
    <t xml:space="preserve">Teori stoffet som ble gjennomgått denne uken var Prosjektpresentasjon, Prosjektstyring og Risikoanalyse. Prosjektpresentasjon og Prosjektstyring var det mest fangene stoffet som ble gjennomgått denne uken. Risikoanalyse var ikke så veldig interessant siden det virket veldig mye som noe jeg hadde gått igjennom på forkurs i Kongsberg.
Denne uken så ble vi delt inn i grupper som vi skal jobbe sammen med gjennom dette semesteret. Jeg er i Narvik-1, gruppenavn ikke bestemt ennå. Vi hadde et lite oppmøte på mandag etter timen der vi gikk sammen med de som var på gruppen og satte opp en Discord server. Vi ga oss selv hjemmeleksen å laste opp et screenshot av en av timelistene våre slik at vi kunne bestemme hvem sin timeliste som skal brukes som mal for prosjekt timelisten. Gruppen hadde også et møte på onsdag der vi pratet en del om hvordan vi skulle gjøre ting, som for eksempel hvem hadde den beste timelisten, vi pratet også litt om tabellene som vi hadde blitt vist i løpet av forelesningene.
Jeg har også brukt en del tid på å gjøre timelisten mere lik den som vi ble vist på starten av semesteret. Jeg gjorde også litt arbeid på fredag fordi nettet gikk ut.
</t>
  </si>
  <si>
    <t>Timeliste - Eivind Blom Eriksen - Uke 6</t>
  </si>
  <si>
    <t>Backlog item#</t>
  </si>
  <si>
    <t>Prosjektstyring of rapportering del 2</t>
  </si>
  <si>
    <t>Prosjekt gjennomgåelse</t>
  </si>
  <si>
    <t>Scrum teori lesing</t>
  </si>
  <si>
    <t>Jobbet med timeliste og Sammendrag</t>
  </si>
  <si>
    <t xml:space="preserve">I denne uken så hadde vi bare en forelesning vi gikk igjennom del 2 av prosjekt styring og innleveringen som vi hadde blitt gitt forrige uke. Det var en oppgave der vi skulle fylle inn en aktivitetsdiagram og tabell. Jeg gjorde det helt elendig på denne innleveringen. Jeg hadde misforstått hvordan jeg skulle fylle inn tabellen, både i at jeg ikke tenkte på at ting kunne gjøres i parallell, men også det at jeg misforsto hvordan man skulle finne ut siste start/slutt for aktivitetene. Del 2 av prosjektstyring var greit nok. På torsdag så på en del av videoene på Scrumalliance siden jeg følte at jeg manglet litt forståelse på scrum.
Gruppa hadde satt opp et møte på mandag, men vi utsatte møtet til onsdag siden vi hadde ikke så mye stoff å gå på. Vi var usikker på hva vi skulle jobbe med, så vi satte hjemmelekse til å være å lese opp på “Prosjektpresentasjon Morild 2020”, “Prosjekt Systemutvikling V2020 v1.0” og “Mal for emnebeskrivelse”. På onsdag så hadde vi et ganske langt møte der vi gikk igjennom det vi hadde lest og drøftet litt på selve oppgaven. Vi gikk igjennom noen av dokumentene fra en gruppe fra i fjor og pratet om hva vi burde ha i våre sprint zero ting.
Jeg måtte gjøre om min timeliste igjen denne uken, men nå burde gruppen ha nesten identiske timelister. Så forhåpentligvis trenges ikke dette å gjøres igjen.
</t>
  </si>
  <si>
    <t xml:space="preserve">  Timeliste - Eivind Blom Eriksen - Uke 7</t>
  </si>
  <si>
    <t>Logg/Oppgaver</t>
  </si>
  <si>
    <t>Kategori/Notat</t>
  </si>
  <si>
    <t>Scrum Møte</t>
  </si>
  <si>
    <t>La til Målformuleing, minstekrav of ønskelige mål til Spring Zero dokument</t>
  </si>
  <si>
    <t>Jobbet med fremdriftsplanen og Scrum Møte</t>
  </si>
  <si>
    <t>Jobbet med produkt backlog</t>
  </si>
  <si>
    <t>Pratet om Databasen og jobbet med fremdriftsplanen</t>
  </si>
  <si>
    <t>Gruppen jobbet med å gjøre forprosjekt ferdig og å dele ut arbeidsoppgaver for den neste uken</t>
  </si>
  <si>
    <t>Jeg jobbet med sammendrag og lagde en timeliste som er identisk til resten av gruppen.</t>
  </si>
  <si>
    <t xml:space="preserve">I denne uken så jobbet gruppen veldig hardt for å gjøre prosjektet ferdig. Vi startet uken med å ha et langt møte på mandag der vi gikk igjennom det vi trengte og hvem som skulle gjøre hva. Jeg ble tildelt ansvaret for å legge målformulering, minstekrav og ønskelige mål til Sprint Zero dokumentet. Jeg personlig synes at møtet tok alt for lang tid, men i det minste så kom vi oss i gjennom alt stoffet.
På tirsdag så fullførte jeg arbeidet som jeg hadde blitt tildelt, det var litt irriterende siden jeg ikke hadde så mye å gå på når det kom til minstekrav, så jeg gjettet at det var de punktene som du hadde lagt ut. Så jeg manuelt overførte dem til forprosjekt dokumentet. Ellers så var det ganske greit, ønskelige mål er korrekt, men det endte opp litt mer humoristisk på grunn av ærligheten i dem.
På onsdag så hadde vi et møte til der vi diskuterte produkt backloggen en del før vi splittet opp i grupper for å jobbe med andre oppgaver. Jeg, Alexander og Martin jobbet med å lage en fremdriftsplan. Vi så på en del fremdriftsplaner før vi bestemte oss for å gå med en modifisert versjon av fremdriftsplanen fra en av gruppene fra i fjor. Vi la til noen ekstra kolonner som “Ansvarlig” og “Backlog nr.”.
På torsdag så jobbet vi mere med produkt backlog. Det er ikke så mye å si her annet enn at jeg syntes at denne dagen ikke var særlig effektiv.
På fredag så jobbet vi enda mere med produkt backlog og vi klarte å bli ferdig nok med den før lunsj slik at vi kunne gjøre ferdig fremdriftsplanen. Så etter lunsj så gjorde jeg og Vegard ferdig fremdriftsplanen, vi ble ganske fornøyd med resultatet. Etter det så planla vi et møte på lørdag.
På lørdag så hadde vi alt klart, så vi limte alle delene inn i forprosjektet. Deretter så gjorde vi en nøye gjennomgang av forprosjektet og rette opp på noen ting. Dette tok en del tid å gjøre. Etter det så leverte vi forprosjektet og en god del av gruppen gikk og spiste kebab.
</t>
  </si>
  <si>
    <t xml:space="preserve">  Timeliste - Eivind Blom Eriksen - Uke 8</t>
  </si>
  <si>
    <t>Start</t>
  </si>
  <si>
    <t>Slutt</t>
  </si>
  <si>
    <t>Timer</t>
  </si>
  <si>
    <t>Satte opp Git repository i Coderefinery.</t>
  </si>
  <si>
    <t>Leste om nomalisering av databaser</t>
  </si>
  <si>
    <t>Jobbet med normalisering/retting av database</t>
  </si>
  <si>
    <t>Leste opp på css.</t>
  </si>
  <si>
    <t>Fikset git på phpstorm.</t>
  </si>
  <si>
    <t>Leste opp på css, hjalp Joachim med Twig littegran.</t>
  </si>
  <si>
    <t>Tok opp igjen det jeg lærte I fjor om twig og phpstorm</t>
  </si>
  <si>
    <t>Jobbet med logg og sammendrag</t>
  </si>
  <si>
    <r>
      <rPr>
        <b/>
        <sz val="11"/>
        <color rgb="FF000000"/>
        <rFont val="Arial"/>
        <family val="2"/>
      </rPr>
      <t xml:space="preserve">Roller:
SCRUM-master i Sprint 1: </t>
    </r>
    <r>
      <rPr>
        <sz val="11"/>
        <color rgb="FF000000"/>
        <rFont val="Arial"/>
        <family val="2"/>
      </rPr>
      <t xml:space="preserve">Alexander Hansen
</t>
    </r>
    <r>
      <rPr>
        <b/>
        <sz val="11"/>
        <color rgb="FF000000"/>
        <rFont val="Arial"/>
        <family val="2"/>
      </rPr>
      <t xml:space="preserve">Backend: </t>
    </r>
    <r>
      <rPr>
        <sz val="11"/>
        <color rgb="FF000000"/>
        <rFont val="Arial"/>
        <family val="2"/>
      </rPr>
      <t xml:space="preserve">Martin Mikalsen, Anders Rubach Ese, Adrian-Alexandru Chirita, Vegard Simonsen 
</t>
    </r>
    <r>
      <rPr>
        <b/>
        <sz val="11"/>
        <color rgb="FF000000"/>
        <rFont val="Arial"/>
        <family val="2"/>
      </rPr>
      <t xml:space="preserve">Frontend: </t>
    </r>
    <r>
      <rPr>
        <sz val="11"/>
        <color rgb="FF000000"/>
        <rFont val="Arial"/>
        <family val="2"/>
      </rPr>
      <t xml:space="preserve">Joachim Kristensen, Alexander Hansen, Eivind Blom Eriksen
</t>
    </r>
    <r>
      <rPr>
        <b/>
        <sz val="11"/>
        <color rgb="FF000000"/>
        <rFont val="Arial"/>
        <family val="2"/>
      </rPr>
      <t>Mandag</t>
    </r>
    <r>
      <rPr>
        <sz val="11"/>
        <color rgb="FF000000"/>
        <rFont val="Arial"/>
        <family val="2"/>
      </rPr>
      <t xml:space="preserve">: På mandag startet vi med å ha et møte der vi gikk igjennom litt hvor vi er og deretter så satte vi opp en git repository i Coderefinery.org. Det tok en del tid å få det ferdig på grunn av noen vansker vi hadde med php siden. Jeg personlig fikk det ikke til å fungere i det hele tatt, så jeg begynte å lese opp på normalisering av databaser istedenfor å slite med dette. Dette endte opp med å være det riktige valget hvis du ser på hvor lang tid det tok å fikse det på torsdag.
</t>
    </r>
    <r>
      <rPr>
        <b/>
        <sz val="11"/>
        <color rgb="FF000000"/>
        <rFont val="Arial"/>
        <family val="2"/>
      </rPr>
      <t>Onsdag</t>
    </r>
    <r>
      <rPr>
        <sz val="11"/>
        <color rgb="FF000000"/>
        <rFont val="Arial"/>
        <family val="2"/>
      </rPr>
      <t xml:space="preserve">: Jeg og Anders gikk så på databasen etter at vi hadde lest opp på normalisering for å finne ut at databasen var mer eller mindre allerede 3 forms normalisert. Vi gikk igjennom den for å være sikker og så diskuterte vi om vi skulle legge til noen studiekrav som ikke trengte å være UiT emnekoder. Vi var litt usikre, men endte opp med å ikke legge det til etter at vi gikk inn på de nåværende emnesidene og så at der mer generelle studier lå var et planlagt tekstfelt. Vi rettet også opp stavingen av databasen slik at det ikke var noen ÆØÅ i databasen.
Etter dette så leste jeg meg opp på CSS siden jeg har mer eller mindre glemt det meste av det jeg trenger av CSS.
</t>
    </r>
    <r>
      <rPr>
        <b/>
        <sz val="11"/>
        <color rgb="FF000000"/>
        <rFont val="Arial"/>
        <family val="2"/>
      </rPr>
      <t>Torsdag</t>
    </r>
    <r>
      <rPr>
        <sz val="11"/>
        <color rgb="FF000000"/>
        <rFont val="Arial"/>
        <family val="2"/>
      </rPr>
      <t xml:space="preserve">: På torsdag så brukte jeg en del tid på å få php til å koble opp til git repositoriet vårt. Jeg prøvde å installere command line tools etter at jeg hadde googlet problemet mitt litt. Dette fungerte ikke. Jeg prøvde å endre hvor command line tools .exe lå slik at php kunne bruke den. Dette funket ikke selv om det var direkte hva error meldingen sa problemet var. Etter det så gikk jeg inn og endret hvordan git og php jobbet sammen manuelt. Dette funket endelig.
Etter dette så brukte jeg resten av tiden til enten å hjelpe Joachim til å få twig til å fungere på hans ende (det fungerte helt fint på min ende uten at jeg trengte å gjøre noe med det) eller så leste jeg opp på CSS.
</t>
    </r>
    <r>
      <rPr>
        <b/>
        <sz val="11"/>
        <color rgb="FF000000"/>
        <rFont val="Arial"/>
        <family val="2"/>
      </rPr>
      <t>Fredag</t>
    </r>
    <r>
      <rPr>
        <sz val="11"/>
        <color rgb="FF000000"/>
        <rFont val="Arial"/>
        <family val="2"/>
      </rPr>
      <t xml:space="preserve">: Fredag har for det meste vært brukt til å “lese” opp på twig og php via fjorårets fag siden jeg har glemt en del av det spesifikke. Php gikk ganske greit å lese opp på, men jeg hadde en del problemer med twig i fjor og jeg hadde en del i år også (men ikke i nærheten de problemene jeg hadde i fjor).
Jeg har også jobbet med timelisten og har prøvd å følge tilbakemeldingen vi fikk.
</t>
    </r>
    <r>
      <rPr>
        <b/>
        <sz val="11"/>
        <color rgb="FF000000"/>
        <rFont val="Arial"/>
        <family val="2"/>
      </rPr>
      <t>Generelt</t>
    </r>
    <r>
      <rPr>
        <sz val="11"/>
        <color rgb="FF000000"/>
        <rFont val="Arial"/>
        <family val="2"/>
      </rPr>
      <t>: Jeg hadde ikke så mye tid til å gjøre arbeid utenfor skolen på grunn av at jeg hadde problemer med Lab 5.1 i Programmering for mobil. Jeg ble bare ferdig med den på fredag (Men jeg hadde gjort ferdig alle de vanskelige bitene på torsdag kveld).</t>
    </r>
  </si>
  <si>
    <t xml:space="preserve">  Timeliste - Eivind Blom Eriksen - Uke 9</t>
  </si>
  <si>
    <t>Scrum møte</t>
  </si>
  <si>
    <t>Gikk igjennom og diskuterte front end med Alexander Hansen. Sjekket at layout funker på de fleste nettlesere (Ikke Internet Explorer).</t>
  </si>
  <si>
    <t>Logg skriving.</t>
  </si>
  <si>
    <t>Sjekket at front end fungerte på de fleste nettlesere, måtte gjøre det to ganger pga. oppdatering fra Joachim som måtte også testes</t>
  </si>
  <si>
    <t>Scrum møte, gikk igjennom hva vi har. Hvem som skal være Scrum master neste uke (jeg), hvem som er i Narvik i neste uke (nesten alle hele uken). At vi har overvurdet hvor mye tid ting vil ta.</t>
  </si>
  <si>
    <t>Jobbet med UiT .svg logo for mindre skjermer.</t>
  </si>
  <si>
    <t>Hadde et lite møte med Joachim om hva som jeg skal gjøre siden vi er litt forran planen</t>
  </si>
  <si>
    <t>Satte opp emnekatalog twig template</t>
  </si>
  <si>
    <t>10.1</t>
  </si>
  <si>
    <t>Lærte om bootstrap</t>
  </si>
  <si>
    <t>Møte med PO, pratet om fremdrift</t>
  </si>
  <si>
    <t>Jobbet med emnekatalog</t>
  </si>
  <si>
    <t>Hadde et stort møte der vi bestemte hva som skal være i neste ukes backlog.</t>
  </si>
  <si>
    <t>Satte opp Sprint Backlog 2 som en gruppe</t>
  </si>
  <si>
    <t>Planning poker</t>
  </si>
  <si>
    <t>Jobbet sammen med gruppen med avhengighets tabell</t>
  </si>
  <si>
    <t>Gruppen jobbet med Sprint Retrospective</t>
  </si>
  <si>
    <t>Gjorde ferdig Sprint 1 documentasjonen</t>
  </si>
  <si>
    <t>Jobbet med timeliste og sammendrag.</t>
  </si>
  <si>
    <r>
      <rPr>
        <b/>
        <sz val="11"/>
        <color rgb="FF000000"/>
        <rFont val="Arial"/>
        <family val="2"/>
      </rPr>
      <t>Roller:
SCRUM-master i Sprint 1:</t>
    </r>
    <r>
      <rPr>
        <sz val="11"/>
        <color rgb="FF000000"/>
        <rFont val="Arial"/>
        <family val="2"/>
      </rPr>
      <t xml:space="preserve"> Alexander Hansen
</t>
    </r>
    <r>
      <rPr>
        <b/>
        <sz val="11"/>
        <color rgb="FF000000"/>
        <rFont val="Arial"/>
        <family val="2"/>
      </rPr>
      <t xml:space="preserve">Backend: </t>
    </r>
    <r>
      <rPr>
        <sz val="11"/>
        <color rgb="FF000000"/>
        <rFont val="Arial"/>
        <family val="2"/>
      </rPr>
      <t xml:space="preserve">Martin Mikalsen, Anders Rubach Ese, Adrian-Alexandru Chirita, Vegard Simonsen
</t>
    </r>
    <r>
      <rPr>
        <b/>
        <sz val="11"/>
        <color rgb="FF000000"/>
        <rFont val="Arial"/>
        <family val="2"/>
      </rPr>
      <t>Frontend:</t>
    </r>
    <r>
      <rPr>
        <sz val="11"/>
        <color rgb="FF000000"/>
        <rFont val="Arial"/>
        <family val="2"/>
      </rPr>
      <t xml:space="preserve"> Joachim Kristensen, Alexander Hansen, Eivind Blom Eriksen
</t>
    </r>
    <r>
      <rPr>
        <b/>
        <sz val="11"/>
        <color rgb="FF000000"/>
        <rFont val="Arial"/>
        <family val="2"/>
      </rPr>
      <t>Mandag:</t>
    </r>
    <r>
      <rPr>
        <sz val="11"/>
        <color rgb="FF000000"/>
        <rFont val="Arial"/>
        <family val="2"/>
      </rPr>
      <t xml:space="preserve"> Vi startet dagen med et der gruppa kunne prate om fremgangen deres og hva de skal gjøre i løpet av uka. Innloggingssystemet var mer eller mindre ferdig og front end hadde blitt ferdig med en generell mal for utseendet til sidene.
Etter møtet så satt jeg meg ned med Alexander og han viste meg hvordan det som hadde blitt skrevet fungerte. Etter det så pratet vi litt om hvordan vi skal gå fram på front end og begynte å sjekke litt med kompatibilitet med nettlesere.
</t>
    </r>
    <r>
      <rPr>
        <b/>
        <sz val="11"/>
        <color rgb="FF000000"/>
        <rFont val="Arial"/>
        <family val="2"/>
      </rPr>
      <t>Tirsdag:</t>
    </r>
    <r>
      <rPr>
        <sz val="11"/>
        <color rgb="FF000000"/>
        <rFont val="Arial"/>
        <family val="2"/>
      </rPr>
      <t xml:space="preserve"> Jeg jobbet med å sjekke om våre twig templater fungerte på forskjellige nettlesere. Det tok en del ekstra tid pga. en oppdatering av templatene som jeg måtte sjekke igjen og fordi det endte opp med å være noen tekniske problemer med filezilla og phpstorm. Templatene fungerte på alle bortsett fra Internet Explorer.
</t>
    </r>
    <r>
      <rPr>
        <b/>
        <sz val="11"/>
        <color rgb="FF000000"/>
        <rFont val="Arial"/>
        <family val="2"/>
      </rPr>
      <t>Onsdag:</t>
    </r>
    <r>
      <rPr>
        <sz val="11"/>
        <color rgb="FF000000"/>
        <rFont val="Arial"/>
        <family val="2"/>
      </rPr>
      <t xml:space="preserve"> Vi startet dagen med et møte, på det møtet så pratet vi om hva vi individuelt jobbet med og hvordan neste uke skal fungere siden det er studieuke. Vi kom fram til at vi kommer til å møte opp som vanlig neste uke siden vi er alle her neste uken. Det ble også bestemt at jeg skal være Scrum-Master for Sprint 2. Vi pratet også litt om at vi hadde overvurdert arbeidet i Sprint 1 og at vi kunne hatt flere aktiviteter.
Jeg skulle prate med Joachim etter møtet slik at vi skulle komme frem til hva jeg skulle jobbe med siden vi var foran skjemaet, men han måtte gjøre noe annet først. Så imens han var borte så jobbet jeg med å modifisere UiT logen slik at den kan fungere på mindre skjermer.
Etter Joachim kom tilbake så pratet vi litt og kom fram til at jeg skal jobbe med emnekatalogen. Jeg satte opp filene for emnekatalogen før jeg gikk for dagen.
Senere den dagen så sjekket jeg ut en video om bootstrap som jeg hadde blitt anbefalt av Joachim, etter det så googlet jeg meg litt rundt de tingene jeg trodde ville hjelpe med å lage emnekatalogen.
</t>
    </r>
    <r>
      <rPr>
        <b/>
        <sz val="11"/>
        <color rgb="FF000000"/>
        <rFont val="Arial"/>
        <family val="2"/>
      </rPr>
      <t>Torsdag:</t>
    </r>
    <r>
      <rPr>
        <sz val="11"/>
        <color rgb="FF000000"/>
        <rFont val="Arial"/>
        <family val="2"/>
      </rPr>
      <t xml:space="preserve"> På torsdag var det møtet med PO, vi endte opp med å diskutere litt om fremdriften vår med PO. Etter møtet så jobbet jeg med emnekatalogen og fikk den ganske langt i gang.
</t>
    </r>
    <r>
      <rPr>
        <b/>
        <sz val="11"/>
        <color rgb="FF000000"/>
        <rFont val="Arial"/>
        <family val="2"/>
      </rPr>
      <t>Fredag:</t>
    </r>
    <r>
      <rPr>
        <sz val="11"/>
        <color rgb="FF000000"/>
        <rFont val="Arial"/>
        <family val="2"/>
      </rPr>
      <t xml:space="preserve"> Vi hadde et møte der vi diskuterte hva som skulle være i Sprint 2. Vi utsatte Planning Poker til lørdag på grunn av støy fra møbel innflytting.
</t>
    </r>
    <r>
      <rPr>
        <b/>
        <sz val="11"/>
        <color rgb="FF000000"/>
        <rFont val="Arial"/>
        <family val="2"/>
      </rPr>
      <t>Lørdag:</t>
    </r>
    <r>
      <rPr>
        <sz val="11"/>
        <color rgb="FF000000"/>
        <rFont val="Arial"/>
        <family val="2"/>
      </rPr>
      <t xml:space="preserve"> Vi gjorde Sprint Backlog 2 helt ferdig og så hadde vi Planning Poker. Joachim måtte gå mot slutten av Planning Poker. Etter det så lagde vi en avhengighets diagram og tabell. Da tabellen var ferdig så jobbet vi sammen på Sprint 1 retrospective. Da det var gjort så gjorde vi resten av Sprint dokumentasjonen. 
</t>
    </r>
  </si>
  <si>
    <t xml:space="preserve">  Timeliste - Eivind Blom Eriksen - Uke 10</t>
  </si>
  <si>
    <t>Scrum møte, bestemte hvem som skulle gjøre hva.</t>
  </si>
  <si>
    <t>Satte opp logg for denne uken og skrev i loggen</t>
  </si>
  <si>
    <t>Jobbet med emnekatalog.</t>
  </si>
  <si>
    <t>Skrev i logg og sammendrag</t>
  </si>
  <si>
    <t>Jeg, Alexander og Joachim hadde en prat der vi klar gjorde hva hver av oss skulle gjøre.</t>
  </si>
  <si>
    <t>Hadde et Scrum møte der vi pratet om hva folk hadde gjort</t>
  </si>
  <si>
    <t>Restrukturering av gruppe OneDrive</t>
  </si>
  <si>
    <t>FIkset opp prosjektet etter noen pull problemer</t>
  </si>
  <si>
    <t>Jobbet med å fikse Sprint 0 sammen med gruppa</t>
  </si>
  <si>
    <t>Gjorde ferdig samarbeidsavatlen og leverte Sprint 0.</t>
  </si>
  <si>
    <t>Gjorde det siste logg arbeidet</t>
  </si>
  <si>
    <r>
      <rPr>
        <b/>
        <sz val="11"/>
        <color rgb="FF000000"/>
        <rFont val="Arial"/>
        <family val="2"/>
      </rPr>
      <t>Roller:
SCRUM-master i Sprint 1:</t>
    </r>
    <r>
      <rPr>
        <sz val="11"/>
        <color rgb="FF000000"/>
        <rFont val="Arial"/>
        <family val="2"/>
      </rPr>
      <t xml:space="preserve"> Eivind Blom Eriksen
</t>
    </r>
    <r>
      <rPr>
        <b/>
        <sz val="11"/>
        <color rgb="FF000000"/>
        <rFont val="Arial"/>
        <family val="2"/>
      </rPr>
      <t xml:space="preserve">Backend: </t>
    </r>
    <r>
      <rPr>
        <sz val="11"/>
        <color rgb="FF000000"/>
        <rFont val="Arial"/>
        <family val="2"/>
      </rPr>
      <t xml:space="preserve">Martin Mikalsen, Anders Rubach Ese, Adrian-Alexandru Chirita, Vegard Simonsen
</t>
    </r>
    <r>
      <rPr>
        <b/>
        <sz val="11"/>
        <color rgb="FF000000"/>
        <rFont val="Arial"/>
        <family val="2"/>
      </rPr>
      <t>Frontend:</t>
    </r>
    <r>
      <rPr>
        <sz val="11"/>
        <color rgb="FF000000"/>
        <rFont val="Arial"/>
        <family val="2"/>
      </rPr>
      <t xml:space="preserve"> Joachim Kristensen, Alexander Hansen, Eivind Blom Eriksen
</t>
    </r>
    <r>
      <rPr>
        <b/>
        <sz val="11"/>
        <color rgb="FF000000"/>
        <rFont val="Arial"/>
        <family val="2"/>
      </rPr>
      <t>Gruppas gjennomsnittlig arbeidstid:</t>
    </r>
    <r>
      <rPr>
        <sz val="11"/>
        <color rgb="FF000000"/>
        <rFont val="Arial"/>
        <family val="2"/>
      </rPr>
      <t xml:space="preserve"> 08:41 (Mangler Joachim og Adrian sine tider)
</t>
    </r>
    <r>
      <rPr>
        <b/>
        <sz val="11"/>
        <color rgb="FF000000"/>
        <rFont val="Arial"/>
        <family val="2"/>
      </rPr>
      <t>Mandag:</t>
    </r>
    <r>
      <rPr>
        <sz val="11"/>
        <color rgb="FF000000"/>
        <rFont val="Arial"/>
        <family val="2"/>
      </rPr>
      <t xml:space="preserve"> Vi startet med et scrum møte der vi gikk igjennom hva som folk skulle gjøre denne uken og klargjørte noen ting som var litt dårlig formulert i backloggen. 8.5 som jeg jobbet med forrige uke ble avgjort til å være 10.1.
Etter møtet så jobbet jeg med emnekatalogen. Det er ikke så mye å si her, jeg jobbet litt med å prøve å fjerne resize muligheten på et textarea, men fikk det ikke til så jeg jobbet med å lage drop down menyer og linker.
</t>
    </r>
    <r>
      <rPr>
        <b/>
        <sz val="11"/>
        <color rgb="FF000000"/>
        <rFont val="Arial"/>
        <family val="2"/>
      </rPr>
      <t>Tirsdag:</t>
    </r>
    <r>
      <rPr>
        <sz val="11"/>
        <color rgb="FF000000"/>
        <rFont val="Arial"/>
        <family val="2"/>
      </rPr>
      <t xml:space="preserve"> Jeg, Alexander og Joachim hadde en prat på campus der vi klargjør hvem som gjør hva. Hva vi trenger å gjøre før vi kan gjøre andre ting og sånt. Senere denne dagen så jobbet jeg mer på emnekatalogen og jeg fikk endelig til å få søke baren til å være som den skal. Nå er det bare resten av siden igjen.
</t>
    </r>
    <r>
      <rPr>
        <b/>
        <sz val="11"/>
        <color rgb="FF000000"/>
        <rFont val="Arial"/>
        <family val="2"/>
      </rPr>
      <t>Onsdag:</t>
    </r>
    <r>
      <rPr>
        <sz val="11"/>
        <color rgb="FF000000"/>
        <rFont val="Arial"/>
        <family val="2"/>
      </rPr>
      <t xml:space="preserve"> Vi hadde et Scrum møte der vi pratet om hva alle hadde gjort. Ikke så mye hadde skjedd siden sist, men strukturen på prosjektet hadde blitt endret for det bedre. Møte dro en del på grunn av at jeg og Anders prøvde å oppdatere våre lokale versjoner av prosjektet til den nye versjonen. Dette fungerte ikke og vi fant ikke noen praktisk løsning annet enn å slette og clone prosjektet på vår ende igjen. Gruppa restrukturerte onedriven som vi bruker slik at den er klarere.
</t>
    </r>
    <r>
      <rPr>
        <b/>
        <sz val="11"/>
        <color rgb="FF000000"/>
        <rFont val="Arial"/>
        <family val="2"/>
      </rPr>
      <t>Søndag:</t>
    </r>
    <r>
      <rPr>
        <sz val="11"/>
        <color rgb="FF000000"/>
        <rFont val="Arial"/>
        <family val="2"/>
      </rPr>
      <t xml:space="preserve"> Vi hadde planlagt et møte kl.12 på søndag, men Anders var ikke i byen på det tidspunktet så vi bare jobbet litt selv i en time. Jeg jobbet med å fikse cloning problemene som jeg hadde med prosjektet. Etter det så jobbet vi med å gjøre ferdig de siste tingene i Sprint 0, bortsett fra samarbeidsavtalen siden vi trengte Anders sin signatur for å gjøre den ferdig. Da Anders kom gjorde vi noen små endringer på samarbeidsavtalen, vi pratet en del om vi skulle så jeg måtte ta beslutningen at vi skulle legge til ting som dato og sted siden det er så lite og vi vil ikke bli tatt på det. Så skrev vi under på samarbeidsavtalen.
</t>
    </r>
    <r>
      <rPr>
        <b/>
        <sz val="11"/>
        <color rgb="FF000000"/>
        <rFont val="Arial"/>
        <family val="2"/>
      </rPr>
      <t>Oppgave:</t>
    </r>
    <r>
      <rPr>
        <sz val="11"/>
        <color rgb="FF000000"/>
        <rFont val="Arial"/>
        <family val="2"/>
      </rPr>
      <t xml:space="preserve"> Jeg syntes at kategoriene er ganske greie og selvfølgelige, bortsett fra at Planning Poker er Logg/Oppg, men det er ikke noe problem når du har blitt rettet på det en gang.</t>
    </r>
  </si>
  <si>
    <t xml:space="preserve">  Timeliste - Eivind Blom Eriksen - Uke 11</t>
  </si>
  <si>
    <t>Prøvde å få composer til å fungere, det fungerte ikke</t>
  </si>
  <si>
    <t>Jobbet med å få prosjektet til å fungere, fikk det til denne gangen.</t>
  </si>
  <si>
    <t>Sjekket opp på dokumentasjons bitene som trenges til Sprint 2</t>
  </si>
  <si>
    <t>Jobbet med emne katalog</t>
  </si>
  <si>
    <t>Leste opp på XAMPP</t>
  </si>
  <si>
    <t>Jobbet med Sprint backlog</t>
  </si>
  <si>
    <t>Lagde møteinnkalling for sprint review</t>
  </si>
  <si>
    <t>Fikset opp på emnekatalogen</t>
  </si>
  <si>
    <t>Leste opp på php og twig i forbredelse for neste sprint</t>
  </si>
  <si>
    <t>Sett over koden til Vegard over nett, fant i plenum en løsning for en error</t>
  </si>
  <si>
    <t>Jobbet med backlog og annet dokumentasjon</t>
  </si>
  <si>
    <t>Sprint 2 retrospective</t>
  </si>
  <si>
    <t>Jobbet med timelisten</t>
  </si>
  <si>
    <t xml:space="preserve">Nye Roller:
SCRUM-master for neste Sprint: Anders Rubach Ese
Roller:
SCRUM-master i Sprint 2: Eivind Blom Eriksen
Backend: Martin Mikalsen, Anders Rubach Ese, Adrian-Alexandru Chirita, Vegard Simonsen
Frontend: Joachim Kristensen, Alexander Hansen, Eivind Blom Eriksen
Mandag: Vi startet uken med et møte der vi pratet om arbeidet som vi hadde gjort og hvordan vi skal prioritere arbeid denne uken. For eksempel jeg og Joachim har bestemt oss for å prioritere en android innlevering vi sitter fast med slik at vi ikke faller bak på prosjektet. Det var også noen usikkerheter når det kom til hva noen skulle gjøre, men det ble ordnet snart.
Resten av tiden på skolen ble brukt på forskjellige forsøk til å få composer og twig til å fungere på min side nå som alle composer bitene ikke blir lagt inn i git på grunn av .gitignore, som er en uvelkommen endring fra tidligere i prosjektet der man kunne bare clone fra git og ha alt fungerende fra starten av.
Tirsdag: Jeg jobbet nok en gang med å prøve å få ting til å fungere lokalt for meg og jeg endelig fikk det til. Så nå kan jeg jobbe med prosjektet igjen. Jeg måtte dessverre manuelt gjenopprette noen endringer i filene som hadde blitt tapt siden jeg startet å prøve å få ting til å fungere.
Etter det så sjekket jeg opp på dokumentasjonen til gruppa, jeg oppdaterte noen ting som var utdatert slik at det ikke blir så mye arbeid på slutten av uka.
Onsdag: Startet dagen med å videreutvikle emnekatalogen nå som jeg endelig kunne gjøre noe arbeid på den igjen. Møtte på et nytt problem ved at jeg ikke kunne laste inn css eller javascript filene når jeg kjørte course_catalogue.php, jeg jobbet så langt jeg kunne uten å trenge å ta meg av dette problemet.
Vi skulle ha et møte kl 1200, men gruppa ønsket å se på bachelor presentasjonene så vi utsatte møtet til 1250. I det møtet så gikk vi igjennom hva alle hadde gjort og etter møtet så avtalte jeg presentasjons tid på fredag.
Senere på dagen så hadde jeg ønsket om å jobbe med emnekatalogen, men jeg fant ingen løsning til mitt problem med css og javascript innlastingen. Skal prøve å se etter løsninger igjen. Det har vært svært frustrerende for meg at jeg ikke kan få jobbet med prosjektet etter omstruktureringen av prosjektet.
Torsdag: Jobbet emnekatalogen mer eller mindre ferdig, den er god nok til det vi skal bruke den til, men det er noen steder som kan forbedres. Jeg fant en måte for meg å kunne jobbe med prosjektet selv om jeg har css/js 404 problemer. Jeg har brukt style inne i taggene på emnekatalogen. Det er ikke så mye annet å si om denne dagen som er i direkte relasjon til arbeidet jeg gjorde idag, jeg er litt bekymret for at det kommer til å bli vanskeligere for gruppen å jobbe nå som vi ikke har noe sted å møte, men jeg er sikker på at vi kan finne en løsning hvis det blir et problem.
Fredag: Vi startet dagen med et scrum møte der vi pratet om hva som hadde blitt gjort. Etter det så jobbet vi litt med Sprint Backlogen og så følgte vi opp med å jobbe på møteinnkalling for prosjektet fremvisning på mandag. Senere på dagen så fikset jeg opp litt på emnekatalogen slik at den er mer i henhold med den skolen har. Nå er det bare å koble den opp til backend så vil ting være funksjonelt.
Lørdag: Jeg leste meg opp på php og twig slik at jeg er bedre forberedt for å lage et emne filtreringssystem i neste sprint. Jeg gjorde noen få tester på course_catalogue for å sjekke at det fungerer, men så langt så er det bare kosmetisk og har ingen praktisk effekt.
Søndag: Vi startet med et Scrum møte der vi gikk igjennom hva alle hadde gjort siden forrige møte. Etter det så hjalp vi Vegard over nett med sin kode. Jeg og Alexander fulgte dette opp med å jobbe med Sprint Backlogene for Sprint 2 og 3.
Vi tok Planning Poker 20:15 der vi vurderte hvor lang tid vi tror at arbeidsoppgavene kommer til å ta. Jeg tror at en del av dem er blitt overvurdert, men det er mye bedre enn å undervurdere så jeg er ikke særlig plaget av det.
Etter Planning Poker så delte gruppen seg opp igjen. Min del av gruppa begynte å jobbe med Sprint 2 retrospektivet, mens de andre delene jobbet med noen av arbeidsoppgavene vi ligger bak på eller med avhengighets tabellen.
</t>
  </si>
  <si>
    <t xml:space="preserve">  Timeliste - Eivind Blom Eriksen - Uke 12</t>
  </si>
  <si>
    <t>Sprint 2 Review med Hans</t>
  </si>
  <si>
    <t>Scrum Møte og sjekket ut prosjektet sammen</t>
  </si>
  <si>
    <t>Jobbet med side for arkiverte emner</t>
  </si>
  <si>
    <t>18.1</t>
  </si>
  <si>
    <t>Innstallerte phpstorm, xampp og annet på ny maskin i forsøk på å fikse css og js problemer</t>
  </si>
  <si>
    <t>Jobbet med loggen</t>
  </si>
  <si>
    <t xml:space="preserve">Roller:
SCRUM-master i Sprint 3: Anders Rubach Ese
Backend: Martin Mikalsen, Anders Rubach Ese, Adrian-Alexandru Chirita, Vegard Simonsen
Frontend: Joachim Kristensen, Alexander Hansen, Eivind Blom Eriksen
Mandag: Vi hadde sprint 2 review med Hans på mandag. Det gikk relativt greit, men den manglet en del koordinasjon og forberedelse fra gruppa. Vi gjorde ikke noe mere sammen den dagen pga annet arbeid.
Onsdag: Vi hadde et Scrum møte der vi mer eller mindre presenterte det at nesten ingen i gruppa hadde gjort noe på grunn av annet fokus og at vi kommer til å være opptatt til lørdag så det blir ikke noe særlig arbeid.
Lørdag: Vi hadde et Scrum møte der vi fortalte hverandre at våre estimater fra forrige gang var korrekte. Vi pratet litt igjennom hva alle skulle jobbe med og vi gikk igjennom litt av prosjektet sammen.
Søndag: Jeg jobbet med å lage en side for emner fra eldre semester (18.1), jeg endte opp med å prøve å finne en vei som kunne ha spart en del tid hvis det fungerte, men for at det skulle fungere så måtte jeg få javascript filene og css filene til å fungere. Så jeg installerte phpstorm, xampp og annet på en ny maskin for å se om det fikset problemet mitt. Det gjorde det ikke, så jeg måtte gå tilbake til den tregere metoden. Siden mangler bare backend logikken.
</t>
  </si>
  <si>
    <t xml:space="preserve">  Timeliste - Eivind Blom Eriksen - Uke 13</t>
  </si>
  <si>
    <t>Jobbet med tilgang til edlre emner</t>
  </si>
  <si>
    <t>Jobbet med tilgang til eldre emner</t>
  </si>
  <si>
    <t>18.2</t>
  </si>
  <si>
    <t>Skrev sammendrag</t>
  </si>
  <si>
    <t>Møte med front end folka</t>
  </si>
  <si>
    <t>Fikset opp noen ting i emnekatalogen slik at det blir mindre arbeid for backend</t>
  </si>
  <si>
    <t>Hjalp Joachim med noen filer jeg hadde sent over til han</t>
  </si>
  <si>
    <t>Jobbet med å få ting til å fungere på den andre maskinen. Har hatt like mye hell med den som på macen</t>
  </si>
  <si>
    <t>Brukte tid på å lære om twig templates og hvordan å få ting fra php fil inn i dem.</t>
  </si>
  <si>
    <t>Logg, samendrag skriving og siste sprint 3 documentasjon.</t>
  </si>
  <si>
    <t>Gruppen gjorde siste documentasjon og regnet ut oppgaven.</t>
  </si>
  <si>
    <t xml:space="preserve">Roller:
SCRUM-master i Sprint 3: Anders Rubach Ese
Neste SCRUM-Master: Martin Mikalsen
Backend: Martin Mikalsen, Anders Rubach Ese, Adrian-Alexandru Chirita, Vegard Simonsen
Frontend: Joachim Kristensen, Alexander Hansen, Eivind Blom Eriksen
Mandag: Vi hadde et scrum møte der gruppa pratet om hva som vi hadde gjort og hva vi skal gjøre fremover. Vi hengte fortsatt litt etter og det var kjipt. Vi pratet litt om at vi måtte fikse Sprint 2 innleveringen og satte det igang.
Onsdag: Vi hadde et lite møte kl 12, bare jeg, Anders og Adrian møtte opp på møtet. Vi pratet litt om at vi hadde fått godkjent på den nye Sprint 2 innleveringen. Vi pratet også om hva vi hadde gjort og skulle gjøre. Vi kom fram til at vi lå bak planen pga. andre innleveringer og sånt.
Senere på dagen så jobbet jeg med mere med å få siden for de eldre emnene til å fungere. Jeg ble for det meste ferdig, men jeg tok en pause for å lage middag. Jeg hadde planlagt å gjøre litt mere arbeid senere (i 8-10 tiden), men jeg fant ut at en film jeg har ventet på kom ut så jeg begynte å arbeide igjen før planlagt og gjorde meg ferdig med siden slik at jeg kunne se film etterpå.
Torsdag: Startet dagen med et møte med front end delen av gruppa der vi gikk igjennom hva situasjonen var på den fronten. Etter dette møtet så gjorde jeg to økter med å fikse opp på emnekatalogen slik at den var kompatibel med siden for eldre emner jeg hadde lagd og slik at den var klar for back end og søkefunksjon.
Fredag: Hadde et scrum møte med gruppen der vi gikk igjennom hvordan prosjektet gikk.
Lørdag: Vi hadde planning poker, det gikk ganske greit denne uken siden alle story pointene var allerede ferdig. Etter det så hjalp jeg Joachim litt med å få filene jeg hadde jobbet med til å fungere på hans system.
Etter at jeg hjalp han så tok jeg middag før jeg jobbet med å få css og javascript til å fungere på den stasjonære windows maskinen min. Jeg gikk igjennom en del av de sammen forsøkene som jeg gjorde på macen, men jeg fikk ikke ting til å fungere på min side.
Søndag: Jeg leste meg opp på hvordan å få variabler og funksjoner inn i twig templatene siden jeg var frustrert med innlevering i mobil prog.
I 9 tiden så skrev jeg sammendraget for denne uken siden jeg hadde vært sløv på dette siden onsdag. Etter det så jobbet jeg og gruppen sammen om det siste sprint dokumentasjon og hvordan oppgaven skulle svares siden gruppen var ganske usikker på det.
Oppgavesvar:  
Månedsinntekt for årslønn ansatt = (550000kr * 7 ansatte) / 12 mnd = 321000kr
Månedsinntekt bedrift = 321000 + 29000 (grovt estimat av admn. tillegg) = 350000kr
Ukesinntekt bedrift = 350000kr / 4 uker = 87500kr
Dagsinntekt bedrift = 87500kr / 7 dager = 12500kr
Timesinntekt bedrift = 12500kr / 24 timer = 521kr
Gjennomsnitt storypoints per uke: ((55 / 2) + (91 / 2) + (71 / 2)) / 3 = 36,16 timer
Timesbetaling = Ukesinntekt / Gjennomsnitt storypoints = 87500kr / 36,16 timer = 2420kr / time
</t>
  </si>
  <si>
    <t xml:space="preserve">  Timeliste - Eivind Blom Eriksen - Uke 14</t>
  </si>
  <si>
    <t>Sprint 3 Review</t>
  </si>
  <si>
    <t>Ferdig stilling av innlevering</t>
  </si>
  <si>
    <t>Jobbet med 24.1 hadde noen tekniske problemer med den nye versjonen av prosjektet</t>
  </si>
  <si>
    <t>24.1</t>
  </si>
  <si>
    <t>Jobbet med 24.1 måtte slutte arbeid pga at jeg trengte assistance fra andre i gruppen</t>
  </si>
  <si>
    <t>Gjorde noen endringer på 24.1 pga infromasjon jeg fikk fra Anders</t>
  </si>
  <si>
    <t>Leste opp på hvordan man kan sende email via php.</t>
  </si>
  <si>
    <t>Skrev en enkel php fil som skal sende email. Den er ikke ferdig, men strukturen er der.</t>
  </si>
  <si>
    <t>24.2</t>
  </si>
  <si>
    <t>Gjorde ferdig timeliste og sammendrag</t>
  </si>
  <si>
    <t xml:space="preserve">Roller:
SCRUM-master i Sprint 4: 
Backend: Martin Mikalsen, Anders Rubach Ese, Adrian-Alexandru Chirita, Vegard Simonsen
Frontend: Joachim Kristensen, Alexander Hansen, Eivind Blom Eriksen
Mandag: Vi startet dagen med et scrum  møte der vi gjorde noen siste liten forberedelser for Sprint 3 Review. Etter det så hadde vi Sprint reviewet sammen med lærer og alle PO-ene. Vi fikk positiv tilbakemelding av læreren på grunn av forbedringen fra forrige review. Etter møtet så jobbet jeg ikke mere med prosjektet på den dagen pga. innlevering i mobil prog.
Tirsdag: Vi hadde et Sprint møte der vi gikk igjennom hva alle hadde gjort og hva vi skal gjøre fra nå av. Senere på dagen så ferdigstilte vi innleveringen som vi hadde i frist og vi gjorde ferdig noen siste ting som skulle ha vært i Sprint 3 innleveringen (burn up/down).
Onsdag: Jeg begynte å jobbe ganske sent på grunn av annet arbeid, men jeg kom meg ganske godt i gang med 24.1. Jeg møtte noen tekniske problemer her også så jeg bestemte meg for å ikke sløse mere tid på å prøve å fikse de tekniske problemene og istedenfor valgte å jobbe så langt så mulig og så få de andre i gruppen til å hjelpe med testing. Dette er ikke en veldig praktisk løsning, men jeg har allerede brukt mye tid på å prøve å fikse mine problemer som jeg kunne har brukt på å jobbe med prosjektet.
Torsdag: Vi hadde et Scrum møte på torsdag, arbeidet ikke med prosjektet etter møtet.
Lørdag: Jeg våknet “tidlig” på lørdag ås jeg jobbet med 24.1 for et par timer før Scrum møtet. Jeg gjorde 24.1 for det meste ferdig, trengte bare noen backend deler. Etter det så hadde vi et Scrum møte der vi viste fram hva vi hadde og la planer for hva folk skulle gjøre og når neste møte skulle være.
I tre tiden så fikk jeg en melding fra Anders om at databasen allerede inneholdte en primitiv versjon av hva jeg hadde planlagt for kommentarer. Så vi bestemte at vi skulle bruke en mer primitiv versjon og legge en mer avansert versjon på hylla hvis vi får mere tid. Senere på dagen så endret jeg på 24.1 slik at den tok til brukt det Anders fortalte meg om.
Søndag: Jeg bestemte meg for å jobbe litt med 24.2 etter at jeg hadde jobbet med mobil prog. Så jeg leste meg opp på å sende mail via php, det virket ganske enkelt. Det var litt rart siden jeg syntes å huske at det var vanskeligere, men tydeligvis var det ikke det. Etter at jeg hadde lest meg selv opp på å sende mail så jobbet jeg med å lage en php fil for det. Det var ganske enkelt, men jeg endte opp med å kopiere innholdet over til filen som skulle sende kommentar inn i databasen slik at det ble mindre styr med å sende variabler.
</t>
  </si>
  <si>
    <t xml:space="preserve">  Timeliste - Eivind Blom Eriksen - Uke 15</t>
  </si>
  <si>
    <t>Jobbet med å sette opp tingene som vi kommer til å trenge for 26.1</t>
  </si>
  <si>
    <t>26.1</t>
  </si>
  <si>
    <t>Jobbet mere med 26.1</t>
  </si>
  <si>
    <t xml:space="preserve">Roller:
SCRUM-master i Sprint 4: Martin Mikaelsen
Neste Scrum-master: Adrian-Alexandru Chirita
Backend: Martin Mikalsen, Anders Rubach Ese, Adrian-Alexandru Chirita, Vegard Simonsen
Frontend: Joachim Kristensen, Alexander Hansen, Eivind Blom Eriksen
Mandag: Hadde et Scrum møte der vi pratet om hva vi planla å gjøre denne uka. Det vil si at nesten ingen av oss hadde noen planer for å jobbe denne uka.
Onsdag: Vi hadde et Scrum møte der vi for det meste rapporterte det at vi ikke hadde gjort noe og at noen av oss hadde noen planer for å jobbe litt denne uken.
Torsdag: Jeg begynte å jobbe med 26.1 som handlet om å lage en funksjon slik at administrator kan sende mail til folk. Jeg gjorde det meste av front end, men den mangler fortsatt spørringer slik at det er mulig å velge fakulteter som skal få mail.
Lørdag: Vi hadde et Scrum møte der vi rapporterte at vi hadde nytt påsken og at jeg, Anders og Adrian hadde fått noe arbeid gjort denne uka. Vi bestemte oss også for at Adrian skal være Scrum master fra neste uke av slik at alle vil få anledningen.
Søndag: Jeg jobbet med back end og fikset noen front end deler på 26.1 siden jeg var tidlig våken. Jeg skrev også sammendraget siden jeg ikke hadde gjort det tidligere i uka.
</t>
  </si>
  <si>
    <t xml:space="preserve">  Timeliste - Eivind Blom Eriksen - Uke 16</t>
  </si>
  <si>
    <t>Fikset opp noen ting I 24.1, 24.2 og 26.1</t>
  </si>
  <si>
    <t>Satte opp litt ryggverk i 26.1, trenger å legge til faktiske database spørringer</t>
  </si>
  <si>
    <t>Jobbet nesten ferdig med 24.2, trenger fortsatt testing</t>
  </si>
  <si>
    <t>Gjorde noen opprettinger i 26.1 og leste opp på databasen</t>
  </si>
  <si>
    <t>Leste meg opp på form laging</t>
  </si>
  <si>
    <t>Prøvde ut en annen fiks for problemen som jeg har med prosjektet. Dette funket ikke, men jeg hadde ikke noe særlig tro i at det var et caching problem</t>
  </si>
  <si>
    <t>Jeg og Adrian skulle teste, men vi endte opp med å prøve å fikse de tekniske problemene. Dette funket ikke.</t>
  </si>
  <si>
    <t>Vi testet 24.1</t>
  </si>
  <si>
    <t>Gjorde en rask sjekk på 26.1</t>
  </si>
  <si>
    <t>Fikset tingene i 24.1 som ikke funket da vi testet</t>
  </si>
  <si>
    <t>Prøve ut noen ting i 26.1</t>
  </si>
  <si>
    <t>Jobbet med Sprint documentasjon</t>
  </si>
  <si>
    <t>Gjorde php siden av 26.1 ferdig, trenger testing.</t>
  </si>
  <si>
    <t>Gjorde noen endringer i 26.1 trenger noen nye database spørringer.</t>
  </si>
  <si>
    <t>La til admin restriksjoner i 24.2</t>
  </si>
  <si>
    <t>Testet 26.1</t>
  </si>
  <si>
    <t>Testet 24.1</t>
  </si>
  <si>
    <t>Skrev sammendrag og ferdig gjorde timelisten</t>
  </si>
  <si>
    <t xml:space="preserve">Roller:
SCRUM-master i Sprint 4: Adrian-Alexandru Chirita
Backend: Martin Mikalsen, Anders Rubach Ese, Adrian-Alexandru Chirita, Vegard Simonsen
Frontend: Joachim Kristensen, Alexander Hansen, Eivind Blom Eriksen
Mandag: På mandag så hadde vi et Scrum møte. Det skjedde ikke noe særlig på det møtet pga påske uken som vi nettopp hadde.
Tirsdag: På tirsdag så gjorde jeg en del av arbeidet som trengtes for 24 og 26, men det manglet fortsatt en del siden jeg primært satte opp ryggverket til aktivitetene.
Onsdag: Jeg rettet opp på noen små feil som jeg så i 26.1. Etter det så gjorde jeg litt lesing på databasen for å se om den inneholdte hva jeg trengte.
Etter at jeg hadde gjort det så leste jeg en del opp på hvordan lage former siden jeg følte meg ikke helt sikker på det. Etter det så prøvde jeg meg på en annen måte å fikse problemene som jeg hadde hatt med prosjektet etter at jeg ble anbefalt metoden av faren min. Dette funket ikke desverre.
Torsdag: Vi hadde Scrum møte på torsdag på grunn av at Adrian og Joachim hadde eksamen på onsdag. Møte var ganske standard. Jeg avtalte med Adrian at han skulle hjelpe med å teste filene jeg hadde laget.
Senere på dagen så skulle vi begynne å teste, men Adrian dro meg med på 1 og en halv time med å prøve å prosjektet til å fungere for meg. Dette gjorde ikke noe. Etter det så testet vi hva jeg hadde skrevet og noterte hva som gikk galt og hva det kan være som lager problemene.
Fredag: På fredag så fikset jeg de tingene som hadde gått galt i testingen som jeg hadde gjort sammen med Adrian. Etter det så satte jeg opp litt logikk for email stringen i 26.1
Lørdag: Vi hadde et ganske standard Scrum møte der vi gikk igjennom hva folk hadde jobbet med og vi planla å jobbe med Sprint dokumentasjon senere på dagen.
Senere på dagen så jobbet vi med Sprint dokumentasjonen. Primært så jobbet vi med backloggene. Jeg jobbet 26.1 mer eller mindre ferdig senere den kvelden.
Søndag: Jeg hjalp litt med Sprint dokumentasjon, men jeg var ikke trengt så jeg gikk over til å jobbe med 26.1 i håp om å bli ferdig før vi skulle innlevere. Etter det så satte jeg opp biter i 24.1 slik at kun admin kan se kommentar input feltet, mens alle kan se kommentarer til emner de har. 
Senere på dagen så hjalp jeg med sprint dokumentasjon, mens jeg ventet på at noen ble ledig slik at de kunne hjelpe meg med testing. Etter det så hjalp Anders meg med å teste filene jeg hadde laget, det var noen problemer med dem, men vi fikset dem. Vi fikk ikke testet email funksjonalitet pga at vi kun brukte localhost og at vi var ikke så veldig interessert i å styre server innstillinger så sent på søndag.
Etter det så skrev jeg sammendraget og gjorde ferdig timelisten.
</t>
  </si>
  <si>
    <t xml:space="preserve">  Timeliste - Eivind Blom Eriksen - Uke 17</t>
  </si>
  <si>
    <t>Scrum Møte og forbredelse til Sprint 4 Review</t>
  </si>
  <si>
    <t>Sprint 4 Review</t>
  </si>
  <si>
    <t>Jobbet med Sprint 4 retrospectivet</t>
  </si>
  <si>
    <t>Jobbet med 31.1</t>
  </si>
  <si>
    <t>Leste opp og så forelesning på input sanitization</t>
  </si>
  <si>
    <t>Leste opp på måter å redusere risken for at emailer blir fanget i spamfilter</t>
  </si>
  <si>
    <t>Gjorde faren for at mail blir fanget av spamfilter mindre i alle relevante filer</t>
  </si>
  <si>
    <t>Leste opp på måter man kan teste mail(). Leste også opp på redirigering fra en side til en annen.</t>
  </si>
  <si>
    <t>Fikset emne status slik at den går tilbake til den siden når en ny kommentar har blitt lagd</t>
  </si>
  <si>
    <t>Lagde fler språklige versjoner av sider</t>
  </si>
  <si>
    <t>34.1</t>
  </si>
  <si>
    <t>Skrev sammendrag og gjorde timelisten ferdig</t>
  </si>
  <si>
    <t xml:space="preserve">Roller:
SCRUM-master i Sprint 5: Vegard Simonsen
SCRUM-master i Sprint 5: Adrian-Alexandru Chirita
Backend: Martin Mikalsen, Anders Rubach Ese, Adrian-Alexandru Chirita, Vegard Simonsen
Frontend: Joachim Kristensen, Alexander Hansen, Eivind Blom Eriksen
Mandag: Vi startet dagen med et Sprint møte der vi gikk igjennom hva folk hadde gjort siden forrige gang (ikke noe særlig) og så gikk vi over til å forberede oss til Sprint 4 Reviewet som vi skulle ha en time senere. Sprint reviewet gikk ganske bra, desverre så hadde jeg ikke sett at rekkefølgen som var postet i discord serveren hadde blitt redigert, så jeg ble mildt flau da jeg prøvde å starte hva jeg skulle prate om før min tur.
Tirsdag: Jeg hjalp med å skrive sprint retrospective. Det jeg skrev endte opp med å blitt litt humoristisk og ironisk på grunn av at jeg var usikker på hva å legge til som ikke ville være en gjentagelse fra forrige retrospective.
Torsdag: Vi hadde et møte der vi gikk igjennom hva alle hadde gjort. Svaret var generelt ikke noe særlig pga andre innleveringer.
Fredag: Jeg jobbet med å legge til automatisk email sending til de relaterte partene ved redigering av emne. Dette tok litt ekstra tid på grunn av tekniske problemer som hadde meg bytte fra en datamaskin til en annen etter noen restart forsøk.
Lørdag: Vi startet dagen med et Scrum møte der vi pratet om hva alle hadde gjort. Det var ikke noe særlig å ta fram som ikke er i møte loggen. Senere på dagen så tok jeg opp fjorårets stoff på input sanitization og filtrering sammen med hva jeg fant på nettet. Jeg gjorde det fordi jeg hadde lest feil på backloggen og trodde at det var noe jeg trengte å lese opp på i forberedelse. Etter det så leste jeg opp på mail funksjonen til php og så igjennom flere måter for å redusere risikoen for at emailene blir fanget av spam filter. Etter lesingen så implementerte jeg endringer som skulle hjelpe med å holde emailer unna spam filtre.
Søndag: Jeg startet dagen med å lese opp på måter man kan teste mail() funksjonen slik at testing i neste uke ikke vil trenge å være så intensivt på de andres side. Det var en del interessant info, men desverre ingen måte som ikke trengte å laste opp ting til server så vi får bare leve med det.
Etter lesingen så fikset jeg updateStatusComment.php slik at den ville gå tilbake til emne status siden etter at en kommentar var laget. Jeg hadde nemlig sett at den bare satt i en hvit skjerm etter at submit knappen var klikket.
Jeg tok en pause etter dette før jeg fulgte opp med å lage flerspråklige alternativer for noen av twig templatene. Det var en ganske enkel ting å gjøre selv om det tok en del tid på grunn av ensformigheten til arbeidet.
</t>
  </si>
  <si>
    <t xml:space="preserve">  Timeliste - Eivind Blom Eriksen - Uke 18</t>
  </si>
  <si>
    <t>Oversatte twig templater</t>
  </si>
  <si>
    <t>Gjorde ferdig oversettelse av twig templater</t>
  </si>
  <si>
    <t>Jobbet med å legge til knapp for å bytte språk (For det meste lesing)</t>
  </si>
  <si>
    <t>Roller:
SCRUM-master i Sprint 5: Vegard Simonsen
Backend: Martin Mikalsen, Anders Rubach Ese, Adrian-Alexandru Chirita, Vegard Simonsen
Frontend: Joachim Kristensen, Alexander Hansen, Eivind Blom Eriksen
Mandag: Vi startet dagen med et Scrum møte, vi bare gikk igjennom hva folk i gruppa hadde gjort siden forrige gang. Det er ikke noe spesielt å ta opp som ikke ligger i møte loggen.
Jeg jobbet en god del med å oversette en del av sidene til engelsk og nynorsk senere på dagen
Tirsdag:  Klarte ikke å sove så jeg valgte å jobbe noen timer med å oversette twig templatene. Etter det så sov jeg før jeg kom tilbake for å jobbe mere senere på dagen. Hadde to økter med oversetting etter at jeg våknet.
Onsdag: Det er ikke noe særlig spesielt å si om onsdag, jobbet bare mere med oversetting. Arbeidet var ganske ensformig så jeg hadde på videoer i bakgrunnen.
Torsdag: På torsdag så jobbet jeg med oversetting før vi hadde et Scrum møte. Det er ikke noe særlig å si om møtet annet enn at vi lagde et dokument slik at folk kunne skrive inn hva de jobbet med akkurat nå. Jeg jobbet mer med oversetting på kvelden.
Fredag: På fredag så jobbet jeg mere med oversetting, jobbet litt ekstra på kvelden siden jeg ønsket å være ferdig med oversettings delen før det neste møtet.
Lørdag: Klarte ikke å sove ordentlig så jeg jobbet meg ferdig med oversettelsen før jeg gikk tilbake til sengs. Vi hadde et Scrum møte på lørdag også, det er ikke noe særlig å ta opp. Jeg slappet av resten av dagen.
Søndag: Jobbet med å sette opp en knapp for å bytte språk. Det endte opp med å være for det meste lesing. Jeg skrev også sammendrag og ferdig gjorde timelisten.</t>
  </si>
  <si>
    <t xml:space="preserve">  Timeliste - Eivind Blom Eriksen - Uke 19</t>
  </si>
  <si>
    <t>Lagde knappene usikker på om de fungerer</t>
  </si>
  <si>
    <t>Endret på email funksjonene</t>
  </si>
  <si>
    <t>Løste opp merge konflikter</t>
  </si>
  <si>
    <t>Gjorde testing på email funksjoner. Trenger fortsatt å teste admin email</t>
  </si>
  <si>
    <t>Gikk igjennom kode for å sjekke om det var noen personverns problemer</t>
  </si>
  <si>
    <t>29.1</t>
  </si>
  <si>
    <t>Scrum Møte (Nesten ingen møtte opp)</t>
  </si>
  <si>
    <t>Gikk igjennom backloggen med gruppen</t>
  </si>
  <si>
    <t>Oppdaterte sprint2backendtest</t>
  </si>
  <si>
    <t>Jobbet med innleverings dokumentasjon</t>
  </si>
  <si>
    <t>Skrev sammendrag og logg</t>
  </si>
  <si>
    <t xml:space="preserve">Roller:
SCRUM-master i Sprint 5: Vegard Simonsen
Backend: Martin Mikalsen, Anders Rubach Ese, Adrian-Alexandru Chirita, Vegard Simonsen
Frontend: Joachim Kristensen, Alexander Hansen, Eivind Blom Eriksen
Mandag: Vi hadde et scrum møte der alle rapporterte hva de hadde gjort siden sist. Senere på dagen så la jeg til knapper som skulle bytte språk versjonen av templatene. De trenger testing.
Tirsdag: Fikk melding fra Anders om at han hadde laget sin egen email funksjon som fungerte med lokal host. Så jeg byttet alle filene som brukte den vanlige mail() funksjonen til versjoner som bruker sendMail() funksjonen.
Onsdag: Vi hadde et ganske vanlig scrum møte på starten av dagen. Senere på dagen så jobbet jeg med å løse opp merge konflikter mellom min versjon av prosjektet og den som resten av gruppa hadde. Lagde en ekstra branch slik at noen andre kunne teste at ting fungerte før det ble pushet til den branchen der resten av prosjektet ligger.
Fredag: Vi hadde et Scrum møte kl 1400, det er ikke noe særlig å si om det. Jeg fikk testet noen av email funksjonene og det ser ut til at de fungerer. Trenger fortsatt å teste admin email. Etter det så jobbet jeg med å dobbeltsjekke koden for personvern problemer. Det var noen steder der jeg mistenkte at det kunne være noen, men da jeg sjekket dem ut så var de ikke noe problem.
Lørdag: Jeg startet dagen med å fortsette å se i koden for personvern problemer. Etter det så hadde gruppen et Scrum “Møte”, nesten ingen møtte opp så vi planlagte at gruppa skulle jobbe sammen senere på dagen. Etter møtet (og en pause) så gikk jeg tilbake til å sjekke resten av koden for problemer.
Senere på dagen så kom gruppen sammen og gikk igjennom og oppdaterte backloggene.Vi hadde også et uformelt Scrum møte pga bedre oppmøte på det tidspunktet.
Søndag: Vi startet dagen med et lite scrum møte og så planlagte vi å jobbe med innleveringen senere på dagen som en gruppe. Jeg fikk Anders til å teste den siste email funksjonen og knappene som skal bytte språk. Email fungerte med noen endringer fra Anders, men knappene har jeg ingen løsning til. Etter det så oppdaterte jeg hoved branchen med de nye email filene.
Senere på dagen så kom gruppen sammen for å jobbe med innleveringen. Vi jobbet sammen til det var for det meste bare individuelt arbeid igjen. Etter det så skrev jeg sammendrag og loggen ferdig.
</t>
  </si>
  <si>
    <t>Forbredelse til Sprint review</t>
  </si>
  <si>
    <t>Sprint Review</t>
  </si>
  <si>
    <t>Møte</t>
  </si>
  <si>
    <t>Jobbet med å fikse tingene som ikke fungerer, tror jeg har løsning til buggen in admin email siden</t>
  </si>
  <si>
    <t>Fikset admin email templaten</t>
  </si>
  <si>
    <t>Forbredelse til presentasjon</t>
  </si>
  <si>
    <t>Gjorde de siste fiksene på admin email</t>
  </si>
  <si>
    <t xml:space="preserve">Roller:
SCRUM-master i Sprint 5: Vegard Simonsen
Backend: Martin Mikalsen, Anders Rubach Ese, Adrian-Alexandru Chirita, Vegard Simonsen
Frontend: Joachim Kristensen, Alexander Hansen, Eivind Blom Eriksen
Tirsdag: Vi startet dagen med å forberede oss til Sprint 5 Reviewet. Etter forbredelsen så hadde vi reviewet og det gikk ganske bra synes jeg. Etter reviewet så pratet gruppen sammen om hva folk skulle jobbe med denne uken. Det var for det meste bare noen bug fikser og arbeid i de andre fagene som var på gruppas planer.
Torsdag: Jeg jobbet med å fikse problemene med admin email templaten siden jeg ønsket en pause fra annet arbeid. Dette endte ikke opp med å fungere.
Lørdag: Jeg jobbet igjen med å fikse templaten, det er litt blandet, men den funket bedre selv om den er fortsatt stygg.
Søndag: Gruppa gjorde noen forberedelser for presentasjon, vi gikk igjennom hva som skulle være med i presentasjon og stilte noen spørsmål på ting som vi lurte på, vi bestemte oss for å jobbe med noen av de siste fiksene til prosjektet siden vi hadde tid og siden ikke så mange kom til forberedelsene. Klarte å nesten fikse admin email template, jeg fant ut hvorfor person input ikke ble gjemt (jeg hadde brukt space istedenfor _ i Id-en). Fant også ut hvordan man skulle få siden til å se ordentlig ut. Jeg måtte bare dele opp ting i individuelle div. Jeg fikk ikke til å fikse problemet der ingen av tingene som skal være gjemt blir gjemt når du først kommer inn på siden, ting vil fungere som det skal etter at du klikker på en av radio knappene. Dette lager ikke noe problem siden formen vil se hvilken radio knapp som er trykket for å bestemme seg hvem den sender til.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</si>
</sst>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d/m/yyyy"/>
  </numFmts>
  <fonts count="25" x14ac:knownFonts="1">
    <font>
      <sz val="10"/>
      <color rgb="FF000000"/>
      <name val="Arial"/>
    </font>
    <font>
      <b/>
      <sz val="24"/>
      <color rgb="FF000000"/>
      <name val="Arial"/>
      <family val="2"/>
    </font>
    <font>
      <sz val="18"/>
      <color rgb="FF000000"/>
      <name val="Arial"/>
      <family val="2"/>
    </font>
    <font>
      <sz val="12"/>
      <color rgb="FF000000"/>
      <name val="Arial"/>
      <family val="2"/>
    </font>
    <font>
      <sz val="10"/>
      <color rgb="FF333333"/>
      <name val="Arial"/>
      <family val="2"/>
    </font>
    <font>
      <i/>
      <sz val="10"/>
      <color rgb="FF808080"/>
      <name val="Arial"/>
      <family val="2"/>
    </font>
    <font>
      <u/>
      <sz val="10"/>
      <color rgb="FF0000EE"/>
      <name val="Arial"/>
      <family val="2"/>
    </font>
    <font>
      <sz val="10"/>
      <color rgb="FF006600"/>
      <name val="Arial"/>
      <family val="2"/>
    </font>
    <font>
      <sz val="10"/>
      <color rgb="FF996600"/>
      <name val="Arial"/>
      <family val="2"/>
    </font>
    <font>
      <sz val="10"/>
      <color rgb="FFCC0000"/>
      <name val="Arial"/>
      <family val="2"/>
    </font>
    <font>
      <b/>
      <sz val="10"/>
      <color rgb="FFFFFFFF"/>
      <name val="Arial"/>
      <family val="2"/>
    </font>
    <font>
      <b/>
      <sz val="10"/>
      <color rgb="FF000000"/>
      <name val="Arial"/>
      <family val="2"/>
    </font>
    <font>
      <sz val="10"/>
      <color rgb="FFFFFFFF"/>
      <name val="Arial"/>
      <family val="2"/>
    </font>
    <font>
      <sz val="24"/>
      <color rgb="FF000000"/>
      <name val="Arial"/>
      <family val="2"/>
    </font>
    <font>
      <b/>
      <sz val="11"/>
      <color rgb="FF38761D"/>
      <name val="Arial"/>
      <family val="2"/>
    </font>
    <font>
      <b/>
      <sz val="11"/>
      <color rgb="FF000000"/>
      <name val="Arial"/>
      <family val="2"/>
    </font>
    <font>
      <sz val="11"/>
      <color rgb="FF000000"/>
      <name val="Arial"/>
      <family val="2"/>
    </font>
    <font>
      <b/>
      <sz val="24"/>
      <color rgb="FF38761D"/>
      <name val="Arial"/>
      <family val="2"/>
    </font>
    <font>
      <sz val="12"/>
      <color rgb="FF274E13"/>
      <name val="Arial"/>
      <family val="2"/>
    </font>
    <font>
      <b/>
      <sz val="12"/>
      <color rgb="FF38761D"/>
      <name val="Arial"/>
      <family val="2"/>
    </font>
    <font>
      <b/>
      <sz val="12"/>
      <color rgb="FF3C78D8"/>
      <name val="Arial"/>
      <family val="2"/>
    </font>
    <font>
      <b/>
      <sz val="12"/>
      <color rgb="FF000000"/>
      <name val="Arial"/>
      <family val="2"/>
    </font>
    <font>
      <b/>
      <sz val="12"/>
      <name val="Arial"/>
      <family val="2"/>
    </font>
    <font>
      <b/>
      <sz val="12"/>
      <color rgb="FFFFFFFF"/>
      <name val="Arial"/>
      <family val="2"/>
    </font>
    <font>
      <sz val="10"/>
      <color rgb="FF000000"/>
      <name val="Arial"/>
      <family val="2"/>
    </font>
  </fonts>
  <fills count="25">
    <fill>
      <patternFill patternType="none"/>
    </fill>
    <fill>
      <patternFill patternType="gray125"/>
    </fill>
    <fill>
      <patternFill patternType="solid">
        <fgColor rgb="FFFFFFCC"/>
        <bgColor rgb="FFFFF2CC"/>
      </patternFill>
    </fill>
    <fill>
      <patternFill patternType="solid">
        <fgColor rgb="FFCCFFCC"/>
        <bgColor rgb="FFD9EAD3"/>
      </patternFill>
    </fill>
    <fill>
      <patternFill patternType="solid">
        <fgColor rgb="FFFFCCCC"/>
        <bgColor rgb="FFF4CCCC"/>
      </patternFill>
    </fill>
    <fill>
      <patternFill patternType="solid">
        <fgColor rgb="FFCC0000"/>
        <bgColor rgb="FF800000"/>
      </patternFill>
    </fill>
    <fill>
      <patternFill patternType="solid">
        <fgColor rgb="FF000000"/>
        <bgColor rgb="FF003300"/>
      </patternFill>
    </fill>
    <fill>
      <patternFill patternType="solid">
        <fgColor rgb="FF808080"/>
        <bgColor rgb="FF6AA84F"/>
      </patternFill>
    </fill>
    <fill>
      <patternFill patternType="solid">
        <fgColor rgb="FFDDDDDD"/>
        <bgColor rgb="FFD9EAD3"/>
      </patternFill>
    </fill>
    <fill>
      <patternFill patternType="solid">
        <fgColor rgb="FFB6D7A8"/>
        <bgColor rgb="FFC6E0B4"/>
      </patternFill>
    </fill>
    <fill>
      <patternFill patternType="solid">
        <fgColor rgb="FF6AA84F"/>
        <bgColor rgb="FF93C47D"/>
      </patternFill>
    </fill>
    <fill>
      <patternFill patternType="solid">
        <fgColor rgb="FF3D85C6"/>
        <bgColor rgb="FF3C78D8"/>
      </patternFill>
    </fill>
    <fill>
      <patternFill patternType="solid">
        <fgColor rgb="FFE69138"/>
        <bgColor rgb="FFFF6D6D"/>
      </patternFill>
    </fill>
    <fill>
      <patternFill patternType="solid">
        <fgColor rgb="FFFCE5CD"/>
        <bgColor rgb="FFFFF2CC"/>
      </patternFill>
    </fill>
    <fill>
      <patternFill patternType="solid">
        <fgColor rgb="FFC9DAF8"/>
        <bgColor rgb="FFDDDDDD"/>
      </patternFill>
    </fill>
    <fill>
      <patternFill patternType="solid">
        <fgColor rgb="FFFFF2CC"/>
        <bgColor rgb="FFFFFFCC"/>
      </patternFill>
    </fill>
    <fill>
      <patternFill patternType="solid">
        <fgColor rgb="FFF4CCCC"/>
        <bgColor rgb="FFFFCCCC"/>
      </patternFill>
    </fill>
    <fill>
      <patternFill patternType="solid">
        <fgColor rgb="FFD9EAD3"/>
        <bgColor rgb="FFDDDDDD"/>
      </patternFill>
    </fill>
    <fill>
      <patternFill patternType="solid">
        <fgColor rgb="FFFFFFFF"/>
        <bgColor rgb="FFFFFFCC"/>
      </patternFill>
    </fill>
    <fill>
      <patternFill patternType="solid">
        <fgColor rgb="FFFFE994"/>
        <bgColor rgb="FFFCE5CD"/>
      </patternFill>
    </fill>
    <fill>
      <patternFill patternType="solid">
        <fgColor rgb="FFFF6D6D"/>
        <bgColor rgb="FFE69138"/>
      </patternFill>
    </fill>
    <fill>
      <patternFill patternType="solid">
        <fgColor rgb="FFC6E0B4"/>
        <bgColor rgb="FFB6D7A8"/>
      </patternFill>
    </fill>
    <fill>
      <patternFill patternType="solid">
        <fgColor rgb="FFFFFFFF"/>
        <bgColor indexed="64"/>
      </patternFill>
    </fill>
    <fill>
      <patternFill patternType="solid">
        <fgColor rgb="FFFFE699"/>
        <bgColor indexed="64"/>
      </patternFill>
    </fill>
    <fill>
      <patternFill patternType="solid">
        <fgColor rgb="FFA9D08E"/>
        <bgColor indexed="64"/>
      </patternFill>
    </fill>
  </fills>
  <borders count="66">
    <border>
      <left/>
      <right/>
      <top/>
      <bottom/>
      <diagonal/>
    </border>
    <border>
      <left style="thin">
        <color rgb="FF808080"/>
      </left>
      <right style="thin">
        <color rgb="FF808080"/>
      </right>
      <top style="thin">
        <color rgb="FF808080"/>
      </top>
      <bottom style="thin">
        <color rgb="FF808080"/>
      </bottom>
      <diagonal/>
    </border>
    <border>
      <left/>
      <right/>
      <top style="thick">
        <color auto="1"/>
      </top>
      <bottom/>
      <diagonal/>
    </border>
    <border>
      <left/>
      <right/>
      <top/>
      <bottom style="medium">
        <color auto="1"/>
      </bottom>
      <diagonal/>
    </border>
    <border>
      <left/>
      <right/>
      <top/>
      <bottom style="medium">
        <color rgb="FF6AA84F"/>
      </bottom>
      <diagonal/>
    </border>
    <border>
      <left/>
      <right/>
      <top/>
      <bottom style="medium">
        <color rgb="FF38761D"/>
      </bottom>
      <diagonal/>
    </border>
    <border>
      <left style="medium">
        <color rgb="FF93C47D"/>
      </left>
      <right style="medium">
        <color rgb="FF93C47D"/>
      </right>
      <top/>
      <bottom style="medium">
        <color rgb="FF93C47D"/>
      </bottom>
      <diagonal/>
    </border>
    <border>
      <left style="medium">
        <color rgb="FF93C47D"/>
      </left>
      <right style="medium">
        <color rgb="FF93C47D"/>
      </right>
      <top style="medium">
        <color rgb="FF93C47D"/>
      </top>
      <bottom style="medium">
        <color rgb="FF93C47D"/>
      </bottom>
      <diagonal/>
    </border>
    <border>
      <left style="medium">
        <color rgb="FF93C47D"/>
      </left>
      <right style="medium">
        <color rgb="FF93C47D"/>
      </right>
      <top style="medium">
        <color rgb="FF93C47D"/>
      </top>
      <bottom/>
      <diagonal/>
    </border>
    <border>
      <left style="medium">
        <color rgb="FF6AA84F"/>
      </left>
      <right style="medium">
        <color rgb="FF6AA84F"/>
      </right>
      <top style="medium">
        <color rgb="FF6AA84F"/>
      </top>
      <bottom style="medium">
        <color rgb="FF6AA84F"/>
      </bottom>
      <diagonal/>
    </border>
    <border>
      <left style="thin">
        <color auto="1"/>
      </left>
      <right style="thin">
        <color auto="1"/>
      </right>
      <top style="thin">
        <color auto="1"/>
      </top>
      <bottom style="thin">
        <color auto="1"/>
      </bottom>
      <diagonal/>
    </border>
    <border>
      <left style="medium">
        <color rgb="FF93C47D"/>
      </left>
      <right/>
      <top/>
      <bottom style="medium">
        <color rgb="FF93C47D"/>
      </bottom>
      <diagonal/>
    </border>
    <border>
      <left style="thin">
        <color auto="1"/>
      </left>
      <right style="thin">
        <color auto="1"/>
      </right>
      <top/>
      <bottom/>
      <diagonal/>
    </border>
    <border>
      <left style="medium">
        <color rgb="FF93C47D"/>
      </left>
      <right/>
      <top style="medium">
        <color rgb="FF93C47D"/>
      </top>
      <bottom style="medium">
        <color rgb="FF93C47D"/>
      </bottom>
      <diagonal/>
    </border>
    <border>
      <left style="thin">
        <color auto="1"/>
      </left>
      <right style="thin">
        <color auto="1"/>
      </right>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right style="medium">
        <color auto="1"/>
      </right>
      <top style="medium">
        <color auto="1"/>
      </top>
      <bottom/>
      <diagonal/>
    </border>
    <border>
      <left style="medium">
        <color auto="1"/>
      </left>
      <right/>
      <top/>
      <bottom/>
      <diagonal/>
    </border>
    <border>
      <left style="medium">
        <color auto="1"/>
      </left>
      <right style="medium">
        <color auto="1"/>
      </right>
      <top/>
      <bottom/>
      <diagonal/>
    </border>
    <border>
      <left/>
      <right style="medium">
        <color auto="1"/>
      </right>
      <top/>
      <bottom/>
      <diagonal/>
    </border>
    <border>
      <left style="medium">
        <color auto="1"/>
      </left>
      <right/>
      <top style="thin">
        <color auto="1"/>
      </top>
      <bottom style="thin">
        <color auto="1"/>
      </bottom>
      <diagonal/>
    </border>
    <border>
      <left/>
      <right/>
      <top style="thin">
        <color auto="1"/>
      </top>
      <bottom style="thin">
        <color auto="1"/>
      </bottom>
      <diagonal/>
    </border>
    <border>
      <left style="medium">
        <color auto="1"/>
      </left>
      <right style="medium">
        <color auto="1"/>
      </right>
      <top style="thin">
        <color auto="1"/>
      </top>
      <bottom/>
      <diagonal/>
    </border>
    <border>
      <left style="medium">
        <color auto="1"/>
      </left>
      <right/>
      <top/>
      <bottom style="thin">
        <color auto="1"/>
      </bottom>
      <diagonal/>
    </border>
    <border>
      <left style="medium">
        <color auto="1"/>
      </left>
      <right style="medium">
        <color auto="1"/>
      </right>
      <top style="thin">
        <color auto="1"/>
      </top>
      <bottom style="thin">
        <color auto="1"/>
      </bottom>
      <diagonal/>
    </border>
    <border>
      <left style="medium">
        <color auto="1"/>
      </left>
      <right/>
      <top/>
      <bottom style="medium">
        <color auto="1"/>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right/>
      <top style="hair">
        <color auto="1"/>
      </top>
      <bottom/>
      <diagonal/>
    </border>
    <border>
      <left style="hair">
        <color auto="1"/>
      </left>
      <right style="hair">
        <color auto="1"/>
      </right>
      <top style="hair">
        <color auto="1"/>
      </top>
      <bottom/>
      <diagonal/>
    </border>
    <border>
      <left/>
      <right/>
      <top/>
      <bottom style="hair">
        <color auto="1"/>
      </bottom>
      <diagonal/>
    </border>
    <border>
      <left style="hair">
        <color auto="1"/>
      </left>
      <right style="hair">
        <color auto="1"/>
      </right>
      <top/>
      <bottom/>
      <diagonal/>
    </border>
    <border>
      <left style="hair">
        <color auto="1"/>
      </left>
      <right style="hair">
        <color auto="1"/>
      </right>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hair">
        <color auto="1"/>
      </right>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bottom style="hair">
        <color auto="1"/>
      </bottom>
      <diagonal/>
    </border>
    <border>
      <left/>
      <right/>
      <top/>
      <bottom style="medium">
        <color rgb="FF000000"/>
      </bottom>
      <diagonal/>
    </border>
    <border>
      <left style="medium">
        <color auto="1"/>
      </left>
      <right/>
      <top style="medium">
        <color auto="1"/>
      </top>
      <bottom style="medium">
        <color rgb="FF000000"/>
      </bottom>
      <diagonal/>
    </border>
    <border>
      <left/>
      <right/>
      <top style="medium">
        <color auto="1"/>
      </top>
      <bottom style="medium">
        <color rgb="FF000000"/>
      </bottom>
      <diagonal/>
    </border>
    <border>
      <left style="medium">
        <color auto="1"/>
      </left>
      <right style="medium">
        <color auto="1"/>
      </right>
      <top style="medium">
        <color auto="1"/>
      </top>
      <bottom style="medium">
        <color rgb="FF000000"/>
      </bottom>
      <diagonal/>
    </border>
    <border>
      <left/>
      <right style="medium">
        <color rgb="FF000000"/>
      </right>
      <top/>
      <bottom/>
      <diagonal/>
    </border>
    <border>
      <left style="hair">
        <color auto="1"/>
      </left>
      <right style="medium">
        <color rgb="FF000000"/>
      </right>
      <top/>
      <bottom/>
      <diagonal/>
    </border>
    <border>
      <left style="hair">
        <color auto="1"/>
      </left>
      <right style="medium">
        <color rgb="FF000000"/>
      </right>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medium">
        <color auto="1"/>
      </left>
      <right/>
      <top/>
      <bottom style="medium">
        <color rgb="FF000000"/>
      </bottom>
      <diagonal/>
    </border>
    <border>
      <left style="medium">
        <color auto="1"/>
      </left>
      <right style="medium">
        <color auto="1"/>
      </right>
      <top/>
      <bottom style="medium">
        <color rgb="FF000000"/>
      </bottom>
      <diagonal/>
    </border>
    <border>
      <left style="medium">
        <color rgb="FF000000"/>
      </left>
      <right style="medium">
        <color rgb="FF000000"/>
      </right>
      <top/>
      <bottom/>
      <diagonal/>
    </border>
    <border>
      <left/>
      <right style="medium">
        <color auto="1"/>
      </right>
      <top/>
      <bottom style="medium">
        <color rgb="FF000000"/>
      </bottom>
      <diagonal/>
    </border>
    <border>
      <left style="medium">
        <color rgb="FF000000"/>
      </left>
      <right style="medium">
        <color auto="1"/>
      </right>
      <top/>
      <bottom/>
      <diagonal/>
    </border>
    <border>
      <left style="medium">
        <color rgb="FF000000"/>
      </left>
      <right style="medium">
        <color rgb="FF000000"/>
      </right>
      <top/>
      <bottom style="medium">
        <color rgb="FF000000"/>
      </bottom>
      <diagonal/>
    </border>
    <border>
      <left style="medium">
        <color rgb="FF000000"/>
      </left>
      <right style="medium">
        <color auto="1"/>
      </right>
      <top style="medium">
        <color auto="1"/>
      </top>
      <bottom/>
      <diagonal/>
    </border>
  </borders>
  <cellStyleXfs count="18">
    <xf numFmtId="0" fontId="0" fillId="0" borderId="0"/>
    <xf numFmtId="0" fontId="1" fillId="0" borderId="0" applyBorder="0" applyProtection="0"/>
    <xf numFmtId="0" fontId="2" fillId="0" borderId="0" applyBorder="0" applyProtection="0"/>
    <xf numFmtId="0" fontId="3" fillId="0" borderId="0" applyBorder="0" applyProtection="0"/>
    <xf numFmtId="0" fontId="24" fillId="0" borderId="0" applyBorder="0" applyProtection="0"/>
    <xf numFmtId="0" fontId="4" fillId="2" borderId="1" applyProtection="0"/>
    <xf numFmtId="0" fontId="5" fillId="0" borderId="0" applyBorder="0" applyProtection="0"/>
    <xf numFmtId="0" fontId="6" fillId="0" borderId="0" applyBorder="0" applyProtection="0"/>
    <xf numFmtId="0" fontId="24" fillId="0" borderId="0" applyBorder="0" applyProtection="0"/>
    <xf numFmtId="0" fontId="7" fillId="3" borderId="0" applyBorder="0" applyProtection="0"/>
    <xf numFmtId="0" fontId="8" fillId="2" borderId="0" applyBorder="0" applyProtection="0"/>
    <xf numFmtId="0" fontId="9" fillId="4" borderId="0" applyBorder="0" applyProtection="0"/>
    <xf numFmtId="0" fontId="9" fillId="0" borderId="0" applyBorder="0" applyProtection="0"/>
    <xf numFmtId="0" fontId="10" fillId="5" borderId="0" applyBorder="0" applyProtection="0"/>
    <xf numFmtId="0" fontId="11" fillId="0" borderId="0" applyBorder="0" applyProtection="0"/>
    <xf numFmtId="0" fontId="12" fillId="6" borderId="0" applyBorder="0" applyProtection="0"/>
    <xf numFmtId="0" fontId="12" fillId="7" borderId="0" applyBorder="0" applyProtection="0"/>
    <xf numFmtId="0" fontId="11" fillId="8" borderId="0" applyBorder="0" applyProtection="0"/>
  </cellStyleXfs>
  <cellXfs count="266">
    <xf numFmtId="0" fontId="0" fillId="0" borderId="0" xfId="0"/>
    <xf numFmtId="0" fontId="14" fillId="0" borderId="0" xfId="0" applyFont="1" applyAlignment="1"/>
    <xf numFmtId="164" fontId="15" fillId="0" borderId="3" xfId="0" applyNumberFormat="1" applyFont="1" applyBorder="1" applyAlignment="1"/>
    <xf numFmtId="0" fontId="15" fillId="10" borderId="0" xfId="0" applyFont="1" applyFill="1" applyAlignment="1"/>
    <xf numFmtId="20" fontId="15" fillId="0" borderId="0" xfId="0" applyNumberFormat="1" applyFont="1"/>
    <xf numFmtId="0" fontId="15" fillId="11" borderId="0" xfId="0" applyFont="1" applyFill="1" applyAlignment="1"/>
    <xf numFmtId="20" fontId="15" fillId="0" borderId="0" xfId="0" applyNumberFormat="1" applyFont="1" applyAlignment="1">
      <alignment horizontal="right"/>
    </xf>
    <xf numFmtId="0" fontId="15" fillId="5" borderId="0" xfId="0" applyFont="1" applyFill="1" applyAlignment="1"/>
    <xf numFmtId="20" fontId="15" fillId="0" borderId="4" xfId="0" applyNumberFormat="1" applyFont="1" applyBorder="1"/>
    <xf numFmtId="0" fontId="15" fillId="12" borderId="4" xfId="0" applyFont="1" applyFill="1" applyBorder="1" applyAlignment="1"/>
    <xf numFmtId="0" fontId="14" fillId="0" borderId="5" xfId="0" applyFont="1" applyBorder="1" applyAlignment="1"/>
    <xf numFmtId="0" fontId="16" fillId="0" borderId="0" xfId="0" applyFont="1" applyAlignment="1"/>
    <xf numFmtId="164" fontId="16" fillId="9" borderId="0" xfId="0" applyNumberFormat="1" applyFont="1" applyFill="1" applyAlignment="1">
      <alignment horizontal="right"/>
    </xf>
    <xf numFmtId="20" fontId="16" fillId="9" borderId="0" xfId="0" applyNumberFormat="1" applyFont="1" applyFill="1" applyAlignment="1">
      <alignment horizontal="right"/>
    </xf>
    <xf numFmtId="0" fontId="16" fillId="10" borderId="6" xfId="0" applyFont="1" applyFill="1" applyBorder="1" applyAlignment="1"/>
    <xf numFmtId="164" fontId="16" fillId="0" borderId="0" xfId="0" applyNumberFormat="1" applyFont="1" applyAlignment="1">
      <alignment horizontal="right"/>
    </xf>
    <xf numFmtId="20" fontId="16" fillId="0" borderId="0" xfId="0" applyNumberFormat="1" applyFont="1" applyAlignment="1">
      <alignment horizontal="right"/>
    </xf>
    <xf numFmtId="20" fontId="16" fillId="0" borderId="0" xfId="0" applyNumberFormat="1" applyFont="1" applyAlignment="1"/>
    <xf numFmtId="0" fontId="16" fillId="10" borderId="7" xfId="0" applyFont="1" applyFill="1" applyBorder="1" applyAlignment="1"/>
    <xf numFmtId="0" fontId="16" fillId="12" borderId="8" xfId="0" applyFont="1" applyFill="1" applyBorder="1" applyAlignment="1"/>
    <xf numFmtId="165" fontId="16" fillId="0" borderId="0" xfId="0" applyNumberFormat="1" applyFont="1" applyAlignment="1">
      <alignment horizontal="right"/>
    </xf>
    <xf numFmtId="0" fontId="16" fillId="0" borderId="7" xfId="0" applyFont="1" applyBorder="1" applyAlignment="1"/>
    <xf numFmtId="165" fontId="16" fillId="9" borderId="0" xfId="0" applyNumberFormat="1" applyFont="1" applyFill="1" applyAlignment="1">
      <alignment horizontal="right"/>
    </xf>
    <xf numFmtId="0" fontId="16" fillId="9" borderId="0" xfId="0" applyFont="1" applyFill="1"/>
    <xf numFmtId="0" fontId="16" fillId="0" borderId="7" xfId="0" applyFont="1" applyBorder="1"/>
    <xf numFmtId="0" fontId="16" fillId="9" borderId="5" xfId="0" applyFont="1" applyFill="1" applyBorder="1"/>
    <xf numFmtId="0" fontId="16" fillId="0" borderId="0" xfId="0" applyFont="1" applyAlignment="1">
      <alignment wrapText="1"/>
    </xf>
    <xf numFmtId="0" fontId="18" fillId="0" borderId="0" xfId="0" applyFont="1" applyAlignment="1"/>
    <xf numFmtId="0" fontId="19" fillId="0" borderId="0" xfId="0" applyFont="1" applyAlignment="1"/>
    <xf numFmtId="0" fontId="16" fillId="0" borderId="10" xfId="0" applyFont="1" applyBorder="1" applyAlignment="1"/>
    <xf numFmtId="0" fontId="16" fillId="10" borderId="11" xfId="0" applyFont="1" applyFill="1" applyBorder="1" applyAlignment="1"/>
    <xf numFmtId="0" fontId="16" fillId="0" borderId="12" xfId="0" applyFont="1" applyBorder="1"/>
    <xf numFmtId="0" fontId="16" fillId="10" borderId="13" xfId="0" applyFont="1" applyFill="1" applyBorder="1" applyAlignment="1"/>
    <xf numFmtId="0" fontId="16" fillId="5" borderId="13" xfId="0" applyFont="1" applyFill="1" applyBorder="1" applyAlignment="1"/>
    <xf numFmtId="0" fontId="16" fillId="12" borderId="13" xfId="0" applyFont="1" applyFill="1" applyBorder="1" applyAlignment="1"/>
    <xf numFmtId="20" fontId="16" fillId="9" borderId="0" xfId="0" applyNumberFormat="1" applyFont="1" applyFill="1" applyAlignment="1"/>
    <xf numFmtId="0" fontId="16" fillId="0" borderId="13" xfId="0" applyFont="1" applyBorder="1"/>
    <xf numFmtId="0" fontId="16" fillId="0" borderId="14" xfId="0" applyFont="1" applyBorder="1"/>
    <xf numFmtId="0" fontId="20" fillId="0" borderId="0" xfId="0" applyFont="1" applyAlignment="1"/>
    <xf numFmtId="0" fontId="15" fillId="14" borderId="0" xfId="0" applyFont="1" applyFill="1" applyAlignment="1"/>
    <xf numFmtId="0" fontId="15" fillId="15" borderId="0" xfId="0" applyFont="1" applyFill="1" applyAlignment="1"/>
    <xf numFmtId="0" fontId="15" fillId="16" borderId="0" xfId="0" applyFont="1" applyFill="1" applyAlignment="1"/>
    <xf numFmtId="20" fontId="15" fillId="0" borderId="3" xfId="0" applyNumberFormat="1" applyFont="1" applyBorder="1"/>
    <xf numFmtId="0" fontId="15" fillId="17" borderId="3" xfId="0" applyFont="1" applyFill="1" applyBorder="1" applyAlignment="1"/>
    <xf numFmtId="164" fontId="21" fillId="14" borderId="15" xfId="0" applyNumberFormat="1" applyFont="1" applyFill="1" applyBorder="1" applyAlignment="1">
      <alignment horizontal="right"/>
    </xf>
    <xf numFmtId="20" fontId="21" fillId="14" borderId="16" xfId="0" applyNumberFormat="1" applyFont="1" applyFill="1" applyBorder="1" applyAlignment="1">
      <alignment horizontal="right"/>
    </xf>
    <xf numFmtId="0" fontId="21" fillId="14" borderId="17" xfId="0" applyFont="1" applyFill="1" applyBorder="1" applyAlignment="1"/>
    <xf numFmtId="0" fontId="3" fillId="0" borderId="18" xfId="0" applyFont="1" applyBorder="1"/>
    <xf numFmtId="164" fontId="21" fillId="16" borderId="19" xfId="0" applyNumberFormat="1" applyFont="1" applyFill="1" applyBorder="1" applyAlignment="1">
      <alignment horizontal="right"/>
    </xf>
    <xf numFmtId="20" fontId="21" fillId="16" borderId="0" xfId="0" applyNumberFormat="1" applyFont="1" applyFill="1" applyAlignment="1">
      <alignment horizontal="right"/>
    </xf>
    <xf numFmtId="0" fontId="21" fillId="16" borderId="20" xfId="0" applyFont="1" applyFill="1" applyBorder="1" applyAlignment="1"/>
    <xf numFmtId="0" fontId="3" fillId="0" borderId="21" xfId="0" applyFont="1" applyBorder="1"/>
    <xf numFmtId="164" fontId="21" fillId="14" borderId="22" xfId="0" applyNumberFormat="1" applyFont="1" applyFill="1" applyBorder="1" applyAlignment="1">
      <alignment horizontal="right"/>
    </xf>
    <xf numFmtId="20" fontId="21" fillId="14" borderId="23" xfId="0" applyNumberFormat="1" applyFont="1" applyFill="1" applyBorder="1" applyAlignment="1">
      <alignment horizontal="right"/>
    </xf>
    <xf numFmtId="0" fontId="21" fillId="14" borderId="24" xfId="0" applyFont="1" applyFill="1" applyBorder="1" applyAlignment="1"/>
    <xf numFmtId="0" fontId="16" fillId="0" borderId="21" xfId="0" applyFont="1" applyBorder="1"/>
    <xf numFmtId="164" fontId="21" fillId="17" borderId="25" xfId="0" applyNumberFormat="1" applyFont="1" applyFill="1" applyBorder="1" applyAlignment="1">
      <alignment horizontal="right"/>
    </xf>
    <xf numFmtId="20" fontId="21" fillId="17" borderId="23" xfId="0" applyNumberFormat="1" applyFont="1" applyFill="1" applyBorder="1" applyAlignment="1">
      <alignment horizontal="right"/>
    </xf>
    <xf numFmtId="0" fontId="21" fillId="17" borderId="26" xfId="0" applyFont="1" applyFill="1" applyBorder="1" applyAlignment="1"/>
    <xf numFmtId="165" fontId="16" fillId="18" borderId="19" xfId="0" applyNumberFormat="1" applyFont="1" applyFill="1" applyBorder="1" applyAlignment="1">
      <alignment horizontal="right"/>
    </xf>
    <xf numFmtId="20" fontId="16" fillId="18" borderId="0" xfId="0" applyNumberFormat="1" applyFont="1" applyFill="1" applyAlignment="1">
      <alignment horizontal="right"/>
    </xf>
    <xf numFmtId="0" fontId="16" fillId="18" borderId="0" xfId="0" applyFont="1" applyFill="1" applyAlignment="1">
      <alignment horizontal="right"/>
    </xf>
    <xf numFmtId="0" fontId="16" fillId="0" borderId="20" xfId="0" applyFont="1" applyBorder="1" applyAlignment="1"/>
    <xf numFmtId="0" fontId="16" fillId="18" borderId="0" xfId="0" applyFont="1" applyFill="1"/>
    <xf numFmtId="0" fontId="16" fillId="18" borderId="0" xfId="0" applyFont="1" applyFill="1" applyAlignment="1"/>
    <xf numFmtId="0" fontId="16" fillId="18" borderId="20" xfId="0" applyFont="1" applyFill="1" applyBorder="1" applyAlignment="1"/>
    <xf numFmtId="0" fontId="16" fillId="18" borderId="19" xfId="0" applyFont="1" applyFill="1" applyBorder="1"/>
    <xf numFmtId="0" fontId="16" fillId="18" borderId="20" xfId="0" applyFont="1" applyFill="1" applyBorder="1"/>
    <xf numFmtId="0" fontId="16" fillId="18" borderId="27" xfId="0" applyFont="1" applyFill="1" applyBorder="1"/>
    <xf numFmtId="0" fontId="16" fillId="18" borderId="3" xfId="0" applyFont="1" applyFill="1" applyBorder="1"/>
    <xf numFmtId="0" fontId="16" fillId="0" borderId="28" xfId="0" applyFont="1" applyBorder="1"/>
    <xf numFmtId="0" fontId="16" fillId="0" borderId="29" xfId="0" applyFont="1" applyBorder="1"/>
    <xf numFmtId="0" fontId="3" fillId="0" borderId="0" xfId="0" applyFont="1" applyAlignment="1">
      <alignment wrapText="1"/>
    </xf>
    <xf numFmtId="0" fontId="0" fillId="18" borderId="0" xfId="0" applyFill="1"/>
    <xf numFmtId="0" fontId="20" fillId="18" borderId="0" xfId="0" applyFont="1" applyFill="1" applyAlignment="1"/>
    <xf numFmtId="0" fontId="20" fillId="0" borderId="32" xfId="0" applyFont="1" applyBorder="1" applyAlignment="1">
      <alignment horizontal="center"/>
    </xf>
    <xf numFmtId="164" fontId="15" fillId="18" borderId="3" xfId="0" applyNumberFormat="1" applyFont="1" applyFill="1" applyBorder="1" applyAlignment="1"/>
    <xf numFmtId="0" fontId="0" fillId="18" borderId="33" xfId="0" applyFill="1" applyBorder="1"/>
    <xf numFmtId="0" fontId="15" fillId="14" borderId="34" xfId="0" applyFont="1" applyFill="1" applyBorder="1" applyAlignment="1">
      <alignment horizontal="center"/>
    </xf>
    <xf numFmtId="46" fontId="15" fillId="18" borderId="0" xfId="0" applyNumberFormat="1" applyFont="1" applyFill="1" applyAlignment="1">
      <alignment horizontal="right"/>
    </xf>
    <xf numFmtId="46" fontId="15" fillId="18" borderId="0" xfId="0" applyNumberFormat="1" applyFont="1" applyFill="1"/>
    <xf numFmtId="0" fontId="0" fillId="18" borderId="0" xfId="0" applyFill="1" applyBorder="1"/>
    <xf numFmtId="0" fontId="15" fillId="19" borderId="34" xfId="0" applyFont="1" applyFill="1" applyBorder="1" applyAlignment="1">
      <alignment horizontal="center"/>
    </xf>
    <xf numFmtId="0" fontId="15" fillId="20" borderId="34" xfId="0" applyFont="1" applyFill="1" applyBorder="1" applyAlignment="1">
      <alignment horizontal="center"/>
    </xf>
    <xf numFmtId="46" fontId="15" fillId="18" borderId="3" xfId="0" applyNumberFormat="1" applyFont="1" applyFill="1" applyBorder="1"/>
    <xf numFmtId="0" fontId="15" fillId="21" borderId="35" xfId="0" applyFont="1" applyFill="1" applyBorder="1" applyAlignment="1">
      <alignment horizontal="center"/>
    </xf>
    <xf numFmtId="46" fontId="15" fillId="18" borderId="3" xfId="0" applyNumberFormat="1" applyFont="1" applyFill="1" applyBorder="1" applyAlignment="1">
      <alignment horizontal="right"/>
    </xf>
    <xf numFmtId="0" fontId="3" fillId="18" borderId="18" xfId="0" applyFont="1" applyFill="1" applyBorder="1"/>
    <xf numFmtId="164" fontId="22" fillId="21" borderId="36" xfId="0" applyNumberFormat="1" applyFont="1" applyFill="1" applyBorder="1" applyAlignment="1">
      <alignment horizontal="right"/>
    </xf>
    <xf numFmtId="46" fontId="22" fillId="21" borderId="37" xfId="0" applyNumberFormat="1" applyFont="1" applyFill="1" applyBorder="1" applyAlignment="1">
      <alignment horizontal="right"/>
    </xf>
    <xf numFmtId="0" fontId="22" fillId="21" borderId="38" xfId="0" applyFont="1" applyFill="1" applyBorder="1" applyAlignment="1">
      <alignment wrapText="1"/>
    </xf>
    <xf numFmtId="0" fontId="3" fillId="18" borderId="21" xfId="0" applyFont="1" applyFill="1" applyBorder="1"/>
    <xf numFmtId="164" fontId="22" fillId="21" borderId="39" xfId="0" applyNumberFormat="1" applyFont="1" applyFill="1" applyBorder="1" applyAlignment="1">
      <alignment horizontal="right"/>
    </xf>
    <xf numFmtId="46" fontId="22" fillId="21" borderId="40" xfId="0" applyNumberFormat="1" applyFont="1" applyFill="1" applyBorder="1" applyAlignment="1">
      <alignment horizontal="right"/>
    </xf>
    <xf numFmtId="0" fontId="22" fillId="21" borderId="30" xfId="0" applyFont="1" applyFill="1" applyBorder="1" applyAlignment="1">
      <alignment wrapText="1"/>
    </xf>
    <xf numFmtId="0" fontId="16" fillId="18" borderId="21" xfId="0" applyFont="1" applyFill="1" applyBorder="1"/>
    <xf numFmtId="164" fontId="22" fillId="20" borderId="39" xfId="0" applyNumberFormat="1" applyFont="1" applyFill="1" applyBorder="1" applyAlignment="1">
      <alignment horizontal="right"/>
    </xf>
    <xf numFmtId="46" fontId="22" fillId="20" borderId="40" xfId="0" applyNumberFormat="1" applyFont="1" applyFill="1" applyBorder="1" applyAlignment="1">
      <alignment horizontal="right"/>
    </xf>
    <xf numFmtId="0" fontId="22" fillId="20" borderId="30" xfId="0" applyFont="1" applyFill="1" applyBorder="1" applyAlignment="1">
      <alignment wrapText="1"/>
    </xf>
    <xf numFmtId="0" fontId="16" fillId="18" borderId="28" xfId="0" applyFont="1" applyFill="1" applyBorder="1"/>
    <xf numFmtId="0" fontId="16" fillId="18" borderId="29" xfId="0" applyFont="1" applyFill="1" applyBorder="1"/>
    <xf numFmtId="0" fontId="3" fillId="18" borderId="0" xfId="0" applyFont="1" applyFill="1" applyAlignment="1">
      <alignment wrapText="1"/>
    </xf>
    <xf numFmtId="21" fontId="0" fillId="18" borderId="0" xfId="0" applyNumberFormat="1" applyFill="1"/>
    <xf numFmtId="164" fontId="22" fillId="19" borderId="36" xfId="0" applyNumberFormat="1" applyFont="1" applyFill="1" applyBorder="1" applyAlignment="1">
      <alignment horizontal="right"/>
    </xf>
    <xf numFmtId="46" fontId="22" fillId="19" borderId="37" xfId="0" applyNumberFormat="1" applyFont="1" applyFill="1" applyBorder="1" applyAlignment="1">
      <alignment horizontal="right"/>
    </xf>
    <xf numFmtId="0" fontId="22" fillId="19" borderId="38" xfId="0" applyFont="1" applyFill="1" applyBorder="1" applyAlignment="1">
      <alignment wrapText="1"/>
    </xf>
    <xf numFmtId="164" fontId="22" fillId="14" borderId="39" xfId="0" applyNumberFormat="1" applyFont="1" applyFill="1" applyBorder="1" applyAlignment="1">
      <alignment horizontal="right"/>
    </xf>
    <xf numFmtId="46" fontId="22" fillId="14" borderId="40" xfId="0" applyNumberFormat="1" applyFont="1" applyFill="1" applyBorder="1" applyAlignment="1">
      <alignment horizontal="right"/>
    </xf>
    <xf numFmtId="0" fontId="22" fillId="14" borderId="30" xfId="0" applyFont="1" applyFill="1" applyBorder="1" applyAlignment="1">
      <alignment wrapText="1"/>
    </xf>
    <xf numFmtId="164" fontId="22" fillId="19" borderId="39" xfId="0" applyNumberFormat="1" applyFont="1" applyFill="1" applyBorder="1" applyAlignment="1">
      <alignment horizontal="right"/>
    </xf>
    <xf numFmtId="46" fontId="22" fillId="19" borderId="40" xfId="0" applyNumberFormat="1" applyFont="1" applyFill="1" applyBorder="1" applyAlignment="1">
      <alignment horizontal="right"/>
    </xf>
    <xf numFmtId="0" fontId="22" fillId="19" borderId="30" xfId="0" applyFont="1" applyFill="1" applyBorder="1" applyAlignment="1">
      <alignment wrapText="1"/>
    </xf>
    <xf numFmtId="49" fontId="3" fillId="18" borderId="18" xfId="0" applyNumberFormat="1" applyFont="1" applyFill="1" applyBorder="1" applyAlignment="1">
      <alignment horizontal="center" vertical="center"/>
    </xf>
    <xf numFmtId="0" fontId="3" fillId="18" borderId="21" xfId="0" applyFont="1" applyFill="1" applyBorder="1" applyAlignment="1">
      <alignment horizontal="center" vertical="center"/>
    </xf>
    <xf numFmtId="0" fontId="16" fillId="18" borderId="21" xfId="0" applyFont="1" applyFill="1" applyBorder="1" applyAlignment="1">
      <alignment horizontal="center" vertical="center"/>
    </xf>
    <xf numFmtId="0" fontId="16" fillId="18" borderId="34" xfId="0" applyFont="1" applyFill="1" applyBorder="1" applyAlignment="1">
      <alignment horizontal="center" vertical="center"/>
    </xf>
    <xf numFmtId="0" fontId="3" fillId="18" borderId="34" xfId="0" applyFont="1" applyFill="1" applyBorder="1" applyAlignment="1">
      <alignment horizontal="center" vertical="center"/>
    </xf>
    <xf numFmtId="164" fontId="22" fillId="20" borderId="36" xfId="0" applyNumberFormat="1" applyFont="1" applyFill="1" applyBorder="1" applyAlignment="1">
      <alignment horizontal="right"/>
    </xf>
    <xf numFmtId="46" fontId="22" fillId="20" borderId="37" xfId="0" applyNumberFormat="1" applyFont="1" applyFill="1" applyBorder="1" applyAlignment="1">
      <alignment horizontal="right"/>
    </xf>
    <xf numFmtId="0" fontId="22" fillId="20" borderId="38" xfId="0" applyFont="1" applyFill="1" applyBorder="1" applyAlignment="1">
      <alignment wrapText="1"/>
    </xf>
    <xf numFmtId="49" fontId="3" fillId="18" borderId="34" xfId="0" applyNumberFormat="1" applyFont="1" applyFill="1" applyBorder="1" applyAlignment="1">
      <alignment horizontal="center" vertical="center"/>
    </xf>
    <xf numFmtId="49" fontId="16" fillId="18" borderId="34" xfId="0" applyNumberFormat="1" applyFont="1" applyFill="1" applyBorder="1" applyAlignment="1">
      <alignment horizontal="center" vertical="center"/>
    </xf>
    <xf numFmtId="49" fontId="16" fillId="18" borderId="21" xfId="0" applyNumberFormat="1" applyFont="1" applyFill="1" applyBorder="1" applyAlignment="1">
      <alignment horizontal="center" vertical="center"/>
    </xf>
    <xf numFmtId="49" fontId="16" fillId="18" borderId="41" xfId="0" applyNumberFormat="1" applyFont="1" applyFill="1" applyBorder="1" applyAlignment="1">
      <alignment horizontal="center" vertical="center"/>
    </xf>
    <xf numFmtId="46" fontId="23" fillId="18" borderId="0" xfId="0" applyNumberFormat="1" applyFont="1" applyFill="1" applyBorder="1" applyAlignment="1">
      <alignment horizontal="right"/>
    </xf>
    <xf numFmtId="49" fontId="3" fillId="18" borderId="21" xfId="0" applyNumberFormat="1" applyFont="1" applyFill="1" applyBorder="1" applyAlignment="1">
      <alignment horizontal="center" vertical="center"/>
    </xf>
    <xf numFmtId="49" fontId="16" fillId="18" borderId="45" xfId="0" applyNumberFormat="1" applyFont="1" applyFill="1" applyBorder="1" applyAlignment="1">
      <alignment horizontal="center" vertical="center"/>
    </xf>
    <xf numFmtId="164" fontId="22" fillId="18" borderId="0" xfId="0" applyNumberFormat="1" applyFont="1" applyFill="1" applyBorder="1" applyAlignment="1">
      <alignment horizontal="right"/>
    </xf>
    <xf numFmtId="46" fontId="22" fillId="18" borderId="0" xfId="0" applyNumberFormat="1" applyFont="1" applyFill="1" applyBorder="1" applyAlignment="1">
      <alignment horizontal="right"/>
    </xf>
    <xf numFmtId="0" fontId="22" fillId="18" borderId="0" xfId="0" applyFont="1" applyFill="1" applyBorder="1" applyAlignment="1">
      <alignment wrapText="1"/>
    </xf>
    <xf numFmtId="49" fontId="16" fillId="18" borderId="0" xfId="0" applyNumberFormat="1" applyFont="1" applyFill="1" applyBorder="1" applyAlignment="1">
      <alignment horizontal="center" vertical="center"/>
    </xf>
    <xf numFmtId="49" fontId="3" fillId="18" borderId="0" xfId="0" applyNumberFormat="1" applyFont="1" applyFill="1" applyBorder="1" applyAlignment="1">
      <alignment horizontal="center" vertical="center"/>
    </xf>
    <xf numFmtId="164" fontId="15" fillId="18" borderId="46" xfId="0" applyNumberFormat="1" applyFont="1" applyFill="1" applyBorder="1" applyAlignment="1"/>
    <xf numFmtId="0" fontId="0" fillId="18" borderId="46" xfId="0" applyFill="1" applyBorder="1"/>
    <xf numFmtId="164" fontId="15" fillId="18" borderId="46" xfId="0" applyNumberFormat="1" applyFont="1" applyFill="1" applyBorder="1" applyAlignment="1">
      <alignment horizontal="right"/>
    </xf>
    <xf numFmtId="46" fontId="15" fillId="18" borderId="46" xfId="0" applyNumberFormat="1" applyFont="1" applyFill="1" applyBorder="1"/>
    <xf numFmtId="0" fontId="16" fillId="18" borderId="50" xfId="0" applyFont="1" applyFill="1" applyBorder="1" applyAlignment="1">
      <alignment horizontal="center" vertical="center"/>
    </xf>
    <xf numFmtId="49" fontId="16" fillId="18" borderId="51" xfId="0" applyNumberFormat="1" applyFont="1" applyFill="1" applyBorder="1" applyAlignment="1">
      <alignment horizontal="center" vertical="center"/>
    </xf>
    <xf numFmtId="49" fontId="3" fillId="18" borderId="51" xfId="0" applyNumberFormat="1" applyFont="1" applyFill="1" applyBorder="1" applyAlignment="1">
      <alignment horizontal="center" vertical="center"/>
    </xf>
    <xf numFmtId="49" fontId="16" fillId="18" borderId="52" xfId="0" applyNumberFormat="1" applyFont="1" applyFill="1" applyBorder="1" applyAlignment="1">
      <alignment horizontal="center" vertical="center"/>
    </xf>
    <xf numFmtId="0" fontId="20" fillId="18" borderId="0" xfId="0" applyFont="1" applyFill="1"/>
    <xf numFmtId="164" fontId="15" fillId="18" borderId="46" xfId="0" applyNumberFormat="1" applyFont="1" applyFill="1" applyBorder="1"/>
    <xf numFmtId="46" fontId="23" fillId="18" borderId="0" xfId="0" applyNumberFormat="1" applyFont="1" applyFill="1" applyAlignment="1">
      <alignment horizontal="right"/>
    </xf>
    <xf numFmtId="0" fontId="0" fillId="22" borderId="0" xfId="0" applyFill="1"/>
    <xf numFmtId="0" fontId="15" fillId="22" borderId="0" xfId="0" applyFont="1" applyFill="1" applyBorder="1" applyAlignment="1">
      <alignment vertical="center" wrapText="1"/>
    </xf>
    <xf numFmtId="164" fontId="21" fillId="20" borderId="15" xfId="0" applyNumberFormat="1" applyFont="1" applyFill="1" applyBorder="1" applyAlignment="1">
      <alignment horizontal="right"/>
    </xf>
    <xf numFmtId="46" fontId="21" fillId="20" borderId="16" xfId="0" applyNumberFormat="1" applyFont="1" applyFill="1" applyBorder="1" applyAlignment="1">
      <alignment horizontal="right"/>
    </xf>
    <xf numFmtId="0" fontId="21" fillId="20" borderId="17" xfId="0" applyFont="1" applyFill="1" applyBorder="1" applyAlignment="1"/>
    <xf numFmtId="46" fontId="21" fillId="21" borderId="37" xfId="0" applyNumberFormat="1" applyFont="1" applyFill="1" applyBorder="1" applyAlignment="1">
      <alignment horizontal="right"/>
    </xf>
    <xf numFmtId="46" fontId="21" fillId="21" borderId="40" xfId="0" applyNumberFormat="1" applyFont="1" applyFill="1" applyBorder="1" applyAlignment="1">
      <alignment horizontal="right"/>
    </xf>
    <xf numFmtId="164" fontId="21" fillId="20" borderId="39" xfId="0" applyNumberFormat="1" applyFont="1" applyFill="1" applyBorder="1" applyAlignment="1">
      <alignment horizontal="right"/>
    </xf>
    <xf numFmtId="46" fontId="21" fillId="20" borderId="40" xfId="0" applyNumberFormat="1" applyFont="1" applyFill="1" applyBorder="1" applyAlignment="1">
      <alignment horizontal="right"/>
    </xf>
    <xf numFmtId="0" fontId="21" fillId="20" borderId="30" xfId="0" applyFont="1" applyFill="1" applyBorder="1" applyAlignment="1">
      <alignment wrapText="1"/>
    </xf>
    <xf numFmtId="46" fontId="21" fillId="18" borderId="0" xfId="0" applyNumberFormat="1" applyFont="1" applyFill="1" applyBorder="1" applyAlignment="1">
      <alignment horizontal="right"/>
    </xf>
    <xf numFmtId="46" fontId="21" fillId="19" borderId="37" xfId="0" applyNumberFormat="1" applyFont="1" applyFill="1" applyBorder="1" applyAlignment="1">
      <alignment horizontal="right"/>
    </xf>
    <xf numFmtId="46" fontId="21" fillId="14" borderId="40" xfId="0" applyNumberFormat="1" applyFont="1" applyFill="1" applyBorder="1" applyAlignment="1">
      <alignment horizontal="right"/>
    </xf>
    <xf numFmtId="46" fontId="21" fillId="19" borderId="40" xfId="0" applyNumberFormat="1" applyFont="1" applyFill="1" applyBorder="1" applyAlignment="1">
      <alignment horizontal="right"/>
    </xf>
    <xf numFmtId="164" fontId="21" fillId="14" borderId="39" xfId="0" applyNumberFormat="1" applyFont="1" applyFill="1" applyBorder="1" applyAlignment="1">
      <alignment horizontal="right"/>
    </xf>
    <xf numFmtId="0" fontId="21" fillId="14" borderId="30" xfId="0" applyFont="1" applyFill="1" applyBorder="1" applyAlignment="1">
      <alignment wrapText="1"/>
    </xf>
    <xf numFmtId="46" fontId="21" fillId="14" borderId="16" xfId="0" applyNumberFormat="1" applyFont="1" applyFill="1" applyBorder="1" applyAlignment="1">
      <alignment horizontal="right"/>
    </xf>
    <xf numFmtId="46" fontId="21" fillId="20" borderId="37" xfId="0" applyNumberFormat="1" applyFont="1" applyFill="1" applyBorder="1" applyAlignment="1">
      <alignment horizontal="right"/>
    </xf>
    <xf numFmtId="164" fontId="21" fillId="21" borderId="15" xfId="0" applyNumberFormat="1" applyFont="1" applyFill="1" applyBorder="1" applyAlignment="1">
      <alignment horizontal="right"/>
    </xf>
    <xf numFmtId="46" fontId="21" fillId="21" borderId="16" xfId="0" applyNumberFormat="1" applyFont="1" applyFill="1" applyBorder="1" applyAlignment="1">
      <alignment horizontal="right"/>
    </xf>
    <xf numFmtId="0" fontId="21" fillId="21" borderId="17" xfId="0" applyFont="1" applyFill="1" applyBorder="1" applyAlignment="1"/>
    <xf numFmtId="0" fontId="21" fillId="20" borderId="17" xfId="0" applyFont="1" applyFill="1" applyBorder="1" applyAlignment="1">
      <alignment wrapText="1"/>
    </xf>
    <xf numFmtId="164" fontId="21" fillId="21" borderId="42" xfId="0" applyNumberFormat="1" applyFont="1" applyFill="1" applyBorder="1" applyAlignment="1">
      <alignment horizontal="right"/>
    </xf>
    <xf numFmtId="46" fontId="21" fillId="21" borderId="43" xfId="0" applyNumberFormat="1" applyFont="1" applyFill="1" applyBorder="1" applyAlignment="1">
      <alignment horizontal="right"/>
    </xf>
    <xf numFmtId="0" fontId="21" fillId="21" borderId="44" xfId="0" applyFont="1" applyFill="1" applyBorder="1" applyAlignment="1">
      <alignment wrapText="1"/>
    </xf>
    <xf numFmtId="164" fontId="21" fillId="18" borderId="0" xfId="0" applyNumberFormat="1" applyFont="1" applyFill="1" applyBorder="1" applyAlignment="1">
      <alignment horizontal="right"/>
    </xf>
    <xf numFmtId="0" fontId="21" fillId="18" borderId="0" xfId="0" applyFont="1" applyFill="1" applyBorder="1" applyAlignment="1"/>
    <xf numFmtId="0" fontId="21" fillId="21" borderId="17" xfId="0" applyFont="1" applyFill="1" applyBorder="1" applyAlignment="1">
      <alignment wrapText="1"/>
    </xf>
    <xf numFmtId="164" fontId="21" fillId="19" borderId="15" xfId="0" applyNumberFormat="1" applyFont="1" applyFill="1" applyBorder="1" applyAlignment="1">
      <alignment horizontal="right"/>
    </xf>
    <xf numFmtId="46" fontId="21" fillId="19" borderId="16" xfId="0" applyNumberFormat="1" applyFont="1" applyFill="1" applyBorder="1" applyAlignment="1">
      <alignment horizontal="right"/>
    </xf>
    <xf numFmtId="0" fontId="21" fillId="19" borderId="17" xfId="0" applyFont="1" applyFill="1" applyBorder="1" applyAlignment="1">
      <alignment wrapText="1"/>
    </xf>
    <xf numFmtId="0" fontId="21" fillId="14" borderId="17" xfId="0" applyFont="1" applyFill="1" applyBorder="1" applyAlignment="1">
      <alignment wrapText="1"/>
    </xf>
    <xf numFmtId="164" fontId="21" fillId="21" borderId="47" xfId="0" applyNumberFormat="1" applyFont="1" applyFill="1" applyBorder="1" applyAlignment="1">
      <alignment horizontal="right"/>
    </xf>
    <xf numFmtId="46" fontId="21" fillId="21" borderId="48" xfId="0" applyNumberFormat="1" applyFont="1" applyFill="1" applyBorder="1" applyAlignment="1">
      <alignment horizontal="right"/>
    </xf>
    <xf numFmtId="0" fontId="21" fillId="21" borderId="49" xfId="0" applyFont="1" applyFill="1" applyBorder="1" applyAlignment="1">
      <alignment wrapText="1"/>
    </xf>
    <xf numFmtId="164" fontId="21" fillId="23" borderId="15" xfId="0" applyNumberFormat="1" applyFont="1" applyFill="1" applyBorder="1" applyAlignment="1">
      <alignment horizontal="right"/>
    </xf>
    <xf numFmtId="46" fontId="21" fillId="23" borderId="16" xfId="0" applyNumberFormat="1" applyFont="1" applyFill="1" applyBorder="1" applyAlignment="1">
      <alignment horizontal="right"/>
    </xf>
    <xf numFmtId="0" fontId="21" fillId="23" borderId="17" xfId="0" applyFont="1" applyFill="1" applyBorder="1" applyAlignment="1">
      <alignment wrapText="1"/>
    </xf>
    <xf numFmtId="164" fontId="21" fillId="24" borderId="47" xfId="0" applyNumberFormat="1" applyFont="1" applyFill="1" applyBorder="1" applyAlignment="1">
      <alignment horizontal="right"/>
    </xf>
    <xf numFmtId="46" fontId="21" fillId="24" borderId="48" xfId="0" applyNumberFormat="1" applyFont="1" applyFill="1" applyBorder="1" applyAlignment="1">
      <alignment horizontal="right"/>
    </xf>
    <xf numFmtId="0" fontId="21" fillId="24" borderId="49" xfId="0" applyFont="1" applyFill="1" applyBorder="1" applyAlignment="1">
      <alignment wrapText="1"/>
    </xf>
    <xf numFmtId="164" fontId="21" fillId="22" borderId="15" xfId="0" applyNumberFormat="1" applyFont="1" applyFill="1" applyBorder="1" applyAlignment="1">
      <alignment horizontal="right"/>
    </xf>
    <xf numFmtId="46" fontId="21" fillId="22" borderId="16" xfId="0" applyNumberFormat="1" applyFont="1" applyFill="1" applyBorder="1" applyAlignment="1">
      <alignment horizontal="right"/>
    </xf>
    <xf numFmtId="0" fontId="21" fillId="22" borderId="0" xfId="0" applyFont="1" applyFill="1" applyBorder="1" applyAlignment="1">
      <alignment wrapText="1"/>
    </xf>
    <xf numFmtId="164" fontId="21" fillId="22" borderId="0" xfId="0" applyNumberFormat="1" applyFont="1" applyFill="1" applyBorder="1" applyAlignment="1">
      <alignment horizontal="right"/>
    </xf>
    <xf numFmtId="46" fontId="21" fillId="22" borderId="0" xfId="0" applyNumberFormat="1" applyFont="1" applyFill="1" applyBorder="1" applyAlignment="1">
      <alignment horizontal="right"/>
    </xf>
    <xf numFmtId="46" fontId="21" fillId="18" borderId="0" xfId="0" applyNumberFormat="1" applyFont="1" applyFill="1" applyAlignment="1">
      <alignment horizontal="right"/>
    </xf>
    <xf numFmtId="164" fontId="21" fillId="24" borderId="15" xfId="0" applyNumberFormat="1" applyFont="1" applyFill="1" applyBorder="1" applyAlignment="1">
      <alignment horizontal="right"/>
    </xf>
    <xf numFmtId="46" fontId="21" fillId="24" borderId="16" xfId="0" applyNumberFormat="1" applyFont="1" applyFill="1" applyBorder="1" applyAlignment="1">
      <alignment horizontal="right"/>
    </xf>
    <xf numFmtId="0" fontId="21" fillId="24" borderId="17" xfId="0" applyFont="1" applyFill="1" applyBorder="1" applyAlignment="1">
      <alignment wrapText="1"/>
    </xf>
    <xf numFmtId="164" fontId="21" fillId="23" borderId="47" xfId="0" applyNumberFormat="1" applyFont="1" applyFill="1" applyBorder="1" applyAlignment="1">
      <alignment horizontal="right"/>
    </xf>
    <xf numFmtId="46" fontId="21" fillId="23" borderId="48" xfId="0" applyNumberFormat="1" applyFont="1" applyFill="1" applyBorder="1" applyAlignment="1">
      <alignment horizontal="right"/>
    </xf>
    <xf numFmtId="164" fontId="21" fillId="24" borderId="59" xfId="0" applyNumberFormat="1" applyFont="1" applyFill="1" applyBorder="1" applyAlignment="1">
      <alignment horizontal="right"/>
    </xf>
    <xf numFmtId="46" fontId="21" fillId="24" borderId="46" xfId="0" applyNumberFormat="1" applyFont="1" applyFill="1" applyBorder="1" applyAlignment="1">
      <alignment horizontal="right"/>
    </xf>
    <xf numFmtId="0" fontId="21" fillId="24" borderId="60" xfId="0" applyFont="1" applyFill="1" applyBorder="1" applyAlignment="1">
      <alignment wrapText="1"/>
    </xf>
    <xf numFmtId="49" fontId="3" fillId="22" borderId="21" xfId="0" applyNumberFormat="1" applyFont="1" applyFill="1" applyBorder="1" applyAlignment="1">
      <alignment horizontal="center" vertical="center"/>
    </xf>
    <xf numFmtId="0" fontId="16" fillId="22" borderId="21" xfId="0" applyFont="1" applyFill="1" applyBorder="1" applyAlignment="1">
      <alignment horizontal="center" vertical="center"/>
    </xf>
    <xf numFmtId="49" fontId="16" fillId="22" borderId="21" xfId="0" applyNumberFormat="1" applyFont="1" applyFill="1" applyBorder="1" applyAlignment="1">
      <alignment horizontal="center" vertical="center"/>
    </xf>
    <xf numFmtId="49" fontId="16" fillId="22" borderId="51" xfId="0" applyNumberFormat="1" applyFont="1" applyFill="1" applyBorder="1" applyAlignment="1">
      <alignment horizontal="center" vertical="center"/>
    </xf>
    <xf numFmtId="0" fontId="21" fillId="23" borderId="47" xfId="0" applyFont="1" applyFill="1" applyBorder="1" applyAlignment="1">
      <alignment wrapText="1"/>
    </xf>
    <xf numFmtId="49" fontId="16" fillId="18" borderId="61" xfId="0" applyNumberFormat="1" applyFont="1" applyFill="1" applyBorder="1" applyAlignment="1">
      <alignment horizontal="center" vertical="center"/>
    </xf>
    <xf numFmtId="49" fontId="16" fillId="22" borderId="0" xfId="0" applyNumberFormat="1" applyFont="1" applyFill="1" applyBorder="1" applyAlignment="1">
      <alignment horizontal="center" vertical="center"/>
    </xf>
    <xf numFmtId="49" fontId="16" fillId="22" borderId="62" xfId="0" applyNumberFormat="1" applyFont="1" applyFill="1" applyBorder="1" applyAlignment="1">
      <alignment horizontal="center" vertical="center"/>
    </xf>
    <xf numFmtId="0" fontId="0" fillId="22" borderId="0" xfId="0" applyFill="1" applyBorder="1"/>
    <xf numFmtId="49" fontId="3" fillId="22" borderId="63" xfId="0" applyNumberFormat="1" applyFont="1" applyFill="1" applyBorder="1" applyAlignment="1">
      <alignment horizontal="center" vertical="center"/>
    </xf>
    <xf numFmtId="0" fontId="21" fillId="20" borderId="15" xfId="0" applyFont="1" applyFill="1" applyBorder="1" applyAlignment="1">
      <alignment wrapText="1"/>
    </xf>
    <xf numFmtId="49" fontId="3" fillId="18" borderId="61" xfId="0" applyNumberFormat="1" applyFont="1" applyFill="1" applyBorder="1" applyAlignment="1">
      <alignment horizontal="center" vertical="center"/>
    </xf>
    <xf numFmtId="49" fontId="16" fillId="22" borderId="61" xfId="0" applyNumberFormat="1" applyFont="1" applyFill="1" applyBorder="1" applyAlignment="1">
      <alignment horizontal="center" vertical="center"/>
    </xf>
    <xf numFmtId="49" fontId="3" fillId="22" borderId="61" xfId="0" applyNumberFormat="1" applyFont="1" applyFill="1" applyBorder="1" applyAlignment="1">
      <alignment horizontal="center" vertical="center"/>
    </xf>
    <xf numFmtId="0" fontId="21" fillId="24" borderId="59" xfId="0" applyFont="1" applyFill="1" applyBorder="1" applyAlignment="1">
      <alignment wrapText="1"/>
    </xf>
    <xf numFmtId="49" fontId="16" fillId="22" borderId="63" xfId="0" applyNumberFormat="1" applyFont="1" applyFill="1" applyBorder="1" applyAlignment="1">
      <alignment horizontal="center" vertical="center"/>
    </xf>
    <xf numFmtId="49" fontId="16" fillId="22" borderId="64" xfId="0" applyNumberFormat="1" applyFont="1" applyFill="1" applyBorder="1" applyAlignment="1">
      <alignment horizontal="center" vertical="center"/>
    </xf>
    <xf numFmtId="49" fontId="3" fillId="18" borderId="65" xfId="0" applyNumberFormat="1" applyFont="1" applyFill="1" applyBorder="1" applyAlignment="1">
      <alignment horizontal="center" vertical="center"/>
    </xf>
    <xf numFmtId="49" fontId="3" fillId="22" borderId="65" xfId="0" applyNumberFormat="1" applyFont="1" applyFill="1" applyBorder="1" applyAlignment="1">
      <alignment horizontal="center" vertical="center"/>
    </xf>
    <xf numFmtId="0" fontId="15" fillId="18" borderId="0" xfId="0" applyFont="1" applyFill="1" applyBorder="1" applyAlignment="1">
      <alignment vertical="center" wrapText="1"/>
    </xf>
    <xf numFmtId="164" fontId="21" fillId="20" borderId="47" xfId="0" applyNumberFormat="1" applyFont="1" applyFill="1" applyBorder="1" applyAlignment="1">
      <alignment horizontal="right"/>
    </xf>
    <xf numFmtId="46" fontId="21" fillId="20" borderId="48" xfId="0" applyNumberFormat="1" applyFont="1" applyFill="1" applyBorder="1" applyAlignment="1">
      <alignment horizontal="right"/>
    </xf>
    <xf numFmtId="0" fontId="21" fillId="20" borderId="47" xfId="0" applyFont="1" applyFill="1" applyBorder="1" applyAlignment="1">
      <alignment wrapText="1"/>
    </xf>
    <xf numFmtId="0" fontId="16" fillId="18" borderId="0" xfId="0" applyFont="1" applyFill="1" applyAlignment="1">
      <alignment wrapText="1"/>
    </xf>
    <xf numFmtId="0" fontId="13" fillId="9" borderId="2" xfId="0" applyFont="1" applyFill="1" applyBorder="1" applyAlignment="1"/>
    <xf numFmtId="0" fontId="13" fillId="13" borderId="0" xfId="0" applyFont="1" applyFill="1" applyBorder="1" applyAlignment="1"/>
    <xf numFmtId="164" fontId="21" fillId="22" borderId="0" xfId="0" applyNumberFormat="1" applyFont="1" applyFill="1" applyBorder="1" applyAlignment="1"/>
    <xf numFmtId="49" fontId="3" fillId="22" borderId="0" xfId="0" applyNumberFormat="1" applyFont="1" applyFill="1" applyBorder="1" applyAlignment="1">
      <alignment horizontal="center" vertical="center"/>
    </xf>
    <xf numFmtId="49" fontId="3" fillId="22" borderId="64" xfId="0" applyNumberFormat="1" applyFont="1" applyFill="1" applyBorder="1" applyAlignment="1">
      <alignment horizontal="center" vertical="center"/>
    </xf>
    <xf numFmtId="0" fontId="16" fillId="0" borderId="0" xfId="0" applyFont="1" applyBorder="1" applyAlignment="1">
      <alignment wrapText="1"/>
    </xf>
    <xf numFmtId="0" fontId="17" fillId="0" borderId="4" xfId="0" applyFont="1" applyBorder="1" applyAlignment="1"/>
    <xf numFmtId="0" fontId="16" fillId="0" borderId="9" xfId="0" applyFont="1" applyBorder="1" applyAlignment="1">
      <alignment wrapText="1"/>
    </xf>
    <xf numFmtId="0" fontId="1" fillId="0" borderId="3" xfId="0" applyFont="1" applyBorder="1" applyAlignment="1"/>
    <xf numFmtId="0" fontId="16" fillId="0" borderId="30" xfId="0" applyFont="1" applyBorder="1" applyAlignment="1">
      <alignment wrapText="1"/>
    </xf>
    <xf numFmtId="0" fontId="13" fillId="13" borderId="31" xfId="0" applyFont="1" applyFill="1" applyBorder="1" applyAlignment="1">
      <alignment horizontal="left" vertical="center"/>
    </xf>
    <xf numFmtId="0" fontId="16" fillId="18" borderId="0" xfId="0" applyFont="1" applyFill="1" applyBorder="1" applyAlignment="1">
      <alignment wrapText="1"/>
    </xf>
    <xf numFmtId="0" fontId="16" fillId="18" borderId="30" xfId="0" applyFont="1" applyFill="1" applyBorder="1" applyAlignment="1">
      <alignment wrapText="1"/>
    </xf>
    <xf numFmtId="0" fontId="1" fillId="0" borderId="33" xfId="0" applyFont="1" applyBorder="1" applyAlignment="1"/>
    <xf numFmtId="0" fontId="15" fillId="18" borderId="30" xfId="0" applyFont="1" applyFill="1" applyBorder="1" applyAlignment="1">
      <alignment horizontal="left" vertical="center" wrapText="1"/>
    </xf>
    <xf numFmtId="0" fontId="1" fillId="0" borderId="33" xfId="0" applyFont="1" applyBorder="1" applyAlignment="1">
      <alignment horizontal="left" vertical="center"/>
    </xf>
    <xf numFmtId="0" fontId="1" fillId="18" borderId="33" xfId="0" applyFont="1" applyFill="1" applyBorder="1" applyAlignment="1">
      <alignment horizontal="left" vertical="center"/>
    </xf>
    <xf numFmtId="0" fontId="16" fillId="18" borderId="0" xfId="0" applyFont="1" applyFill="1" applyAlignment="1">
      <alignment wrapText="1"/>
    </xf>
    <xf numFmtId="0" fontId="1" fillId="18" borderId="46" xfId="0" applyFont="1" applyFill="1" applyBorder="1" applyAlignment="1">
      <alignment horizontal="left" vertical="center"/>
    </xf>
    <xf numFmtId="164" fontId="21" fillId="22" borderId="53" xfId="0" applyNumberFormat="1" applyFont="1" applyFill="1" applyBorder="1" applyAlignment="1">
      <alignment horizontal="left" wrapText="1"/>
    </xf>
    <xf numFmtId="164" fontId="21" fillId="22" borderId="54" xfId="0" applyNumberFormat="1" applyFont="1" applyFill="1" applyBorder="1" applyAlignment="1">
      <alignment horizontal="left"/>
    </xf>
    <xf numFmtId="164" fontId="21" fillId="22" borderId="55" xfId="0" applyNumberFormat="1" applyFont="1" applyFill="1" applyBorder="1" applyAlignment="1">
      <alignment horizontal="left"/>
    </xf>
    <xf numFmtId="164" fontId="21" fillId="22" borderId="56" xfId="0" applyNumberFormat="1" applyFont="1" applyFill="1" applyBorder="1" applyAlignment="1">
      <alignment horizontal="left"/>
    </xf>
    <xf numFmtId="164" fontId="21" fillId="22" borderId="0" xfId="0" applyNumberFormat="1" applyFont="1" applyFill="1" applyBorder="1" applyAlignment="1">
      <alignment horizontal="left"/>
    </xf>
    <xf numFmtId="164" fontId="21" fillId="22" borderId="50" xfId="0" applyNumberFormat="1" applyFont="1" applyFill="1" applyBorder="1" applyAlignment="1">
      <alignment horizontal="left"/>
    </xf>
    <xf numFmtId="164" fontId="21" fillId="22" borderId="57" xfId="0" applyNumberFormat="1" applyFont="1" applyFill="1" applyBorder="1" applyAlignment="1">
      <alignment horizontal="left"/>
    </xf>
    <xf numFmtId="164" fontId="21" fillId="22" borderId="46" xfId="0" applyNumberFormat="1" applyFont="1" applyFill="1" applyBorder="1" applyAlignment="1">
      <alignment horizontal="left"/>
    </xf>
    <xf numFmtId="164" fontId="21" fillId="22" borderId="58" xfId="0" applyNumberFormat="1" applyFont="1" applyFill="1" applyBorder="1" applyAlignment="1">
      <alignment horizontal="left"/>
    </xf>
    <xf numFmtId="164" fontId="21" fillId="22" borderId="54" xfId="0" applyNumberFormat="1" applyFont="1" applyFill="1" applyBorder="1" applyAlignment="1">
      <alignment horizontal="left" wrapText="1"/>
    </xf>
    <xf numFmtId="164" fontId="21" fillId="22" borderId="55" xfId="0" applyNumberFormat="1" applyFont="1" applyFill="1" applyBorder="1" applyAlignment="1">
      <alignment horizontal="left" wrapText="1"/>
    </xf>
    <xf numFmtId="164" fontId="21" fillId="22" borderId="56" xfId="0" applyNumberFormat="1" applyFont="1" applyFill="1" applyBorder="1" applyAlignment="1">
      <alignment horizontal="left" wrapText="1"/>
    </xf>
    <xf numFmtId="164" fontId="21" fillId="22" borderId="0" xfId="0" applyNumberFormat="1" applyFont="1" applyFill="1" applyBorder="1" applyAlignment="1">
      <alignment horizontal="left" wrapText="1"/>
    </xf>
    <xf numFmtId="164" fontId="21" fillId="22" borderId="50" xfId="0" applyNumberFormat="1" applyFont="1" applyFill="1" applyBorder="1" applyAlignment="1">
      <alignment horizontal="left" wrapText="1"/>
    </xf>
    <xf numFmtId="164" fontId="21" fillId="22" borderId="57" xfId="0" applyNumberFormat="1" applyFont="1" applyFill="1" applyBorder="1" applyAlignment="1">
      <alignment horizontal="left" wrapText="1"/>
    </xf>
    <xf numFmtId="164" fontId="21" fillId="22" borderId="46" xfId="0" applyNumberFormat="1" applyFont="1" applyFill="1" applyBorder="1" applyAlignment="1">
      <alignment horizontal="left" wrapText="1"/>
    </xf>
    <xf numFmtId="164" fontId="21" fillId="22" borderId="58" xfId="0" applyNumberFormat="1" applyFont="1" applyFill="1" applyBorder="1" applyAlignment="1">
      <alignment horizontal="left" wrapText="1"/>
    </xf>
    <xf numFmtId="0" fontId="13" fillId="9" borderId="0" xfId="0" applyFont="1" applyFill="1" applyBorder="1" applyAlignment="1"/>
    <xf numFmtId="20" fontId="13" fillId="9" borderId="2" xfId="0" applyNumberFormat="1" applyFont="1" applyFill="1" applyBorder="1" applyAlignment="1"/>
    <xf numFmtId="20" fontId="13" fillId="9" borderId="0" xfId="0" applyNumberFormat="1" applyFont="1" applyFill="1" applyBorder="1" applyAlignment="1"/>
    <xf numFmtId="20" fontId="0" fillId="0" borderId="0" xfId="0" applyNumberFormat="1"/>
    <xf numFmtId="20" fontId="18" fillId="0" borderId="0" xfId="0" applyNumberFormat="1" applyFont="1" applyAlignment="1"/>
    <xf numFmtId="20" fontId="19" fillId="0" borderId="0" xfId="0" applyNumberFormat="1" applyFont="1" applyAlignment="1"/>
    <xf numFmtId="20" fontId="13" fillId="13" borderId="0" xfId="0" applyNumberFormat="1" applyFont="1" applyFill="1" applyBorder="1" applyAlignment="1"/>
    <xf numFmtId="20" fontId="20" fillId="0" borderId="0" xfId="0" applyNumberFormat="1" applyFont="1" applyAlignment="1"/>
  </cellXfs>
  <cellStyles count="18">
    <cellStyle name="Accent" xfId="14" xr:uid="{00000000-0005-0000-0000-000013000000}"/>
    <cellStyle name="Accent 1" xfId="15" xr:uid="{00000000-0005-0000-0000-000014000000}"/>
    <cellStyle name="Accent 2" xfId="16" xr:uid="{00000000-0005-0000-0000-000015000000}"/>
    <cellStyle name="Accent 3" xfId="17" xr:uid="{00000000-0005-0000-0000-000016000000}"/>
    <cellStyle name="Bad" xfId="11" xr:uid="{00000000-0005-0000-0000-000010000000}"/>
    <cellStyle name="Error" xfId="13" xr:uid="{00000000-0005-0000-0000-000012000000}"/>
    <cellStyle name="Footnote" xfId="6" xr:uid="{00000000-0005-0000-0000-00000B000000}"/>
    <cellStyle name="Good" xfId="9" xr:uid="{00000000-0005-0000-0000-00000E000000}"/>
    <cellStyle name="Heading" xfId="1" xr:uid="{00000000-0005-0000-0000-000006000000}"/>
    <cellStyle name="Heading 1" xfId="2" xr:uid="{00000000-0005-0000-0000-000007000000}"/>
    <cellStyle name="Heading 2" xfId="3" xr:uid="{00000000-0005-0000-0000-000008000000}"/>
    <cellStyle name="Hyperlink" xfId="7" xr:uid="{00000000-0005-0000-0000-00000C000000}"/>
    <cellStyle name="Neutral" xfId="10" xr:uid="{00000000-0005-0000-0000-00000F000000}"/>
    <cellStyle name="Normal" xfId="0" builtinId="0"/>
    <cellStyle name="Note" xfId="5" xr:uid="{00000000-0005-0000-0000-00000A000000}"/>
    <cellStyle name="Status" xfId="8" xr:uid="{00000000-0005-0000-0000-00000D000000}"/>
    <cellStyle name="Text" xfId="4" xr:uid="{00000000-0005-0000-0000-000009000000}"/>
    <cellStyle name="Warning" xfId="12" xr:uid="{00000000-0005-0000-0000-000011000000}"/>
  </cellStyles>
  <dxfs count="14">
    <dxf>
      <font>
        <color rgb="FF000000"/>
        <name val="Arial"/>
      </font>
      <fill>
        <patternFill>
          <bgColor rgb="FFFFFFFF"/>
        </patternFill>
      </fill>
    </dxf>
    <dxf>
      <font>
        <color rgb="FF000000"/>
        <name val="Arial"/>
      </font>
      <fill>
        <patternFill>
          <bgColor rgb="FFFFFFFF"/>
        </patternFill>
      </fill>
    </dxf>
    <dxf>
      <font>
        <color rgb="FF000000"/>
        <name val="Arial"/>
      </font>
      <fill>
        <patternFill>
          <bgColor rgb="FFFFFFFF"/>
        </patternFill>
      </fill>
    </dxf>
    <dxf>
      <font>
        <color rgb="FF000000"/>
        <name val="Arial"/>
      </font>
      <fill>
        <patternFill>
          <bgColor rgb="FFFFFFFF"/>
        </patternFill>
      </fill>
    </dxf>
    <dxf>
      <font>
        <color rgb="FF000000"/>
        <name val="Arial"/>
      </font>
      <fill>
        <patternFill>
          <bgColor rgb="FFFFFFFF"/>
        </patternFill>
      </fill>
    </dxf>
    <dxf>
      <font>
        <color rgb="FF000000"/>
        <name val="Arial"/>
      </font>
      <fill>
        <patternFill>
          <bgColor rgb="FFFFFFFF"/>
        </patternFill>
      </fill>
    </dxf>
    <dxf>
      <font>
        <color rgb="FF000000"/>
        <name val="Arial"/>
      </font>
      <fill>
        <patternFill>
          <bgColor rgb="FFFFFFFF"/>
        </patternFill>
      </fill>
    </dxf>
    <dxf>
      <font>
        <color rgb="FF000000"/>
        <name val="Arial"/>
      </font>
      <fill>
        <patternFill>
          <bgColor rgb="FFFFFFFF"/>
        </patternFill>
      </fill>
    </dxf>
    <dxf>
      <font>
        <color rgb="FF000000"/>
        <name val="Arial"/>
      </font>
      <fill>
        <patternFill>
          <bgColor rgb="FFFFFFFF"/>
        </patternFill>
      </fill>
    </dxf>
    <dxf>
      <font>
        <color rgb="FF000000"/>
        <name val="Arial"/>
      </font>
      <fill>
        <patternFill>
          <bgColor rgb="FFFFFFFF"/>
        </patternFill>
      </fill>
    </dxf>
    <dxf>
      <font>
        <color rgb="FF000000"/>
        <name val="Arial"/>
      </font>
      <fill>
        <patternFill>
          <bgColor rgb="FFFFFFFF"/>
        </patternFill>
      </fill>
    </dxf>
    <dxf>
      <font>
        <color rgb="FF000000"/>
        <name val="Arial"/>
      </font>
      <fill>
        <patternFill>
          <bgColor rgb="FFFFFFFF"/>
        </patternFill>
      </fill>
    </dxf>
    <dxf>
      <font>
        <color rgb="FF000000"/>
        <name val="Arial"/>
      </font>
      <fill>
        <patternFill>
          <bgColor rgb="FFFFFFFF"/>
        </patternFill>
      </fill>
    </dxf>
    <dxf>
      <font>
        <color rgb="FF000000"/>
        <name val="Arial"/>
      </font>
      <fill>
        <patternFill>
          <bgColor rgb="FFFFFFFF"/>
        </patternFill>
      </fill>
    </dxf>
  </dxfs>
  <tableStyles count="0" defaultTableStyle="TableStyleMedium2" defaultPivotStyle="PivotStyleLight16"/>
  <colors>
    <indexedColors>
      <rgbColor rgb="FF000000"/>
      <rgbColor rgb="FFFFFFFF"/>
      <rgbColor rgb="FFCC0000"/>
      <rgbColor rgb="FF00FF00"/>
      <rgbColor rgb="FF0000EE"/>
      <rgbColor rgb="FFFFF2CC"/>
      <rgbColor rgb="FFFF00FF"/>
      <rgbColor rgb="FF00FFFF"/>
      <rgbColor rgb="FF800000"/>
      <rgbColor rgb="FF006600"/>
      <rgbColor rgb="FF000080"/>
      <rgbColor rgb="FF996600"/>
      <rgbColor rgb="FF800080"/>
      <rgbColor rgb="FF38761D"/>
      <rgbColor rgb="FFB6D7A8"/>
      <rgbColor rgb="FF808080"/>
      <rgbColor rgb="FF9999FF"/>
      <rgbColor rgb="FF993366"/>
      <rgbColor rgb="FFFFFFCC"/>
      <rgbColor rgb="FFD9EAD3"/>
      <rgbColor rgb="FF660066"/>
      <rgbColor rgb="FFFF6D6D"/>
      <rgbColor rgb="FF0066CC"/>
      <rgbColor rgb="FFC9DAF8"/>
      <rgbColor rgb="FF000080"/>
      <rgbColor rgb="FFFF00FF"/>
      <rgbColor rgb="FFFFFF00"/>
      <rgbColor rgb="FF00FFFF"/>
      <rgbColor rgb="FF800080"/>
      <rgbColor rgb="FF800000"/>
      <rgbColor rgb="FF008080"/>
      <rgbColor rgb="FF0000FF"/>
      <rgbColor rgb="FF00CCFF"/>
      <rgbColor rgb="FFDDDDDD"/>
      <rgbColor rgb="FFCCFFCC"/>
      <rgbColor rgb="FFFFE994"/>
      <rgbColor rgb="FFC6E0B4"/>
      <rgbColor rgb="FFF4CCCC"/>
      <rgbColor rgb="FFFCE5CD"/>
      <rgbColor rgb="FFFFCCCC"/>
      <rgbColor rgb="FF3C78D8"/>
      <rgbColor rgb="FF33CCCC"/>
      <rgbColor rgb="FF99CC00"/>
      <rgbColor rgb="FFFFCC00"/>
      <rgbColor rgb="FFE69138"/>
      <rgbColor rgb="FFFF6600"/>
      <rgbColor rgb="FF3D85C6"/>
      <rgbColor rgb="FF93C47D"/>
      <rgbColor rgb="FF003366"/>
      <rgbColor rgb="FF6AA84F"/>
      <rgbColor rgb="FF003300"/>
      <rgbColor rgb="FF274E13"/>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zoomScaleNormal="100" workbookViewId="0"/>
  </sheetViews>
  <sheetFormatPr baseColWidth="10" defaultColWidth="9.140625" defaultRowHeight="12.75" x14ac:dyDescent="0.2"/>
  <cols>
    <col min="1" max="1025" width="14.42578125" customWidth="1"/>
  </cols>
  <sheetData/>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4:G42"/>
  <sheetViews>
    <sheetView zoomScaleNormal="100" workbookViewId="0">
      <selection activeCell="E4" sqref="E4"/>
    </sheetView>
  </sheetViews>
  <sheetFormatPr baseColWidth="10" defaultColWidth="9.140625" defaultRowHeight="12.75" x14ac:dyDescent="0.2"/>
  <cols>
    <col min="1" max="4" width="14.42578125" customWidth="1"/>
    <col min="5" max="5" width="16.5703125" customWidth="1"/>
    <col min="6" max="6" width="39" customWidth="1"/>
    <col min="7" max="1025" width="14.42578125" customWidth="1"/>
  </cols>
  <sheetData>
    <row r="4" spans="2:7" ht="12.75" customHeight="1" x14ac:dyDescent="0.4">
      <c r="B4" s="222" t="s">
        <v>0</v>
      </c>
      <c r="C4" s="222"/>
      <c r="D4" s="222"/>
      <c r="E4" s="259">
        <v>0.22916666666666666</v>
      </c>
      <c r="F4" s="222"/>
    </row>
    <row r="5" spans="2:7" ht="15.75" customHeight="1" x14ac:dyDescent="0.4">
      <c r="B5" s="258"/>
      <c r="C5" s="258"/>
      <c r="D5" s="258"/>
      <c r="E5" s="260">
        <v>0</v>
      </c>
      <c r="F5" s="258"/>
    </row>
    <row r="6" spans="2:7" x14ac:dyDescent="0.2">
      <c r="E6" s="261">
        <v>0</v>
      </c>
    </row>
    <row r="7" spans="2:7" x14ac:dyDescent="0.2">
      <c r="E7" s="261">
        <v>2.0833333333333332E-2</v>
      </c>
    </row>
    <row r="8" spans="2:7" ht="15" x14ac:dyDescent="0.25">
      <c r="B8" s="1" t="s">
        <v>1</v>
      </c>
      <c r="C8" s="1" t="s">
        <v>2</v>
      </c>
      <c r="D8" s="1" t="s">
        <v>3</v>
      </c>
      <c r="E8" s="1" t="s">
        <v>4</v>
      </c>
      <c r="F8" s="1" t="s">
        <v>5</v>
      </c>
    </row>
    <row r="9" spans="2:7" ht="15" x14ac:dyDescent="0.25">
      <c r="B9" s="2">
        <v>43843</v>
      </c>
      <c r="C9" s="2">
        <v>43849</v>
      </c>
      <c r="D9" s="3" t="s">
        <v>6</v>
      </c>
      <c r="E9" s="4">
        <f>SUM(E16:E19)</f>
        <v>0.22916666666666696</v>
      </c>
      <c r="F9" s="4">
        <f>E9</f>
        <v>0.22916666666666696</v>
      </c>
    </row>
    <row r="10" spans="2:7" ht="13.9" customHeight="1" x14ac:dyDescent="0.25">
      <c r="B10" s="227" t="s">
        <v>7</v>
      </c>
      <c r="C10" s="227" t="s">
        <v>8</v>
      </c>
      <c r="D10" s="5" t="s">
        <v>9</v>
      </c>
      <c r="E10" s="6">
        <v>0</v>
      </c>
      <c r="F10" s="4">
        <f>E10</f>
        <v>0</v>
      </c>
    </row>
    <row r="11" spans="2:7" ht="15" x14ac:dyDescent="0.25">
      <c r="B11" s="227"/>
      <c r="C11" s="227"/>
      <c r="D11" s="7" t="s">
        <v>10</v>
      </c>
      <c r="E11" s="6">
        <v>0</v>
      </c>
      <c r="F11" s="4">
        <f>E11</f>
        <v>0</v>
      </c>
    </row>
    <row r="12" spans="2:7" ht="15" x14ac:dyDescent="0.25">
      <c r="B12" s="8">
        <f>SUM(E9:E12)</f>
        <v>0.25</v>
      </c>
      <c r="C12" s="8">
        <f>SUM(F9:F12)</f>
        <v>0.25</v>
      </c>
      <c r="D12" s="9" t="s">
        <v>11</v>
      </c>
      <c r="E12" s="8">
        <f>E20</f>
        <v>2.0833333333333037E-2</v>
      </c>
      <c r="F12" s="8">
        <f>E12</f>
        <v>2.0833333333333037E-2</v>
      </c>
    </row>
    <row r="15" spans="2:7" ht="15" x14ac:dyDescent="0.25">
      <c r="B15" s="10" t="s">
        <v>12</v>
      </c>
      <c r="C15" s="10" t="s">
        <v>13</v>
      </c>
      <c r="D15" s="10" t="s">
        <v>14</v>
      </c>
      <c r="E15" s="10" t="s">
        <v>15</v>
      </c>
      <c r="F15" s="10" t="s">
        <v>16</v>
      </c>
      <c r="G15" s="11" t="s">
        <v>17</v>
      </c>
    </row>
    <row r="16" spans="2:7" ht="14.25" x14ac:dyDescent="0.2">
      <c r="B16" s="12">
        <v>43843</v>
      </c>
      <c r="C16" s="13">
        <v>0.58333333333333304</v>
      </c>
      <c r="D16" s="13">
        <v>0.64583333333333304</v>
      </c>
      <c r="E16" s="13">
        <f>D16-C16</f>
        <v>6.25E-2</v>
      </c>
      <c r="F16" s="14" t="s">
        <v>18</v>
      </c>
    </row>
    <row r="17" spans="2:6" ht="14.25" x14ac:dyDescent="0.2">
      <c r="B17" s="15">
        <v>43845</v>
      </c>
      <c r="C17" s="16">
        <v>0.41666666666666702</v>
      </c>
      <c r="D17" s="16">
        <v>0.47916666666666702</v>
      </c>
      <c r="E17" s="17">
        <f>D17-C17</f>
        <v>6.25E-2</v>
      </c>
      <c r="F17" s="18" t="s">
        <v>19</v>
      </c>
    </row>
    <row r="18" spans="2:6" ht="14.25" x14ac:dyDescent="0.2">
      <c r="B18" s="12">
        <v>43846</v>
      </c>
      <c r="C18" s="13">
        <v>0.41666666666666702</v>
      </c>
      <c r="D18" s="13">
        <v>0.47916666666666702</v>
      </c>
      <c r="E18" s="13">
        <f>D18-C18</f>
        <v>6.25E-2</v>
      </c>
      <c r="F18" s="18" t="s">
        <v>20</v>
      </c>
    </row>
    <row r="19" spans="2:6" ht="14.25" x14ac:dyDescent="0.2">
      <c r="B19" s="15">
        <v>43847</v>
      </c>
      <c r="C19" s="16">
        <v>0.625</v>
      </c>
      <c r="D19" s="16">
        <v>0.66666666666666696</v>
      </c>
      <c r="E19" s="17">
        <f>D19-C19</f>
        <v>4.1666666666666963E-2</v>
      </c>
      <c r="F19" s="18" t="s">
        <v>21</v>
      </c>
    </row>
    <row r="20" spans="2:6" ht="14.25" x14ac:dyDescent="0.2">
      <c r="B20" s="12">
        <v>43849</v>
      </c>
      <c r="C20" s="13">
        <v>0.66666666666666696</v>
      </c>
      <c r="D20" s="13">
        <v>0.6875</v>
      </c>
      <c r="E20" s="13">
        <f>D20-C20</f>
        <v>2.0833333333333037E-2</v>
      </c>
      <c r="F20" s="19" t="s">
        <v>22</v>
      </c>
    </row>
    <row r="21" spans="2:6" ht="14.25" x14ac:dyDescent="0.2">
      <c r="B21" s="20"/>
      <c r="C21" s="16"/>
      <c r="D21" s="16"/>
      <c r="F21" s="21"/>
    </row>
    <row r="22" spans="2:6" ht="14.25" x14ac:dyDescent="0.2">
      <c r="B22" s="22"/>
      <c r="C22" s="13"/>
      <c r="D22" s="13"/>
      <c r="E22" s="23"/>
      <c r="F22" s="21"/>
    </row>
    <row r="23" spans="2:6" ht="14.25" x14ac:dyDescent="0.2">
      <c r="F23" s="24"/>
    </row>
    <row r="24" spans="2:6" ht="14.25" x14ac:dyDescent="0.2">
      <c r="B24" s="25"/>
      <c r="C24" s="25"/>
      <c r="D24" s="25"/>
      <c r="E24" s="25"/>
      <c r="F24" s="24"/>
    </row>
    <row r="27" spans="2:6" x14ac:dyDescent="0.2">
      <c r="B27" s="228" t="s">
        <v>23</v>
      </c>
      <c r="C27" s="228"/>
      <c r="D27" s="228"/>
      <c r="E27" s="228"/>
      <c r="F27" s="228"/>
    </row>
    <row r="28" spans="2:6" x14ac:dyDescent="0.2">
      <c r="B28" s="228"/>
      <c r="C28" s="228"/>
      <c r="D28" s="228"/>
      <c r="E28" s="228"/>
      <c r="F28" s="228"/>
    </row>
    <row r="31" spans="2:6" ht="12.75" customHeight="1" x14ac:dyDescent="0.2">
      <c r="B31" s="229" t="s">
        <v>24</v>
      </c>
      <c r="C31" s="229"/>
      <c r="D31" s="229"/>
      <c r="E31" s="229"/>
      <c r="F31" s="229"/>
    </row>
    <row r="32" spans="2:6" x14ac:dyDescent="0.2">
      <c r="B32" s="229"/>
      <c r="C32" s="229"/>
      <c r="D32" s="229"/>
      <c r="E32" s="229"/>
      <c r="F32" s="229"/>
    </row>
    <row r="33" spans="2:6" x14ac:dyDescent="0.2">
      <c r="B33" s="229"/>
      <c r="C33" s="229"/>
      <c r="D33" s="229"/>
      <c r="E33" s="229"/>
      <c r="F33" s="229"/>
    </row>
    <row r="34" spans="2:6" x14ac:dyDescent="0.2">
      <c r="B34" s="229"/>
      <c r="C34" s="229"/>
      <c r="D34" s="229"/>
      <c r="E34" s="229"/>
      <c r="F34" s="229"/>
    </row>
    <row r="35" spans="2:6" x14ac:dyDescent="0.2">
      <c r="B35" s="229"/>
      <c r="C35" s="229"/>
      <c r="D35" s="229"/>
      <c r="E35" s="229"/>
      <c r="F35" s="229"/>
    </row>
    <row r="36" spans="2:6" x14ac:dyDescent="0.2">
      <c r="B36" s="229"/>
      <c r="C36" s="229"/>
      <c r="D36" s="229"/>
      <c r="E36" s="229"/>
      <c r="F36" s="229"/>
    </row>
    <row r="41" spans="2:6" ht="14.25" x14ac:dyDescent="0.2">
      <c r="B41" s="26"/>
      <c r="C41" s="26"/>
      <c r="D41" s="26"/>
      <c r="E41" s="26"/>
      <c r="F41" s="26"/>
    </row>
    <row r="42" spans="2:6" ht="14.25" x14ac:dyDescent="0.2">
      <c r="B42" s="26"/>
      <c r="C42" s="26"/>
      <c r="D42" s="26"/>
      <c r="E42" s="26"/>
      <c r="F42" s="26"/>
    </row>
  </sheetData>
  <mergeCells count="4">
    <mergeCell ref="B10:B11"/>
    <mergeCell ref="C10:C11"/>
    <mergeCell ref="B27:F28"/>
    <mergeCell ref="B31:F36"/>
  </mergeCells>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3:G54"/>
  <sheetViews>
    <sheetView zoomScaleNormal="100" workbookViewId="0">
      <selection activeCell="E8" sqref="E8"/>
    </sheetView>
  </sheetViews>
  <sheetFormatPr baseColWidth="10" defaultColWidth="9.140625" defaultRowHeight="12.75" x14ac:dyDescent="0.2"/>
  <cols>
    <col min="1" max="4" width="14.42578125" customWidth="1"/>
    <col min="5" max="5" width="17.85546875" customWidth="1"/>
    <col min="6" max="6" width="39.140625" customWidth="1"/>
    <col min="7" max="1025" width="14.42578125" customWidth="1"/>
  </cols>
  <sheetData>
    <row r="3" spans="2:7" ht="12.75" customHeight="1" x14ac:dyDescent="0.4">
      <c r="B3" s="222" t="s">
        <v>25</v>
      </c>
      <c r="C3" s="222"/>
      <c r="D3" s="222"/>
      <c r="E3" s="222"/>
      <c r="F3" s="222"/>
    </row>
    <row r="4" spans="2:7" ht="15.75" customHeight="1" x14ac:dyDescent="0.4">
      <c r="B4" s="222"/>
      <c r="C4" s="222"/>
      <c r="D4" s="222"/>
      <c r="E4" s="259">
        <v>0.22916666666666666</v>
      </c>
      <c r="F4" s="222"/>
    </row>
    <row r="5" spans="2:7" x14ac:dyDescent="0.2">
      <c r="E5" s="261">
        <v>0</v>
      </c>
    </row>
    <row r="6" spans="2:7" x14ac:dyDescent="0.2">
      <c r="E6" s="261">
        <v>0</v>
      </c>
    </row>
    <row r="7" spans="2:7" ht="15" x14ac:dyDescent="0.2">
      <c r="B7" s="27" t="s">
        <v>1</v>
      </c>
      <c r="C7" s="27" t="s">
        <v>2</v>
      </c>
      <c r="D7" s="27" t="s">
        <v>3</v>
      </c>
      <c r="E7" s="262">
        <v>3.125E-2</v>
      </c>
      <c r="F7" s="27" t="s">
        <v>5</v>
      </c>
    </row>
    <row r="8" spans="2:7" ht="15" x14ac:dyDescent="0.25">
      <c r="B8" s="2">
        <v>43850</v>
      </c>
      <c r="C8" s="2">
        <v>43887</v>
      </c>
      <c r="D8" s="3" t="s">
        <v>6</v>
      </c>
      <c r="E8" s="4">
        <f>SUM(E15:E18)</f>
        <v>0.22916666666666696</v>
      </c>
      <c r="F8" s="4">
        <f>'Uke3'!F9 + E8</f>
        <v>0.45833333333333393</v>
      </c>
    </row>
    <row r="9" spans="2:7" ht="13.9" customHeight="1" x14ac:dyDescent="0.25">
      <c r="B9" s="227" t="s">
        <v>7</v>
      </c>
      <c r="C9" s="227" t="s">
        <v>8</v>
      </c>
      <c r="D9" s="5" t="s">
        <v>9</v>
      </c>
      <c r="E9" s="6">
        <v>0</v>
      </c>
      <c r="F9" s="4">
        <f>'Uke3'!F10 + E9</f>
        <v>0</v>
      </c>
    </row>
    <row r="10" spans="2:7" ht="15" x14ac:dyDescent="0.25">
      <c r="B10" s="227"/>
      <c r="C10" s="227"/>
      <c r="D10" s="7" t="s">
        <v>10</v>
      </c>
      <c r="E10" s="6">
        <v>0</v>
      </c>
      <c r="F10" s="4">
        <f>'Uke3'!F11 + E10</f>
        <v>0</v>
      </c>
    </row>
    <row r="11" spans="2:7" ht="15" x14ac:dyDescent="0.25">
      <c r="B11" s="8">
        <f>SUM(E8:E11)</f>
        <v>0.26041666666666696</v>
      </c>
      <c r="C11" s="8">
        <f>SUM(F8:F11)</f>
        <v>0.51041666666666696</v>
      </c>
      <c r="D11" s="9" t="s">
        <v>11</v>
      </c>
      <c r="E11" s="8">
        <f>E19</f>
        <v>3.125E-2</v>
      </c>
      <c r="F11" s="8">
        <f>'Uke3'!F12 + E11</f>
        <v>5.2083333333333037E-2</v>
      </c>
    </row>
    <row r="14" spans="2:7" ht="15" x14ac:dyDescent="0.25">
      <c r="B14" s="10" t="s">
        <v>12</v>
      </c>
      <c r="C14" s="10" t="s">
        <v>13</v>
      </c>
      <c r="D14" s="10" t="s">
        <v>14</v>
      </c>
      <c r="E14" s="10" t="s">
        <v>15</v>
      </c>
      <c r="F14" s="10" t="s">
        <v>16</v>
      </c>
      <c r="G14" s="11" t="s">
        <v>17</v>
      </c>
    </row>
    <row r="15" spans="2:7" ht="14.25" x14ac:dyDescent="0.2">
      <c r="B15" s="12">
        <v>43850</v>
      </c>
      <c r="C15" s="13">
        <v>0.58333333333333304</v>
      </c>
      <c r="D15" s="13">
        <v>0.64583333333333304</v>
      </c>
      <c r="E15" s="13">
        <f>D15-C15</f>
        <v>6.25E-2</v>
      </c>
      <c r="F15" s="14" t="s">
        <v>26</v>
      </c>
    </row>
    <row r="16" spans="2:7" ht="14.25" x14ac:dyDescent="0.2">
      <c r="B16" s="15">
        <v>43852</v>
      </c>
      <c r="C16" s="16">
        <v>0.41666666666666702</v>
      </c>
      <c r="D16" s="16">
        <v>0.47916666666666702</v>
      </c>
      <c r="E16" s="17">
        <f>D16-C16</f>
        <v>6.25E-2</v>
      </c>
      <c r="F16" s="18" t="s">
        <v>27</v>
      </c>
    </row>
    <row r="17" spans="2:6" ht="14.25" x14ac:dyDescent="0.2">
      <c r="B17" s="12">
        <v>43853</v>
      </c>
      <c r="C17" s="13">
        <v>0.41666666666666702</v>
      </c>
      <c r="D17" s="13">
        <v>0.47916666666666702</v>
      </c>
      <c r="E17" s="13">
        <f>D17-C17</f>
        <v>6.25E-2</v>
      </c>
      <c r="F17" s="18" t="s">
        <v>28</v>
      </c>
    </row>
    <row r="18" spans="2:6" ht="14.25" x14ac:dyDescent="0.2">
      <c r="B18" s="15">
        <v>43855</v>
      </c>
      <c r="C18" s="16">
        <v>0.58333333333333304</v>
      </c>
      <c r="D18" s="16">
        <v>0.625</v>
      </c>
      <c r="E18" s="17">
        <f>D18-C18</f>
        <v>4.1666666666666963E-2</v>
      </c>
      <c r="F18" s="18" t="s">
        <v>21</v>
      </c>
    </row>
    <row r="19" spans="2:6" ht="14.25" x14ac:dyDescent="0.2">
      <c r="B19" s="12">
        <v>43856</v>
      </c>
      <c r="C19" s="13">
        <v>0.6875</v>
      </c>
      <c r="D19" s="13">
        <v>0.71875</v>
      </c>
      <c r="E19" s="13">
        <f>D19-C19</f>
        <v>3.125E-2</v>
      </c>
      <c r="F19" s="19" t="s">
        <v>22</v>
      </c>
    </row>
    <row r="20" spans="2:6" ht="14.25" x14ac:dyDescent="0.2">
      <c r="B20" s="20"/>
      <c r="C20" s="16"/>
      <c r="D20" s="16"/>
      <c r="F20" s="21"/>
    </row>
    <row r="21" spans="2:6" ht="14.25" x14ac:dyDescent="0.2">
      <c r="B21" s="22"/>
      <c r="C21" s="13"/>
      <c r="D21" s="13"/>
      <c r="E21" s="23"/>
      <c r="F21" s="21"/>
    </row>
    <row r="22" spans="2:6" ht="14.25" x14ac:dyDescent="0.2">
      <c r="F22" s="24"/>
    </row>
    <row r="23" spans="2:6" ht="14.25" x14ac:dyDescent="0.2">
      <c r="B23" s="25"/>
      <c r="C23" s="25"/>
      <c r="D23" s="25"/>
      <c r="E23" s="25"/>
      <c r="F23" s="24"/>
    </row>
    <row r="26" spans="2:6" x14ac:dyDescent="0.2">
      <c r="B26" s="228" t="s">
        <v>23</v>
      </c>
      <c r="C26" s="228"/>
      <c r="D26" s="228"/>
      <c r="E26" s="228"/>
      <c r="F26" s="228"/>
    </row>
    <row r="27" spans="2:6" x14ac:dyDescent="0.2">
      <c r="B27" s="228"/>
      <c r="C27" s="228"/>
      <c r="D27" s="228"/>
      <c r="E27" s="228"/>
      <c r="F27" s="228"/>
    </row>
    <row r="30" spans="2:6" ht="12.75" customHeight="1" x14ac:dyDescent="0.2">
      <c r="B30" s="229" t="s">
        <v>29</v>
      </c>
      <c r="C30" s="229"/>
      <c r="D30" s="229"/>
      <c r="E30" s="229"/>
      <c r="F30" s="229"/>
    </row>
    <row r="31" spans="2:6" x14ac:dyDescent="0.2">
      <c r="B31" s="229"/>
      <c r="C31" s="229"/>
      <c r="D31" s="229"/>
      <c r="E31" s="229"/>
      <c r="F31" s="229"/>
    </row>
    <row r="32" spans="2:6" x14ac:dyDescent="0.2">
      <c r="B32" s="229"/>
      <c r="C32" s="229"/>
      <c r="D32" s="229"/>
      <c r="E32" s="229"/>
      <c r="F32" s="229"/>
    </row>
    <row r="33" spans="2:6" x14ac:dyDescent="0.2">
      <c r="B33" s="229"/>
      <c r="C33" s="229"/>
      <c r="D33" s="229"/>
      <c r="E33" s="229"/>
      <c r="F33" s="229"/>
    </row>
    <row r="34" spans="2:6" x14ac:dyDescent="0.2">
      <c r="B34" s="229"/>
      <c r="C34" s="229"/>
      <c r="D34" s="229"/>
      <c r="E34" s="229"/>
      <c r="F34" s="229"/>
    </row>
    <row r="35" spans="2:6" x14ac:dyDescent="0.2">
      <c r="B35" s="229"/>
      <c r="C35" s="229"/>
      <c r="D35" s="229"/>
      <c r="E35" s="229"/>
      <c r="F35" s="229"/>
    </row>
    <row r="36" spans="2:6" x14ac:dyDescent="0.2">
      <c r="B36" s="229"/>
      <c r="C36" s="229"/>
      <c r="D36" s="229"/>
      <c r="E36" s="229"/>
      <c r="F36" s="229"/>
    </row>
    <row r="37" spans="2:6" x14ac:dyDescent="0.2">
      <c r="B37" s="229"/>
      <c r="C37" s="229"/>
      <c r="D37" s="229"/>
      <c r="E37" s="229"/>
      <c r="F37" s="229"/>
    </row>
    <row r="38" spans="2:6" x14ac:dyDescent="0.2">
      <c r="B38" s="229"/>
      <c r="C38" s="229"/>
      <c r="D38" s="229"/>
      <c r="E38" s="229"/>
      <c r="F38" s="229"/>
    </row>
    <row r="39" spans="2:6" x14ac:dyDescent="0.2">
      <c r="B39" s="229"/>
      <c r="C39" s="229"/>
      <c r="D39" s="229"/>
      <c r="E39" s="229"/>
      <c r="F39" s="229"/>
    </row>
    <row r="40" spans="2:6" x14ac:dyDescent="0.2">
      <c r="B40" s="229"/>
      <c r="C40" s="229"/>
      <c r="D40" s="229"/>
      <c r="E40" s="229"/>
      <c r="F40" s="229"/>
    </row>
    <row r="41" spans="2:6" x14ac:dyDescent="0.2">
      <c r="B41" s="229"/>
      <c r="C41" s="229"/>
      <c r="D41" s="229"/>
      <c r="E41" s="229"/>
      <c r="F41" s="229"/>
    </row>
    <row r="42" spans="2:6" x14ac:dyDescent="0.2">
      <c r="B42" s="229"/>
      <c r="C42" s="229"/>
      <c r="D42" s="229"/>
      <c r="E42" s="229"/>
      <c r="F42" s="229"/>
    </row>
    <row r="43" spans="2:6" x14ac:dyDescent="0.2">
      <c r="B43" s="229"/>
      <c r="C43" s="229"/>
      <c r="D43" s="229"/>
      <c r="E43" s="229"/>
      <c r="F43" s="229"/>
    </row>
    <row r="44" spans="2:6" ht="14.25" x14ac:dyDescent="0.2">
      <c r="B44" s="26"/>
      <c r="C44" s="26"/>
      <c r="D44" s="26"/>
      <c r="E44" s="26"/>
      <c r="F44" s="26"/>
    </row>
    <row r="45" spans="2:6" ht="14.25" x14ac:dyDescent="0.2">
      <c r="B45" s="26"/>
      <c r="C45" s="26"/>
      <c r="D45" s="26"/>
      <c r="E45" s="26"/>
      <c r="F45" s="26"/>
    </row>
    <row r="46" spans="2:6" ht="14.25" x14ac:dyDescent="0.2">
      <c r="B46" s="26"/>
      <c r="C46" s="26"/>
      <c r="D46" s="26"/>
      <c r="E46" s="26"/>
      <c r="F46" s="26"/>
    </row>
    <row r="47" spans="2:6" ht="14.25" x14ac:dyDescent="0.2">
      <c r="B47" s="26"/>
      <c r="C47" s="26"/>
      <c r="D47" s="26"/>
      <c r="E47" s="26"/>
      <c r="F47" s="26"/>
    </row>
    <row r="48" spans="2:6" ht="14.25" x14ac:dyDescent="0.2">
      <c r="B48" s="26"/>
      <c r="C48" s="26"/>
      <c r="D48" s="26"/>
      <c r="E48" s="26"/>
      <c r="F48" s="26"/>
    </row>
    <row r="49" spans="2:6" ht="14.25" x14ac:dyDescent="0.2">
      <c r="B49" s="26"/>
      <c r="C49" s="26"/>
      <c r="D49" s="26"/>
      <c r="E49" s="26"/>
      <c r="F49" s="26"/>
    </row>
    <row r="50" spans="2:6" ht="14.25" x14ac:dyDescent="0.2">
      <c r="B50" s="26"/>
      <c r="C50" s="26"/>
      <c r="D50" s="26"/>
      <c r="E50" s="26"/>
      <c r="F50" s="26"/>
    </row>
    <row r="51" spans="2:6" ht="14.25" x14ac:dyDescent="0.2">
      <c r="B51" s="26"/>
      <c r="C51" s="26"/>
      <c r="D51" s="26"/>
      <c r="E51" s="26"/>
      <c r="F51" s="26"/>
    </row>
    <row r="52" spans="2:6" ht="14.25" x14ac:dyDescent="0.2">
      <c r="B52" s="26"/>
      <c r="C52" s="26"/>
      <c r="D52" s="26"/>
      <c r="E52" s="26"/>
      <c r="F52" s="26"/>
    </row>
    <row r="53" spans="2:6" ht="14.25" x14ac:dyDescent="0.2">
      <c r="B53" s="26"/>
      <c r="C53" s="26"/>
      <c r="D53" s="26"/>
      <c r="E53" s="26"/>
      <c r="F53" s="26"/>
    </row>
    <row r="54" spans="2:6" ht="14.25" x14ac:dyDescent="0.2">
      <c r="B54" s="26"/>
      <c r="C54" s="26"/>
      <c r="D54" s="26"/>
      <c r="E54" s="26"/>
      <c r="F54" s="26"/>
    </row>
  </sheetData>
  <mergeCells count="4">
    <mergeCell ref="B9:B10"/>
    <mergeCell ref="C9:C10"/>
    <mergeCell ref="B26:F27"/>
    <mergeCell ref="B30:F43"/>
  </mergeCells>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3:G42"/>
  <sheetViews>
    <sheetView zoomScaleNormal="100" workbookViewId="0">
      <selection activeCell="E8" sqref="E8"/>
    </sheetView>
  </sheetViews>
  <sheetFormatPr baseColWidth="10" defaultColWidth="9.140625" defaultRowHeight="12.75" x14ac:dyDescent="0.2"/>
  <cols>
    <col min="1" max="1" width="14.42578125" customWidth="1"/>
    <col min="2" max="2" width="16.140625" customWidth="1"/>
    <col min="3" max="3" width="16" customWidth="1"/>
    <col min="4" max="4" width="12.28515625" customWidth="1"/>
    <col min="5" max="5" width="18.85546875" customWidth="1"/>
    <col min="6" max="6" width="28.5703125" customWidth="1"/>
    <col min="7" max="1025" width="14.42578125" customWidth="1"/>
  </cols>
  <sheetData>
    <row r="3" spans="2:7" ht="12.75" customHeight="1" x14ac:dyDescent="0.4">
      <c r="B3" s="222" t="s">
        <v>30</v>
      </c>
      <c r="C3" s="222"/>
      <c r="D3" s="222"/>
      <c r="E3" s="222"/>
      <c r="F3" s="222"/>
    </row>
    <row r="4" spans="2:7" ht="15.75" customHeight="1" x14ac:dyDescent="0.4">
      <c r="B4" s="222"/>
      <c r="C4" s="222"/>
      <c r="D4" s="222"/>
      <c r="E4" s="259">
        <v>0.1875</v>
      </c>
      <c r="F4" s="222"/>
    </row>
    <row r="5" spans="2:7" x14ac:dyDescent="0.2">
      <c r="E5" s="261">
        <v>0</v>
      </c>
    </row>
    <row r="6" spans="2:7" x14ac:dyDescent="0.2">
      <c r="E6" s="261">
        <v>1.3888888888888888E-2</v>
      </c>
    </row>
    <row r="7" spans="2:7" ht="15.75" x14ac:dyDescent="0.25">
      <c r="B7" s="28" t="s">
        <v>1</v>
      </c>
      <c r="C7" s="28" t="s">
        <v>2</v>
      </c>
      <c r="D7" s="28" t="s">
        <v>3</v>
      </c>
      <c r="E7" s="263">
        <v>8.6805555555555566E-2</v>
      </c>
      <c r="F7" s="28" t="s">
        <v>5</v>
      </c>
    </row>
    <row r="8" spans="2:7" ht="15" x14ac:dyDescent="0.25">
      <c r="B8" s="2">
        <v>43857</v>
      </c>
      <c r="C8" s="2">
        <v>43862</v>
      </c>
      <c r="D8" s="3" t="s">
        <v>6</v>
      </c>
      <c r="E8" s="4">
        <f>E15+E16+E18</f>
        <v>0.1875</v>
      </c>
      <c r="F8" s="4">
        <f>'Uke4'!F8 + E8</f>
        <v>0.64583333333333393</v>
      </c>
    </row>
    <row r="9" spans="2:7" ht="13.9" customHeight="1" x14ac:dyDescent="0.25">
      <c r="B9" s="227" t="s">
        <v>7</v>
      </c>
      <c r="C9" s="227" t="s">
        <v>8</v>
      </c>
      <c r="D9" s="5" t="s">
        <v>9</v>
      </c>
      <c r="E9" s="6">
        <v>0</v>
      </c>
      <c r="F9" s="4">
        <f>'Uke4'!F9 + E9</f>
        <v>0</v>
      </c>
    </row>
    <row r="10" spans="2:7" ht="15" x14ac:dyDescent="0.25">
      <c r="B10" s="227"/>
      <c r="C10" s="227"/>
      <c r="D10" s="7" t="s">
        <v>10</v>
      </c>
      <c r="E10" s="4">
        <f>E17</f>
        <v>1.3888888888888951E-2</v>
      </c>
      <c r="F10" s="4">
        <f>'Uke4'!F10 + E10</f>
        <v>1.3888888888888951E-2</v>
      </c>
    </row>
    <row r="11" spans="2:7" ht="15" x14ac:dyDescent="0.25">
      <c r="B11" s="8">
        <f>SUM(E8:E11)</f>
        <v>0.28819444444444509</v>
      </c>
      <c r="C11" s="8">
        <f>SUM(F8:F11)</f>
        <v>0.79861111111111205</v>
      </c>
      <c r="D11" s="9" t="s">
        <v>11</v>
      </c>
      <c r="E11" s="8">
        <f>E19+E20+E21</f>
        <v>8.6805555555556135E-2</v>
      </c>
      <c r="F11" s="8">
        <f>'Uke4'!F11 + E11</f>
        <v>0.13888888888888917</v>
      </c>
    </row>
    <row r="14" spans="2:7" ht="15" x14ac:dyDescent="0.25">
      <c r="B14" s="10" t="s">
        <v>12</v>
      </c>
      <c r="C14" s="10" t="s">
        <v>13</v>
      </c>
      <c r="D14" s="10" t="s">
        <v>14</v>
      </c>
      <c r="E14" s="10" t="s">
        <v>15</v>
      </c>
      <c r="F14" s="10" t="s">
        <v>16</v>
      </c>
      <c r="G14" s="29" t="s">
        <v>17</v>
      </c>
    </row>
    <row r="15" spans="2:7" ht="14.25" x14ac:dyDescent="0.2">
      <c r="B15" s="12">
        <v>43857</v>
      </c>
      <c r="C15" s="13">
        <v>0.58333333333333304</v>
      </c>
      <c r="D15" s="13">
        <v>0.64583333333333304</v>
      </c>
      <c r="E15" s="13">
        <f t="shared" ref="E15:E21" si="0">D15-C15</f>
        <v>6.25E-2</v>
      </c>
      <c r="F15" s="30" t="s">
        <v>31</v>
      </c>
      <c r="G15" s="31"/>
    </row>
    <row r="16" spans="2:7" ht="15.75" customHeight="1" x14ac:dyDescent="0.2">
      <c r="B16" s="15">
        <v>43859</v>
      </c>
      <c r="C16" s="16">
        <v>0.41666666666666702</v>
      </c>
      <c r="D16" s="16">
        <v>0.47916666666666702</v>
      </c>
      <c r="E16" s="17">
        <f t="shared" si="0"/>
        <v>6.25E-2</v>
      </c>
      <c r="F16" s="32" t="s">
        <v>32</v>
      </c>
      <c r="G16" s="31"/>
    </row>
    <row r="17" spans="2:7" ht="14.25" x14ac:dyDescent="0.2">
      <c r="B17" s="12">
        <v>43859</v>
      </c>
      <c r="C17" s="13">
        <v>0.5</v>
      </c>
      <c r="D17" s="13">
        <v>0.51388888888888895</v>
      </c>
      <c r="E17" s="13">
        <f t="shared" si="0"/>
        <v>1.3888888888888951E-2</v>
      </c>
      <c r="F17" s="33" t="s">
        <v>33</v>
      </c>
      <c r="G17" s="31"/>
    </row>
    <row r="18" spans="2:7" ht="14.25" x14ac:dyDescent="0.2">
      <c r="B18" s="15">
        <v>43860</v>
      </c>
      <c r="C18" s="16">
        <v>0.41666666666666702</v>
      </c>
      <c r="D18" s="16">
        <v>0.47916666666666702</v>
      </c>
      <c r="E18" s="17">
        <f t="shared" si="0"/>
        <v>6.25E-2</v>
      </c>
      <c r="F18" s="32" t="s">
        <v>34</v>
      </c>
      <c r="G18" s="31"/>
    </row>
    <row r="19" spans="2:7" ht="14.25" x14ac:dyDescent="0.2">
      <c r="B19" s="12">
        <v>43861</v>
      </c>
      <c r="C19" s="13">
        <v>0.97569444444444398</v>
      </c>
      <c r="D19" s="13">
        <v>0.98611111111111105</v>
      </c>
      <c r="E19" s="13">
        <f t="shared" si="0"/>
        <v>1.0416666666667074E-2</v>
      </c>
      <c r="F19" s="34" t="s">
        <v>35</v>
      </c>
      <c r="G19" s="31"/>
    </row>
    <row r="20" spans="2:7" ht="14.25" x14ac:dyDescent="0.2">
      <c r="B20" s="15">
        <v>43862</v>
      </c>
      <c r="C20" s="16">
        <v>0.6875</v>
      </c>
      <c r="D20" s="16">
        <v>0.71527777777777801</v>
      </c>
      <c r="E20" s="17">
        <f t="shared" si="0"/>
        <v>2.7777777777778012E-2</v>
      </c>
      <c r="F20" s="34" t="s">
        <v>36</v>
      </c>
      <c r="G20" s="31"/>
    </row>
    <row r="21" spans="2:7" ht="14.25" x14ac:dyDescent="0.2">
      <c r="B21" s="12">
        <v>43862</v>
      </c>
      <c r="C21" s="13">
        <v>0.79166666666666696</v>
      </c>
      <c r="D21" s="13">
        <v>0.84027777777777801</v>
      </c>
      <c r="E21" s="35">
        <f t="shared" si="0"/>
        <v>4.8611111111111049E-2</v>
      </c>
      <c r="F21" s="34" t="s">
        <v>36</v>
      </c>
      <c r="G21" s="31"/>
    </row>
    <row r="22" spans="2:7" ht="14.25" x14ac:dyDescent="0.2">
      <c r="F22" s="36"/>
      <c r="G22" s="31"/>
    </row>
    <row r="23" spans="2:7" ht="14.25" x14ac:dyDescent="0.2">
      <c r="B23" s="25"/>
      <c r="C23" s="25"/>
      <c r="D23" s="25"/>
      <c r="E23" s="25"/>
      <c r="F23" s="36"/>
      <c r="G23" s="37"/>
    </row>
    <row r="26" spans="2:7" x14ac:dyDescent="0.2">
      <c r="B26" s="228" t="s">
        <v>23</v>
      </c>
      <c r="C26" s="228"/>
      <c r="D26" s="228"/>
      <c r="E26" s="228"/>
      <c r="F26" s="228"/>
    </row>
    <row r="27" spans="2:7" x14ac:dyDescent="0.2">
      <c r="B27" s="228"/>
      <c r="C27" s="228"/>
      <c r="D27" s="228"/>
      <c r="E27" s="228"/>
      <c r="F27" s="228"/>
    </row>
    <row r="29" spans="2:7" ht="14.25" x14ac:dyDescent="0.2">
      <c r="B29" s="26"/>
      <c r="C29" s="26"/>
      <c r="D29" s="26"/>
      <c r="E29" s="26"/>
      <c r="F29" s="26"/>
    </row>
    <row r="30" spans="2:7" ht="12.75" customHeight="1" x14ac:dyDescent="0.2">
      <c r="B30" s="229" t="s">
        <v>37</v>
      </c>
      <c r="C30" s="229"/>
      <c r="D30" s="229"/>
      <c r="E30" s="229"/>
      <c r="F30" s="229"/>
    </row>
    <row r="31" spans="2:7" x14ac:dyDescent="0.2">
      <c r="B31" s="229"/>
      <c r="C31" s="229"/>
      <c r="D31" s="229"/>
      <c r="E31" s="229"/>
      <c r="F31" s="229"/>
    </row>
    <row r="32" spans="2:7" x14ac:dyDescent="0.2">
      <c r="B32" s="229"/>
      <c r="C32" s="229"/>
      <c r="D32" s="229"/>
      <c r="E32" s="229"/>
      <c r="F32" s="229"/>
    </row>
    <row r="33" spans="2:6" x14ac:dyDescent="0.2">
      <c r="B33" s="229"/>
      <c r="C33" s="229"/>
      <c r="D33" s="229"/>
      <c r="E33" s="229"/>
      <c r="F33" s="229"/>
    </row>
    <row r="34" spans="2:6" x14ac:dyDescent="0.2">
      <c r="B34" s="229"/>
      <c r="C34" s="229"/>
      <c r="D34" s="229"/>
      <c r="E34" s="229"/>
      <c r="F34" s="229"/>
    </row>
    <row r="35" spans="2:6" x14ac:dyDescent="0.2">
      <c r="B35" s="229"/>
      <c r="C35" s="229"/>
      <c r="D35" s="229"/>
      <c r="E35" s="229"/>
      <c r="F35" s="229"/>
    </row>
    <row r="36" spans="2:6" x14ac:dyDescent="0.2">
      <c r="B36" s="229"/>
      <c r="C36" s="229"/>
      <c r="D36" s="229"/>
      <c r="E36" s="229"/>
      <c r="F36" s="229"/>
    </row>
    <row r="37" spans="2:6" x14ac:dyDescent="0.2">
      <c r="B37" s="229"/>
      <c r="C37" s="229"/>
      <c r="D37" s="229"/>
      <c r="E37" s="229"/>
      <c r="F37" s="229"/>
    </row>
    <row r="38" spans="2:6" x14ac:dyDescent="0.2">
      <c r="B38" s="229"/>
      <c r="C38" s="229"/>
      <c r="D38" s="229"/>
      <c r="E38" s="229"/>
      <c r="F38" s="229"/>
    </row>
    <row r="39" spans="2:6" x14ac:dyDescent="0.2">
      <c r="B39" s="229"/>
      <c r="C39" s="229"/>
      <c r="D39" s="229"/>
      <c r="E39" s="229"/>
      <c r="F39" s="229"/>
    </row>
    <row r="40" spans="2:6" x14ac:dyDescent="0.2">
      <c r="B40" s="229"/>
      <c r="C40" s="229"/>
      <c r="D40" s="229"/>
      <c r="E40" s="229"/>
      <c r="F40" s="229"/>
    </row>
    <row r="41" spans="2:6" x14ac:dyDescent="0.2">
      <c r="B41" s="229"/>
      <c r="C41" s="229"/>
      <c r="D41" s="229"/>
      <c r="E41" s="229"/>
      <c r="F41" s="229"/>
    </row>
    <row r="42" spans="2:6" x14ac:dyDescent="0.2">
      <c r="B42" s="229"/>
      <c r="C42" s="229"/>
      <c r="D42" s="229"/>
      <c r="E42" s="229"/>
      <c r="F42" s="229"/>
    </row>
  </sheetData>
  <mergeCells count="4">
    <mergeCell ref="B9:B10"/>
    <mergeCell ref="C9:C10"/>
    <mergeCell ref="B26:F27"/>
    <mergeCell ref="B30:F42"/>
  </mergeCells>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4:G54"/>
  <sheetViews>
    <sheetView zoomScaleNormal="100" workbookViewId="0">
      <selection activeCell="E7" sqref="E7"/>
    </sheetView>
  </sheetViews>
  <sheetFormatPr baseColWidth="10" defaultColWidth="9.140625" defaultRowHeight="12.75" x14ac:dyDescent="0.2"/>
  <cols>
    <col min="1" max="1" width="14.42578125" customWidth="1"/>
    <col min="2" max="2" width="18.7109375" customWidth="1"/>
    <col min="3" max="3" width="19" customWidth="1"/>
    <col min="4" max="4" width="13.5703125" customWidth="1"/>
    <col min="5" max="5" width="20.7109375" customWidth="1"/>
    <col min="6" max="6" width="42.140625" customWidth="1"/>
    <col min="7" max="7" width="16.28515625" customWidth="1"/>
    <col min="8" max="1025" width="14.42578125" customWidth="1"/>
  </cols>
  <sheetData>
    <row r="4" spans="2:7" x14ac:dyDescent="0.2">
      <c r="E4" s="261">
        <v>6.25E-2</v>
      </c>
    </row>
    <row r="5" spans="2:7" ht="12.75" customHeight="1" x14ac:dyDescent="0.4">
      <c r="B5" s="223" t="s">
        <v>38</v>
      </c>
      <c r="C5" s="223"/>
      <c r="D5" s="223"/>
      <c r="E5" s="264">
        <v>0</v>
      </c>
      <c r="F5" s="223"/>
    </row>
    <row r="6" spans="2:7" ht="15.75" customHeight="1" x14ac:dyDescent="0.4">
      <c r="B6" s="223"/>
      <c r="C6" s="223"/>
      <c r="D6" s="223"/>
      <c r="E6" s="264">
        <v>4.8611111111111112E-2</v>
      </c>
      <c r="F6" s="223"/>
    </row>
    <row r="7" spans="2:7" ht="15.75" x14ac:dyDescent="0.25">
      <c r="B7" s="38" t="s">
        <v>1</v>
      </c>
      <c r="C7" s="38" t="s">
        <v>2</v>
      </c>
      <c r="D7" s="38" t="s">
        <v>3</v>
      </c>
      <c r="E7" s="265">
        <v>4.8611111111111112E-2</v>
      </c>
      <c r="F7" s="38" t="s">
        <v>5</v>
      </c>
    </row>
    <row r="8" spans="2:7" ht="15" x14ac:dyDescent="0.25">
      <c r="B8" s="2">
        <v>43864</v>
      </c>
      <c r="C8" s="2">
        <v>43897</v>
      </c>
      <c r="D8" s="39" t="s">
        <v>6</v>
      </c>
      <c r="E8" s="4">
        <f>E15</f>
        <v>6.25E-2</v>
      </c>
      <c r="F8" s="4">
        <f>'Uke5'!F8 + E8</f>
        <v>0.70833333333333393</v>
      </c>
    </row>
    <row r="9" spans="2:7" ht="13.9" customHeight="1" x14ac:dyDescent="0.25">
      <c r="B9" s="227" t="s">
        <v>7</v>
      </c>
      <c r="C9" s="227" t="s">
        <v>8</v>
      </c>
      <c r="D9" s="40" t="s">
        <v>9</v>
      </c>
      <c r="E9" s="6">
        <v>0</v>
      </c>
      <c r="F9" s="4">
        <f>'Uke5'!F9 + E9</f>
        <v>0</v>
      </c>
    </row>
    <row r="10" spans="2:7" ht="15" x14ac:dyDescent="0.25">
      <c r="B10" s="227"/>
      <c r="C10" s="227"/>
      <c r="D10" s="41" t="s">
        <v>10</v>
      </c>
      <c r="E10" s="4">
        <f>E16</f>
        <v>4.8611111111111049E-2</v>
      </c>
      <c r="F10" s="4">
        <f>'Uke5'!F10 + E10</f>
        <v>6.25E-2</v>
      </c>
    </row>
    <row r="11" spans="2:7" ht="15" x14ac:dyDescent="0.25">
      <c r="B11" s="42">
        <f>SUM(E8:E11)</f>
        <v>0.1597222222222221</v>
      </c>
      <c r="C11" s="42">
        <f>SUM(F8:F11)</f>
        <v>0.95833333333333415</v>
      </c>
      <c r="D11" s="43" t="s">
        <v>11</v>
      </c>
      <c r="E11" s="42">
        <f>E18</f>
        <v>4.8611111111111049E-2</v>
      </c>
      <c r="F11" s="42">
        <f>'Uke5'!F11 + E11</f>
        <v>0.18750000000000022</v>
      </c>
    </row>
    <row r="14" spans="2:7" ht="15.75" x14ac:dyDescent="0.25">
      <c r="B14" s="38" t="s">
        <v>12</v>
      </c>
      <c r="C14" s="38" t="s">
        <v>13</v>
      </c>
      <c r="D14" s="38" t="s">
        <v>14</v>
      </c>
      <c r="E14" s="38" t="s">
        <v>15</v>
      </c>
      <c r="F14" s="38" t="s">
        <v>16</v>
      </c>
      <c r="G14" s="38" t="s">
        <v>39</v>
      </c>
    </row>
    <row r="15" spans="2:7" ht="15.75" x14ac:dyDescent="0.25">
      <c r="B15" s="44">
        <v>43866</v>
      </c>
      <c r="C15" s="45">
        <v>0.41666666666666702</v>
      </c>
      <c r="D15" s="45">
        <v>0.47916666666666702</v>
      </c>
      <c r="E15" s="45">
        <f>D15-C15</f>
        <v>6.25E-2</v>
      </c>
      <c r="F15" s="46" t="s">
        <v>40</v>
      </c>
      <c r="G15" s="47"/>
    </row>
    <row r="16" spans="2:7" ht="15.75" x14ac:dyDescent="0.25">
      <c r="B16" s="48">
        <v>43866</v>
      </c>
      <c r="C16" s="49">
        <v>0.5</v>
      </c>
      <c r="D16" s="49">
        <v>0.54861111111111105</v>
      </c>
      <c r="E16" s="49">
        <f>D16-C16</f>
        <v>4.8611111111111049E-2</v>
      </c>
      <c r="F16" s="50" t="s">
        <v>41</v>
      </c>
      <c r="G16" s="51"/>
    </row>
    <row r="17" spans="2:7" ht="15.75" x14ac:dyDescent="0.25">
      <c r="B17" s="52">
        <v>43868</v>
      </c>
      <c r="C17" s="53">
        <v>0.41666666666666702</v>
      </c>
      <c r="D17" s="53">
        <v>0.47916666666666702</v>
      </c>
      <c r="E17" s="53">
        <f>D17-C17</f>
        <v>6.25E-2</v>
      </c>
      <c r="F17" s="54" t="s">
        <v>42</v>
      </c>
      <c r="G17" s="55"/>
    </row>
    <row r="18" spans="2:7" ht="15.75" x14ac:dyDescent="0.25">
      <c r="B18" s="56">
        <v>43869</v>
      </c>
      <c r="C18" s="57">
        <v>0.875</v>
      </c>
      <c r="D18" s="57">
        <v>0.92361111111111105</v>
      </c>
      <c r="E18" s="57">
        <f>D18-C18</f>
        <v>4.8611111111111049E-2</v>
      </c>
      <c r="F18" s="58" t="s">
        <v>43</v>
      </c>
      <c r="G18" s="55"/>
    </row>
    <row r="19" spans="2:7" ht="14.25" x14ac:dyDescent="0.2">
      <c r="B19" s="59"/>
      <c r="C19" s="60"/>
      <c r="D19" s="60"/>
      <c r="E19" s="61"/>
      <c r="F19" s="62"/>
      <c r="G19" s="55"/>
    </row>
    <row r="20" spans="2:7" ht="14.25" x14ac:dyDescent="0.2">
      <c r="B20" s="59"/>
      <c r="C20" s="60"/>
      <c r="D20" s="60"/>
      <c r="E20" s="63"/>
      <c r="F20" s="62"/>
      <c r="G20" s="55"/>
    </row>
    <row r="21" spans="2:7" ht="14.25" x14ac:dyDescent="0.2">
      <c r="B21" s="59"/>
      <c r="C21" s="60"/>
      <c r="D21" s="60"/>
      <c r="E21" s="64"/>
      <c r="F21" s="65"/>
      <c r="G21" s="55"/>
    </row>
    <row r="22" spans="2:7" ht="14.25" x14ac:dyDescent="0.2">
      <c r="B22" s="66"/>
      <c r="C22" s="63"/>
      <c r="D22" s="63"/>
      <c r="E22" s="63"/>
      <c r="F22" s="67"/>
      <c r="G22" s="55"/>
    </row>
    <row r="23" spans="2:7" ht="14.25" x14ac:dyDescent="0.2">
      <c r="B23" s="68"/>
      <c r="C23" s="69"/>
      <c r="D23" s="69"/>
      <c r="E23" s="69"/>
      <c r="F23" s="70"/>
      <c r="G23" s="71"/>
    </row>
    <row r="26" spans="2:7" x14ac:dyDescent="0.2">
      <c r="B26" s="230" t="s">
        <v>23</v>
      </c>
      <c r="C26" s="230"/>
      <c r="D26" s="230"/>
      <c r="E26" s="230"/>
      <c r="F26" s="230"/>
    </row>
    <row r="27" spans="2:7" x14ac:dyDescent="0.2">
      <c r="B27" s="230"/>
      <c r="C27" s="230"/>
      <c r="D27" s="230"/>
      <c r="E27" s="230"/>
      <c r="F27" s="230"/>
    </row>
    <row r="29" spans="2:7" ht="12.75" customHeight="1" x14ac:dyDescent="0.2">
      <c r="B29" s="231" t="s">
        <v>44</v>
      </c>
      <c r="C29" s="231"/>
      <c r="D29" s="231"/>
      <c r="E29" s="231"/>
      <c r="F29" s="231"/>
    </row>
    <row r="30" spans="2:7" x14ac:dyDescent="0.2">
      <c r="B30" s="231"/>
      <c r="C30" s="231"/>
      <c r="D30" s="231"/>
      <c r="E30" s="231"/>
      <c r="F30" s="231"/>
    </row>
    <row r="31" spans="2:7" x14ac:dyDescent="0.2">
      <c r="B31" s="231"/>
      <c r="C31" s="231"/>
      <c r="D31" s="231"/>
      <c r="E31" s="231"/>
      <c r="F31" s="231"/>
    </row>
    <row r="32" spans="2:7" x14ac:dyDescent="0.2">
      <c r="B32" s="231"/>
      <c r="C32" s="231"/>
      <c r="D32" s="231"/>
      <c r="E32" s="231"/>
      <c r="F32" s="231"/>
    </row>
    <row r="33" spans="2:6" x14ac:dyDescent="0.2">
      <c r="B33" s="231"/>
      <c r="C33" s="231"/>
      <c r="D33" s="231"/>
      <c r="E33" s="231"/>
      <c r="F33" s="231"/>
    </row>
    <row r="34" spans="2:6" x14ac:dyDescent="0.2">
      <c r="B34" s="231"/>
      <c r="C34" s="231"/>
      <c r="D34" s="231"/>
      <c r="E34" s="231"/>
      <c r="F34" s="231"/>
    </row>
    <row r="35" spans="2:6" x14ac:dyDescent="0.2">
      <c r="B35" s="231"/>
      <c r="C35" s="231"/>
      <c r="D35" s="231"/>
      <c r="E35" s="231"/>
      <c r="F35" s="231"/>
    </row>
    <row r="36" spans="2:6" x14ac:dyDescent="0.2">
      <c r="B36" s="231"/>
      <c r="C36" s="231"/>
      <c r="D36" s="231"/>
      <c r="E36" s="231"/>
      <c r="F36" s="231"/>
    </row>
    <row r="37" spans="2:6" x14ac:dyDescent="0.2">
      <c r="B37" s="231"/>
      <c r="C37" s="231"/>
      <c r="D37" s="231"/>
      <c r="E37" s="231"/>
      <c r="F37" s="231"/>
    </row>
    <row r="38" spans="2:6" x14ac:dyDescent="0.2">
      <c r="B38" s="231"/>
      <c r="C38" s="231"/>
      <c r="D38" s="231"/>
      <c r="E38" s="231"/>
      <c r="F38" s="231"/>
    </row>
    <row r="39" spans="2:6" x14ac:dyDescent="0.2">
      <c r="B39" s="231"/>
      <c r="C39" s="231"/>
      <c r="D39" s="231"/>
      <c r="E39" s="231"/>
      <c r="F39" s="231"/>
    </row>
    <row r="40" spans="2:6" ht="14.25" x14ac:dyDescent="0.2">
      <c r="B40" s="26"/>
      <c r="C40" s="26"/>
      <c r="D40" s="26"/>
      <c r="E40" s="26"/>
      <c r="F40" s="26"/>
    </row>
    <row r="41" spans="2:6" ht="15" x14ac:dyDescent="0.2">
      <c r="B41" s="72"/>
      <c r="C41" s="72"/>
      <c r="D41" s="72"/>
      <c r="E41" s="72"/>
      <c r="F41" s="72"/>
    </row>
    <row r="42" spans="2:6" ht="15" x14ac:dyDescent="0.2">
      <c r="B42" s="72"/>
      <c r="C42" s="72"/>
      <c r="D42" s="72"/>
      <c r="E42" s="72"/>
      <c r="F42" s="72"/>
    </row>
    <row r="43" spans="2:6" ht="15" x14ac:dyDescent="0.2">
      <c r="B43" s="72"/>
      <c r="C43" s="72"/>
      <c r="D43" s="72"/>
      <c r="E43" s="72"/>
      <c r="F43" s="72"/>
    </row>
    <row r="44" spans="2:6" ht="15" x14ac:dyDescent="0.2">
      <c r="B44" s="72"/>
      <c r="C44" s="72"/>
      <c r="D44" s="72"/>
      <c r="E44" s="72"/>
      <c r="F44" s="72"/>
    </row>
    <row r="45" spans="2:6" ht="15" x14ac:dyDescent="0.2">
      <c r="B45" s="72"/>
      <c r="C45" s="72"/>
      <c r="D45" s="72"/>
      <c r="E45" s="72"/>
      <c r="F45" s="72"/>
    </row>
    <row r="46" spans="2:6" ht="15" x14ac:dyDescent="0.2">
      <c r="B46" s="72"/>
      <c r="C46" s="72"/>
      <c r="D46" s="72"/>
      <c r="E46" s="72"/>
      <c r="F46" s="72"/>
    </row>
    <row r="47" spans="2:6" ht="15" x14ac:dyDescent="0.2">
      <c r="B47" s="72"/>
      <c r="C47" s="72"/>
      <c r="D47" s="72"/>
      <c r="E47" s="72"/>
      <c r="F47" s="72"/>
    </row>
    <row r="48" spans="2:6" ht="15" x14ac:dyDescent="0.2">
      <c r="B48" s="72"/>
      <c r="C48" s="72"/>
      <c r="D48" s="72"/>
      <c r="E48" s="72"/>
      <c r="F48" s="72"/>
    </row>
    <row r="49" spans="2:6" ht="15" x14ac:dyDescent="0.2">
      <c r="B49" s="72"/>
      <c r="C49" s="72"/>
      <c r="D49" s="72"/>
      <c r="E49" s="72"/>
      <c r="F49" s="72"/>
    </row>
    <row r="50" spans="2:6" ht="15" x14ac:dyDescent="0.2">
      <c r="B50" s="72"/>
      <c r="C50" s="72"/>
      <c r="D50" s="72"/>
      <c r="E50" s="72"/>
      <c r="F50" s="72"/>
    </row>
    <row r="51" spans="2:6" ht="15" x14ac:dyDescent="0.2">
      <c r="B51" s="72"/>
      <c r="C51" s="72"/>
      <c r="D51" s="72"/>
      <c r="E51" s="72"/>
      <c r="F51" s="72"/>
    </row>
    <row r="52" spans="2:6" ht="15" x14ac:dyDescent="0.2">
      <c r="B52" s="72"/>
      <c r="C52" s="72"/>
      <c r="D52" s="72"/>
      <c r="E52" s="72"/>
      <c r="F52" s="72"/>
    </row>
    <row r="53" spans="2:6" ht="15" x14ac:dyDescent="0.2">
      <c r="B53" s="72"/>
      <c r="C53" s="72"/>
      <c r="D53" s="72"/>
      <c r="E53" s="72"/>
      <c r="F53" s="72"/>
    </row>
    <row r="54" spans="2:6" ht="15" x14ac:dyDescent="0.2">
      <c r="B54" s="72"/>
      <c r="C54" s="72"/>
      <c r="D54" s="72"/>
      <c r="E54" s="72"/>
      <c r="F54" s="72"/>
    </row>
  </sheetData>
  <mergeCells count="4">
    <mergeCell ref="B9:B10"/>
    <mergeCell ref="C9:C10"/>
    <mergeCell ref="B26:F27"/>
    <mergeCell ref="B29:F39"/>
  </mergeCells>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S54"/>
  <sheetViews>
    <sheetView zoomScaleNormal="100" workbookViewId="0">
      <selection activeCell="E4" sqref="E4"/>
    </sheetView>
  </sheetViews>
  <sheetFormatPr baseColWidth="10" defaultColWidth="9.140625" defaultRowHeight="12.75" x14ac:dyDescent="0.2"/>
  <cols>
    <col min="1" max="1" width="15.5703125" customWidth="1"/>
    <col min="2" max="2" width="11.5703125"/>
    <col min="3" max="3" width="19" customWidth="1"/>
    <col min="4" max="4" width="19.140625" customWidth="1"/>
    <col min="5" max="5" width="30.140625" customWidth="1"/>
    <col min="6" max="6" width="18.7109375" customWidth="1"/>
    <col min="7" max="7" width="16.28515625" customWidth="1"/>
    <col min="8" max="1025" width="14.42578125" customWidth="1"/>
  </cols>
  <sheetData>
    <row r="1" spans="1:19" ht="15.75" customHeight="1" x14ac:dyDescent="0.2">
      <c r="A1" s="232" t="s">
        <v>45</v>
      </c>
      <c r="B1" s="232"/>
      <c r="C1" s="232"/>
      <c r="D1" s="232"/>
      <c r="E1" s="232"/>
      <c r="F1" s="232"/>
      <c r="G1" s="73"/>
      <c r="H1" s="73"/>
      <c r="I1" s="73"/>
      <c r="J1" s="73"/>
      <c r="K1" s="73"/>
      <c r="L1" s="73"/>
      <c r="M1" s="73"/>
      <c r="N1" s="73"/>
      <c r="O1" s="73"/>
      <c r="P1" s="73"/>
      <c r="Q1" s="73"/>
      <c r="R1" s="73"/>
      <c r="S1" s="73"/>
    </row>
    <row r="2" spans="1:19" ht="15.75" customHeight="1" x14ac:dyDescent="0.2">
      <c r="A2" s="232"/>
      <c r="B2" s="232"/>
      <c r="C2" s="232"/>
      <c r="D2" s="232"/>
      <c r="E2" s="232"/>
      <c r="F2" s="232"/>
      <c r="G2" s="73"/>
      <c r="H2" s="73"/>
      <c r="I2" s="73"/>
      <c r="J2" s="73"/>
      <c r="K2" s="73"/>
      <c r="L2" s="73"/>
      <c r="M2" s="73"/>
      <c r="N2" s="73"/>
      <c r="O2" s="73"/>
      <c r="P2" s="73"/>
      <c r="Q2" s="73"/>
      <c r="R2" s="73"/>
      <c r="S2" s="73"/>
    </row>
    <row r="3" spans="1:19" ht="15.75" customHeight="1" x14ac:dyDescent="0.25">
      <c r="A3" s="74" t="s">
        <v>1</v>
      </c>
      <c r="B3" s="73"/>
      <c r="C3" s="74" t="s">
        <v>2</v>
      </c>
      <c r="D3" s="75" t="s">
        <v>3</v>
      </c>
      <c r="E3" s="74" t="s">
        <v>4</v>
      </c>
      <c r="F3" s="74" t="s">
        <v>5</v>
      </c>
      <c r="G3" s="73"/>
      <c r="H3" s="73"/>
      <c r="I3" s="73"/>
      <c r="J3" s="73"/>
      <c r="K3" s="73"/>
      <c r="L3" s="73"/>
      <c r="M3" s="73"/>
      <c r="N3" s="73"/>
      <c r="O3" s="73"/>
      <c r="P3" s="73"/>
      <c r="Q3" s="73"/>
      <c r="R3" s="73"/>
      <c r="S3" s="73"/>
    </row>
    <row r="4" spans="1:19" ht="15.75" customHeight="1" x14ac:dyDescent="0.25">
      <c r="A4" s="76">
        <v>43871</v>
      </c>
      <c r="B4" s="77"/>
      <c r="C4" s="76">
        <v>43876</v>
      </c>
      <c r="D4" s="78" t="s">
        <v>6</v>
      </c>
      <c r="E4" s="79">
        <v>0</v>
      </c>
      <c r="F4" s="80">
        <f>'Uke6'!F8 + E4</f>
        <v>0.70833333333333393</v>
      </c>
      <c r="G4" s="73"/>
      <c r="H4" s="73"/>
      <c r="I4" s="81"/>
      <c r="J4" s="73"/>
      <c r="K4" s="73"/>
      <c r="L4" s="73"/>
      <c r="M4" s="73"/>
      <c r="N4" s="73"/>
      <c r="O4" s="73"/>
      <c r="P4" s="73"/>
      <c r="Q4" s="73"/>
      <c r="R4" s="73"/>
      <c r="S4" s="73"/>
    </row>
    <row r="5" spans="1:19" ht="13.9" customHeight="1" x14ac:dyDescent="0.25">
      <c r="A5" s="233" t="s">
        <v>7</v>
      </c>
      <c r="B5" s="73"/>
      <c r="C5" s="233" t="s">
        <v>8</v>
      </c>
      <c r="D5" s="82" t="s">
        <v>9</v>
      </c>
      <c r="E5" s="79">
        <v>0</v>
      </c>
      <c r="F5" s="80">
        <f>'Uke6'!F9 + E5</f>
        <v>0</v>
      </c>
      <c r="G5" s="73"/>
      <c r="H5" s="81"/>
      <c r="I5" s="73"/>
      <c r="J5" s="73"/>
      <c r="K5" s="73"/>
      <c r="L5" s="73"/>
      <c r="M5" s="73"/>
      <c r="N5" s="73"/>
      <c r="O5" s="73"/>
      <c r="P5" s="73"/>
      <c r="Q5" s="73"/>
      <c r="R5" s="73"/>
      <c r="S5" s="73"/>
    </row>
    <row r="6" spans="1:19" ht="15.75" customHeight="1" x14ac:dyDescent="0.25">
      <c r="A6" s="233"/>
      <c r="B6" s="73"/>
      <c r="C6" s="233"/>
      <c r="D6" s="83" t="s">
        <v>10</v>
      </c>
      <c r="E6" s="80">
        <f>D11+D17+D18</f>
        <v>0.25000000000000089</v>
      </c>
      <c r="F6" s="80">
        <f>'Uke6'!F10 + E6</f>
        <v>0.31250000000000089</v>
      </c>
      <c r="G6" s="73"/>
      <c r="H6" s="73"/>
      <c r="I6" s="73"/>
      <c r="J6" s="73"/>
      <c r="K6" s="73"/>
      <c r="L6" s="73"/>
      <c r="M6" s="73"/>
      <c r="N6" s="73"/>
      <c r="O6" s="73"/>
      <c r="P6" s="73"/>
      <c r="Q6" s="73"/>
      <c r="R6" s="73"/>
      <c r="S6" s="73"/>
    </row>
    <row r="7" spans="1:19" ht="15" x14ac:dyDescent="0.25">
      <c r="A7" s="84">
        <f>SUM(E4:E7)</f>
        <v>0.5625</v>
      </c>
      <c r="B7" s="77"/>
      <c r="C7" s="84">
        <f>SUM(F4:F7)</f>
        <v>1.5208333333333341</v>
      </c>
      <c r="D7" s="85" t="s">
        <v>46</v>
      </c>
      <c r="E7" s="86">
        <f>D12+D13+D14+D15+D16</f>
        <v>0.31249999999999917</v>
      </c>
      <c r="F7" s="84">
        <f>'Uke6'!F11 + E7</f>
        <v>0.49999999999999939</v>
      </c>
      <c r="G7" s="73"/>
      <c r="H7" s="73"/>
      <c r="I7" s="73"/>
      <c r="J7" s="73"/>
      <c r="K7" s="73"/>
      <c r="L7" s="73"/>
      <c r="M7" s="73"/>
      <c r="N7" s="73"/>
      <c r="O7" s="73"/>
      <c r="P7" s="73"/>
      <c r="Q7" s="73"/>
      <c r="R7" s="73"/>
      <c r="S7" s="73"/>
    </row>
    <row r="8" spans="1:19" x14ac:dyDescent="0.2">
      <c r="A8" s="73"/>
      <c r="B8" s="73"/>
      <c r="C8" s="73"/>
      <c r="D8" s="73"/>
      <c r="E8" s="73"/>
      <c r="F8" s="73"/>
      <c r="G8" s="73"/>
      <c r="H8" s="73"/>
      <c r="I8" s="73"/>
      <c r="J8" s="73"/>
      <c r="K8" s="73"/>
      <c r="L8" s="73"/>
      <c r="M8" s="73"/>
      <c r="N8" s="73"/>
      <c r="O8" s="73"/>
      <c r="P8" s="73"/>
      <c r="Q8" s="73"/>
      <c r="R8" s="73"/>
      <c r="S8" s="73"/>
    </row>
    <row r="9" spans="1:19" x14ac:dyDescent="0.2">
      <c r="A9" s="73"/>
      <c r="B9" s="73"/>
      <c r="C9" s="73"/>
      <c r="D9" s="73"/>
      <c r="E9" s="73"/>
      <c r="F9" s="73"/>
      <c r="G9" s="73"/>
      <c r="H9" s="73"/>
      <c r="I9" s="73"/>
      <c r="J9" s="73"/>
      <c r="K9" s="73"/>
      <c r="L9" s="73"/>
      <c r="M9" s="73"/>
      <c r="N9" s="73"/>
      <c r="O9" s="73"/>
      <c r="P9" s="73"/>
      <c r="Q9" s="73"/>
      <c r="R9" s="73"/>
      <c r="S9" s="73"/>
    </row>
    <row r="10" spans="1:19" ht="15.75" x14ac:dyDescent="0.25">
      <c r="A10" s="74" t="s">
        <v>12</v>
      </c>
      <c r="B10" s="74" t="s">
        <v>13</v>
      </c>
      <c r="C10" s="74" t="s">
        <v>14</v>
      </c>
      <c r="D10" s="74" t="s">
        <v>15</v>
      </c>
      <c r="E10" s="74" t="s">
        <v>47</v>
      </c>
      <c r="F10" s="74" t="s">
        <v>39</v>
      </c>
      <c r="G10" s="73"/>
      <c r="H10" s="73"/>
      <c r="I10" s="73"/>
      <c r="J10" s="73"/>
      <c r="K10" s="73"/>
      <c r="L10" s="73"/>
      <c r="M10" s="73"/>
      <c r="N10" s="73"/>
      <c r="O10" s="73"/>
      <c r="P10" s="73"/>
      <c r="Q10" s="73"/>
      <c r="R10" s="73"/>
      <c r="S10" s="73"/>
    </row>
    <row r="11" spans="1:19" ht="15.75" x14ac:dyDescent="0.25">
      <c r="A11" s="145">
        <v>43871</v>
      </c>
      <c r="B11" s="146">
        <v>0.58333333333333304</v>
      </c>
      <c r="C11" s="146">
        <v>0.66666666666666696</v>
      </c>
      <c r="D11" s="146">
        <f t="shared" ref="D11:D18" si="0">C11-B11</f>
        <v>8.3333333333333925E-2</v>
      </c>
      <c r="E11" s="147" t="s">
        <v>48</v>
      </c>
      <c r="F11" s="87"/>
      <c r="G11" s="73"/>
      <c r="H11" s="73"/>
      <c r="I11" s="73"/>
      <c r="J11" s="73"/>
      <c r="K11" s="73"/>
      <c r="L11" s="73"/>
      <c r="M11" s="73"/>
      <c r="N11" s="73"/>
      <c r="O11" s="73"/>
      <c r="P11" s="73"/>
      <c r="Q11" s="73"/>
      <c r="R11" s="73"/>
      <c r="S11" s="73"/>
    </row>
    <row r="12" spans="1:19" ht="63" x14ac:dyDescent="0.25">
      <c r="A12" s="88">
        <v>43872</v>
      </c>
      <c r="B12" s="89">
        <v>0.79166666666666696</v>
      </c>
      <c r="C12" s="89">
        <v>0.83333333333333304</v>
      </c>
      <c r="D12" s="148">
        <f t="shared" si="0"/>
        <v>4.1666666666666075E-2</v>
      </c>
      <c r="E12" s="90" t="s">
        <v>49</v>
      </c>
      <c r="F12" s="91"/>
      <c r="G12" s="73"/>
      <c r="H12" s="73"/>
      <c r="I12" s="73"/>
      <c r="J12" s="73"/>
      <c r="K12" s="73"/>
      <c r="L12" s="73"/>
      <c r="M12" s="73"/>
      <c r="N12" s="73"/>
      <c r="O12" s="73"/>
      <c r="P12" s="73"/>
      <c r="Q12" s="73"/>
      <c r="R12" s="73"/>
      <c r="S12" s="73"/>
    </row>
    <row r="13" spans="1:19" ht="47.25" x14ac:dyDescent="0.25">
      <c r="A13" s="92">
        <v>43873</v>
      </c>
      <c r="B13" s="93">
        <v>0.41666666666666702</v>
      </c>
      <c r="C13" s="93">
        <v>0.47916666666666702</v>
      </c>
      <c r="D13" s="149">
        <f t="shared" si="0"/>
        <v>6.25E-2</v>
      </c>
      <c r="E13" s="94" t="s">
        <v>50</v>
      </c>
      <c r="F13" s="95"/>
      <c r="G13" s="73"/>
      <c r="H13" s="73"/>
      <c r="I13" s="73"/>
      <c r="J13" s="73"/>
      <c r="K13" s="73"/>
      <c r="L13" s="73"/>
      <c r="M13" s="73"/>
      <c r="N13" s="73"/>
      <c r="O13" s="73"/>
      <c r="P13" s="73"/>
      <c r="Q13" s="73"/>
      <c r="R13" s="73"/>
      <c r="S13" s="73"/>
    </row>
    <row r="14" spans="1:19" ht="31.5" x14ac:dyDescent="0.25">
      <c r="A14" s="92">
        <v>43874</v>
      </c>
      <c r="B14" s="93">
        <v>0.41666666666666702</v>
      </c>
      <c r="C14" s="93">
        <v>0.47916666666666702</v>
      </c>
      <c r="D14" s="149">
        <f t="shared" si="0"/>
        <v>6.25E-2</v>
      </c>
      <c r="E14" s="94" t="s">
        <v>51</v>
      </c>
      <c r="F14" s="95"/>
      <c r="G14" s="73"/>
      <c r="H14" s="73"/>
      <c r="I14" s="73"/>
      <c r="J14" s="73"/>
      <c r="K14" s="73"/>
      <c r="L14" s="73"/>
      <c r="M14" s="73"/>
      <c r="N14" s="73"/>
      <c r="O14" s="73"/>
      <c r="P14" s="73"/>
      <c r="Q14" s="73"/>
      <c r="R14" s="73"/>
      <c r="S14" s="73"/>
    </row>
    <row r="15" spans="1:19" ht="31.5" x14ac:dyDescent="0.25">
      <c r="A15" s="92">
        <v>43875</v>
      </c>
      <c r="B15" s="93">
        <v>0.41666666666666702</v>
      </c>
      <c r="C15" s="93">
        <v>0.49305555555555602</v>
      </c>
      <c r="D15" s="149">
        <f t="shared" si="0"/>
        <v>7.6388888888889006E-2</v>
      </c>
      <c r="E15" s="94" t="s">
        <v>51</v>
      </c>
      <c r="F15" s="95"/>
      <c r="G15" s="73"/>
      <c r="H15" s="73"/>
      <c r="I15" s="73"/>
      <c r="J15" s="73"/>
      <c r="K15" s="73"/>
      <c r="L15" s="73"/>
      <c r="M15" s="73"/>
      <c r="N15" s="73"/>
      <c r="O15" s="73"/>
      <c r="P15" s="73"/>
      <c r="Q15" s="73"/>
      <c r="R15" s="73"/>
      <c r="S15" s="73"/>
    </row>
    <row r="16" spans="1:19" ht="47.25" x14ac:dyDescent="0.25">
      <c r="A16" s="92">
        <v>43875</v>
      </c>
      <c r="B16" s="93">
        <v>0.51388888888888895</v>
      </c>
      <c r="C16" s="93">
        <v>0.58333333333333304</v>
      </c>
      <c r="D16" s="149">
        <f t="shared" si="0"/>
        <v>6.9444444444444087E-2</v>
      </c>
      <c r="E16" s="94" t="s">
        <v>52</v>
      </c>
      <c r="F16" s="95"/>
      <c r="G16" s="73"/>
      <c r="H16" s="73"/>
      <c r="I16" s="73"/>
      <c r="J16" s="73"/>
      <c r="K16" s="73"/>
      <c r="L16" s="73"/>
      <c r="M16" s="73"/>
      <c r="N16" s="73"/>
      <c r="O16" s="73"/>
      <c r="P16" s="73"/>
      <c r="Q16" s="73"/>
      <c r="R16" s="73"/>
      <c r="S16" s="73"/>
    </row>
    <row r="17" spans="1:19" ht="63" x14ac:dyDescent="0.25">
      <c r="A17" s="150">
        <v>43876</v>
      </c>
      <c r="B17" s="151">
        <v>0.54166666666666696</v>
      </c>
      <c r="C17" s="151">
        <v>0.66666666666666696</v>
      </c>
      <c r="D17" s="151">
        <f t="shared" si="0"/>
        <v>0.125</v>
      </c>
      <c r="E17" s="152" t="s">
        <v>53</v>
      </c>
      <c r="F17" s="95"/>
      <c r="G17" s="73"/>
      <c r="H17" s="73"/>
      <c r="I17" s="73"/>
      <c r="J17" s="73"/>
      <c r="K17" s="73"/>
      <c r="L17" s="73"/>
      <c r="M17" s="73"/>
      <c r="N17" s="73"/>
      <c r="O17" s="73"/>
      <c r="P17" s="73"/>
      <c r="Q17" s="73"/>
      <c r="R17" s="73"/>
      <c r="S17" s="73"/>
    </row>
    <row r="18" spans="1:19" ht="63" x14ac:dyDescent="0.25">
      <c r="A18" s="96">
        <v>43876</v>
      </c>
      <c r="B18" s="97">
        <v>0.89583333333333304</v>
      </c>
      <c r="C18" s="97">
        <v>0.9375</v>
      </c>
      <c r="D18" s="151">
        <f t="shared" si="0"/>
        <v>4.1666666666666963E-2</v>
      </c>
      <c r="E18" s="98" t="s">
        <v>54</v>
      </c>
      <c r="F18" s="95"/>
      <c r="G18" s="73"/>
      <c r="H18" s="73"/>
      <c r="I18" s="73"/>
      <c r="J18" s="73"/>
      <c r="K18" s="73"/>
      <c r="L18" s="73"/>
      <c r="M18" s="73"/>
      <c r="N18" s="73"/>
      <c r="O18" s="73"/>
      <c r="P18" s="73"/>
      <c r="Q18" s="73"/>
      <c r="R18" s="73"/>
      <c r="S18" s="73"/>
    </row>
    <row r="19" spans="1:19" ht="14.25" x14ac:dyDescent="0.2">
      <c r="A19" s="68"/>
      <c r="B19" s="69"/>
      <c r="C19" s="69"/>
      <c r="D19" s="69"/>
      <c r="E19" s="99"/>
      <c r="F19" s="100"/>
      <c r="G19" s="73"/>
      <c r="H19" s="73"/>
      <c r="I19" s="73"/>
      <c r="J19" s="73"/>
      <c r="K19" s="73"/>
      <c r="L19" s="73"/>
      <c r="M19" s="73"/>
      <c r="N19" s="73"/>
      <c r="O19" s="73"/>
      <c r="P19" s="73"/>
      <c r="Q19" s="73"/>
      <c r="R19" s="73"/>
      <c r="S19" s="73"/>
    </row>
    <row r="20" spans="1:19" x14ac:dyDescent="0.2">
      <c r="A20" s="73"/>
      <c r="B20" s="73"/>
      <c r="C20" s="73"/>
      <c r="D20" s="73"/>
      <c r="E20" s="73"/>
      <c r="F20" s="73"/>
      <c r="G20" s="73"/>
      <c r="H20" s="73"/>
      <c r="I20" s="73"/>
      <c r="J20" s="73"/>
      <c r="K20" s="73"/>
      <c r="L20" s="73"/>
      <c r="M20" s="73"/>
      <c r="N20" s="73"/>
      <c r="O20" s="73"/>
      <c r="P20" s="73"/>
      <c r="Q20" s="73"/>
      <c r="R20" s="73"/>
      <c r="S20" s="73"/>
    </row>
    <row r="21" spans="1:19" x14ac:dyDescent="0.2">
      <c r="A21" s="73"/>
      <c r="B21" s="73"/>
      <c r="C21" s="73"/>
      <c r="D21" s="73"/>
      <c r="E21" s="73"/>
      <c r="F21" s="73"/>
      <c r="G21" s="73"/>
      <c r="H21" s="73"/>
      <c r="I21" s="73"/>
      <c r="J21" s="73"/>
      <c r="K21" s="73"/>
      <c r="L21" s="73"/>
      <c r="M21" s="73"/>
      <c r="N21" s="73"/>
      <c r="O21" s="73"/>
      <c r="P21" s="73"/>
      <c r="Q21" s="73"/>
      <c r="R21" s="73"/>
      <c r="S21" s="73"/>
    </row>
    <row r="22" spans="1:19" x14ac:dyDescent="0.2">
      <c r="A22" s="73"/>
      <c r="B22" s="73"/>
      <c r="C22" s="73"/>
      <c r="D22" s="73"/>
      <c r="E22" s="73"/>
      <c r="F22" s="73"/>
      <c r="G22" s="73"/>
      <c r="H22" s="73"/>
      <c r="I22" s="73"/>
      <c r="J22" s="73"/>
      <c r="K22" s="73"/>
      <c r="L22" s="73"/>
      <c r="M22" s="73"/>
      <c r="N22" s="73"/>
      <c r="O22" s="73"/>
      <c r="P22" s="73"/>
      <c r="Q22" s="73"/>
      <c r="R22" s="73"/>
      <c r="S22" s="73"/>
    </row>
    <row r="23" spans="1:19" x14ac:dyDescent="0.2">
      <c r="A23" s="73"/>
      <c r="B23" s="73"/>
      <c r="C23" s="73"/>
      <c r="D23" s="73"/>
      <c r="E23" s="73"/>
      <c r="F23" s="73"/>
      <c r="G23" s="73"/>
      <c r="H23" s="73"/>
      <c r="I23" s="73"/>
      <c r="J23" s="73"/>
      <c r="K23" s="73"/>
      <c r="L23" s="73"/>
      <c r="M23" s="73"/>
      <c r="N23" s="73"/>
      <c r="O23" s="73"/>
      <c r="P23" s="73"/>
      <c r="Q23" s="73"/>
      <c r="R23" s="73"/>
      <c r="S23" s="73"/>
    </row>
    <row r="24" spans="1:19" ht="15.75" customHeight="1" x14ac:dyDescent="0.2">
      <c r="A24" s="73"/>
      <c r="B24" s="73"/>
      <c r="C24" s="73"/>
      <c r="D24" s="73"/>
      <c r="E24" s="73"/>
      <c r="F24" s="73"/>
      <c r="G24" s="73"/>
      <c r="H24" s="73"/>
      <c r="I24" s="73"/>
      <c r="J24" s="73"/>
      <c r="K24" s="73"/>
      <c r="L24" s="73"/>
      <c r="M24" s="73"/>
      <c r="N24" s="73"/>
      <c r="O24" s="73"/>
      <c r="P24" s="73"/>
      <c r="Q24" s="73"/>
      <c r="R24" s="73"/>
      <c r="S24" s="73"/>
    </row>
    <row r="25" spans="1:19" ht="15.75" customHeight="1" x14ac:dyDescent="0.2">
      <c r="A25" s="73"/>
      <c r="B25" s="73"/>
      <c r="C25" s="73"/>
      <c r="D25" s="73"/>
      <c r="E25" s="73"/>
      <c r="F25" s="73"/>
      <c r="G25" s="73"/>
      <c r="H25" s="73"/>
      <c r="I25" s="73"/>
      <c r="J25" s="73"/>
      <c r="K25" s="73"/>
      <c r="L25" s="73"/>
      <c r="M25" s="73"/>
      <c r="N25" s="73"/>
      <c r="O25" s="73"/>
      <c r="P25" s="73"/>
      <c r="Q25" s="73"/>
      <c r="R25" s="73"/>
      <c r="S25" s="73"/>
    </row>
    <row r="26" spans="1:19" x14ac:dyDescent="0.2">
      <c r="A26" s="230" t="s">
        <v>23</v>
      </c>
      <c r="B26" s="230"/>
      <c r="C26" s="230"/>
      <c r="D26" s="230"/>
      <c r="E26" s="230"/>
      <c r="F26" s="73"/>
      <c r="G26" s="73"/>
      <c r="H26" s="73"/>
      <c r="I26" s="73"/>
      <c r="J26" s="73"/>
      <c r="K26" s="73"/>
      <c r="L26" s="73"/>
      <c r="M26" s="73"/>
      <c r="N26" s="73"/>
      <c r="O26" s="73"/>
      <c r="P26" s="73"/>
      <c r="Q26" s="73"/>
      <c r="R26" s="73"/>
      <c r="S26" s="73"/>
    </row>
    <row r="27" spans="1:19" x14ac:dyDescent="0.2">
      <c r="A27" s="230"/>
      <c r="B27" s="230"/>
      <c r="C27" s="230"/>
      <c r="D27" s="230"/>
      <c r="E27" s="230"/>
      <c r="F27" s="73"/>
      <c r="G27" s="73"/>
      <c r="H27" s="73"/>
      <c r="I27" s="73"/>
      <c r="J27" s="73"/>
      <c r="K27" s="73"/>
      <c r="L27" s="73"/>
      <c r="M27" s="73"/>
      <c r="N27" s="73"/>
      <c r="O27" s="73"/>
      <c r="P27" s="73"/>
      <c r="Q27" s="73"/>
      <c r="R27" s="73"/>
      <c r="S27" s="73"/>
    </row>
    <row r="28" spans="1:19" ht="15.75" customHeight="1" x14ac:dyDescent="0.2">
      <c r="A28" s="73"/>
      <c r="B28" s="73"/>
      <c r="C28" s="73"/>
      <c r="D28" s="73"/>
      <c r="E28" s="73"/>
      <c r="F28" s="73"/>
      <c r="G28" s="73"/>
      <c r="H28" s="73"/>
      <c r="I28" s="73"/>
      <c r="J28" s="73"/>
      <c r="K28" s="73"/>
      <c r="L28" s="73"/>
      <c r="M28" s="73"/>
      <c r="N28" s="73"/>
      <c r="O28" s="73"/>
      <c r="P28" s="73"/>
      <c r="Q28" s="73"/>
      <c r="R28" s="73"/>
      <c r="S28" s="73"/>
    </row>
    <row r="29" spans="1:19" ht="120.95" customHeight="1" x14ac:dyDescent="0.2">
      <c r="A29" s="234" t="s">
        <v>55</v>
      </c>
      <c r="B29" s="234"/>
      <c r="C29" s="234"/>
      <c r="D29" s="234"/>
      <c r="E29" s="234"/>
      <c r="F29" s="73"/>
      <c r="G29" s="73"/>
      <c r="H29" s="73"/>
      <c r="I29" s="73"/>
      <c r="J29" s="73"/>
      <c r="K29" s="73"/>
      <c r="L29" s="73"/>
      <c r="M29" s="73"/>
      <c r="N29" s="73"/>
      <c r="O29" s="73"/>
      <c r="P29" s="73"/>
      <c r="Q29" s="73"/>
      <c r="R29" s="73"/>
      <c r="S29" s="73"/>
    </row>
    <row r="30" spans="1:19" ht="97.7" customHeight="1" x14ac:dyDescent="0.2">
      <c r="A30" s="234"/>
      <c r="B30" s="234"/>
      <c r="C30" s="234"/>
      <c r="D30" s="234"/>
      <c r="E30" s="234"/>
      <c r="F30" s="73"/>
      <c r="G30" s="73"/>
      <c r="H30" s="73"/>
      <c r="I30" s="73"/>
      <c r="J30" s="73"/>
      <c r="K30" s="73"/>
      <c r="L30" s="73"/>
      <c r="M30" s="73"/>
      <c r="N30" s="73"/>
      <c r="O30" s="73"/>
      <c r="P30" s="73"/>
      <c r="Q30" s="73"/>
      <c r="R30" s="73"/>
      <c r="S30" s="73"/>
    </row>
    <row r="31" spans="1:19" x14ac:dyDescent="0.2">
      <c r="A31" s="234"/>
      <c r="B31" s="234"/>
      <c r="C31" s="234"/>
      <c r="D31" s="234"/>
      <c r="E31" s="234"/>
      <c r="F31" s="73"/>
      <c r="G31" s="73"/>
      <c r="H31" s="73"/>
      <c r="I31" s="73"/>
      <c r="J31" s="73"/>
      <c r="K31" s="73"/>
      <c r="L31" s="73"/>
      <c r="M31" s="73"/>
      <c r="N31" s="73"/>
      <c r="O31" s="73"/>
      <c r="P31" s="73"/>
      <c r="Q31" s="73"/>
      <c r="R31" s="73"/>
      <c r="S31" s="73"/>
    </row>
    <row r="32" spans="1:19" x14ac:dyDescent="0.2">
      <c r="A32" s="234"/>
      <c r="B32" s="234"/>
      <c r="C32" s="234"/>
      <c r="D32" s="234"/>
      <c r="E32" s="234"/>
      <c r="F32" s="73"/>
      <c r="G32" s="73"/>
      <c r="H32" s="73"/>
      <c r="I32" s="73"/>
      <c r="J32" s="73"/>
      <c r="K32" s="73"/>
      <c r="L32" s="73"/>
      <c r="M32" s="73"/>
      <c r="N32" s="73"/>
      <c r="O32" s="73"/>
      <c r="P32" s="73"/>
      <c r="Q32" s="73"/>
      <c r="R32" s="73"/>
      <c r="S32" s="73"/>
    </row>
    <row r="33" spans="1:19" x14ac:dyDescent="0.2">
      <c r="A33" s="234"/>
      <c r="B33" s="234"/>
      <c r="C33" s="234"/>
      <c r="D33" s="234"/>
      <c r="E33" s="234"/>
      <c r="F33" s="73"/>
      <c r="G33" s="73"/>
      <c r="H33" s="73"/>
      <c r="I33" s="73"/>
      <c r="J33" s="73"/>
      <c r="K33" s="73"/>
      <c r="L33" s="73"/>
      <c r="M33" s="73"/>
      <c r="N33" s="73"/>
      <c r="O33" s="73"/>
      <c r="P33" s="73"/>
      <c r="Q33" s="73"/>
      <c r="R33" s="73"/>
      <c r="S33" s="73"/>
    </row>
    <row r="34" spans="1:19" x14ac:dyDescent="0.2">
      <c r="A34" s="234"/>
      <c r="B34" s="234"/>
      <c r="C34" s="234"/>
      <c r="D34" s="234"/>
      <c r="E34" s="234"/>
      <c r="F34" s="73"/>
      <c r="G34" s="73"/>
      <c r="H34" s="73"/>
      <c r="I34" s="73"/>
      <c r="J34" s="73"/>
      <c r="K34" s="73"/>
      <c r="L34" s="73"/>
      <c r="M34" s="73"/>
      <c r="N34" s="73"/>
      <c r="O34" s="73"/>
      <c r="P34" s="73"/>
      <c r="Q34" s="73"/>
      <c r="R34" s="73"/>
      <c r="S34" s="73"/>
    </row>
    <row r="35" spans="1:19" x14ac:dyDescent="0.2">
      <c r="A35" s="234"/>
      <c r="B35" s="234"/>
      <c r="C35" s="234"/>
      <c r="D35" s="234"/>
      <c r="E35" s="234"/>
      <c r="F35" s="73"/>
      <c r="G35" s="73"/>
      <c r="H35" s="73"/>
      <c r="I35" s="73"/>
      <c r="J35" s="73"/>
      <c r="K35" s="73"/>
      <c r="L35" s="73"/>
      <c r="M35" s="73"/>
      <c r="N35" s="73"/>
      <c r="O35" s="73"/>
      <c r="P35" s="73"/>
      <c r="Q35" s="73"/>
      <c r="R35" s="73"/>
      <c r="S35" s="73"/>
    </row>
    <row r="36" spans="1:19" x14ac:dyDescent="0.2">
      <c r="A36" s="234"/>
      <c r="B36" s="234"/>
      <c r="C36" s="234"/>
      <c r="D36" s="234"/>
      <c r="E36" s="234"/>
      <c r="F36" s="73"/>
      <c r="G36" s="73"/>
      <c r="H36" s="73"/>
      <c r="I36" s="73"/>
      <c r="J36" s="73"/>
      <c r="K36" s="73"/>
      <c r="L36" s="73"/>
      <c r="M36" s="73"/>
      <c r="N36" s="73"/>
      <c r="O36" s="73"/>
      <c r="P36" s="73"/>
      <c r="Q36" s="73"/>
      <c r="R36" s="73"/>
      <c r="S36" s="73"/>
    </row>
    <row r="37" spans="1:19" x14ac:dyDescent="0.2">
      <c r="A37" s="234"/>
      <c r="B37" s="234"/>
      <c r="C37" s="234"/>
      <c r="D37" s="234"/>
      <c r="E37" s="234"/>
      <c r="F37" s="73"/>
      <c r="G37" s="73"/>
      <c r="H37" s="73"/>
      <c r="I37" s="73"/>
      <c r="J37" s="73"/>
      <c r="K37" s="73"/>
      <c r="L37" s="73"/>
      <c r="M37" s="73"/>
      <c r="N37" s="73"/>
      <c r="O37" s="73"/>
      <c r="P37" s="73"/>
      <c r="Q37" s="73"/>
      <c r="R37" s="73"/>
      <c r="S37" s="73"/>
    </row>
    <row r="38" spans="1:19" x14ac:dyDescent="0.2">
      <c r="A38" s="234"/>
      <c r="B38" s="234"/>
      <c r="C38" s="234"/>
      <c r="D38" s="234"/>
      <c r="E38" s="234"/>
      <c r="F38" s="73"/>
      <c r="G38" s="73"/>
      <c r="H38" s="73"/>
      <c r="I38" s="73"/>
      <c r="J38" s="73"/>
      <c r="K38" s="73"/>
      <c r="L38" s="73"/>
      <c r="M38" s="73"/>
      <c r="N38" s="73"/>
      <c r="O38" s="73"/>
      <c r="P38" s="73"/>
      <c r="Q38" s="73"/>
      <c r="R38" s="73"/>
      <c r="S38" s="73"/>
    </row>
    <row r="39" spans="1:19" x14ac:dyDescent="0.2">
      <c r="A39" s="234"/>
      <c r="B39" s="234"/>
      <c r="C39" s="234"/>
      <c r="D39" s="234"/>
      <c r="E39" s="234"/>
      <c r="F39" s="73"/>
      <c r="G39" s="73"/>
      <c r="H39" s="73"/>
      <c r="I39" s="73"/>
      <c r="J39" s="73"/>
      <c r="K39" s="73"/>
      <c r="L39" s="73"/>
      <c r="M39" s="73"/>
      <c r="N39" s="73"/>
      <c r="O39" s="73"/>
      <c r="P39" s="73"/>
      <c r="Q39" s="73"/>
      <c r="R39" s="73"/>
      <c r="S39" s="73"/>
    </row>
    <row r="40" spans="1:19" ht="14.25" x14ac:dyDescent="0.2">
      <c r="A40" s="73"/>
      <c r="B40" s="221"/>
      <c r="C40" s="221"/>
      <c r="D40" s="221"/>
      <c r="E40" s="221"/>
      <c r="F40" s="221"/>
      <c r="G40" s="73"/>
      <c r="H40" s="73"/>
      <c r="I40" s="73"/>
      <c r="J40" s="73"/>
      <c r="K40" s="73"/>
      <c r="L40" s="73"/>
      <c r="M40" s="73"/>
      <c r="N40" s="73"/>
      <c r="O40" s="73"/>
      <c r="P40" s="73"/>
      <c r="Q40" s="73"/>
      <c r="R40" s="73"/>
      <c r="S40" s="73"/>
    </row>
    <row r="41" spans="1:19" ht="15" x14ac:dyDescent="0.2">
      <c r="A41" s="73"/>
      <c r="B41" s="101"/>
      <c r="C41" s="101"/>
      <c r="D41" s="101"/>
      <c r="E41" s="101"/>
      <c r="F41" s="101"/>
      <c r="G41" s="73"/>
      <c r="H41" s="73"/>
      <c r="I41" s="73"/>
      <c r="J41" s="73"/>
      <c r="K41" s="73"/>
      <c r="L41" s="73"/>
      <c r="M41" s="73"/>
      <c r="N41" s="73"/>
      <c r="O41" s="73"/>
      <c r="P41" s="73"/>
      <c r="Q41" s="73"/>
      <c r="R41" s="73"/>
      <c r="S41" s="73"/>
    </row>
    <row r="42" spans="1:19" ht="15" x14ac:dyDescent="0.2">
      <c r="A42" s="73"/>
      <c r="B42" s="101"/>
      <c r="C42" s="101"/>
      <c r="D42" s="101"/>
      <c r="E42" s="101"/>
      <c r="F42" s="101"/>
      <c r="G42" s="73"/>
      <c r="H42" s="73"/>
      <c r="I42" s="73"/>
      <c r="J42" s="73"/>
      <c r="K42" s="73"/>
      <c r="L42" s="73"/>
      <c r="M42" s="73"/>
      <c r="N42" s="73"/>
      <c r="O42" s="73"/>
      <c r="P42" s="73"/>
      <c r="Q42" s="73"/>
      <c r="R42" s="73"/>
      <c r="S42" s="73"/>
    </row>
    <row r="43" spans="1:19" ht="15" x14ac:dyDescent="0.2">
      <c r="A43" s="73"/>
      <c r="B43" s="101"/>
      <c r="C43" s="101"/>
      <c r="D43" s="101"/>
      <c r="E43" s="101"/>
      <c r="F43" s="101"/>
      <c r="G43" s="73"/>
      <c r="H43" s="73"/>
      <c r="I43" s="73"/>
      <c r="J43" s="73"/>
      <c r="K43" s="73"/>
      <c r="L43" s="73"/>
      <c r="M43" s="73"/>
      <c r="N43" s="73"/>
      <c r="O43" s="73"/>
      <c r="P43" s="73"/>
      <c r="Q43" s="73"/>
      <c r="R43" s="73"/>
      <c r="S43" s="73"/>
    </row>
    <row r="44" spans="1:19" ht="15" x14ac:dyDescent="0.2">
      <c r="A44" s="73"/>
      <c r="B44" s="101"/>
      <c r="C44" s="101"/>
      <c r="D44" s="101"/>
      <c r="E44" s="101"/>
      <c r="F44" s="101"/>
      <c r="G44" s="73"/>
      <c r="H44" s="73"/>
      <c r="I44" s="73"/>
      <c r="J44" s="73"/>
      <c r="K44" s="73"/>
      <c r="L44" s="73"/>
      <c r="M44" s="73"/>
      <c r="N44" s="73"/>
      <c r="O44" s="73"/>
      <c r="P44" s="73"/>
      <c r="Q44" s="73"/>
      <c r="R44" s="73"/>
      <c r="S44" s="73"/>
    </row>
    <row r="45" spans="1:19" ht="15" x14ac:dyDescent="0.2">
      <c r="A45" s="73"/>
      <c r="B45" s="101"/>
      <c r="C45" s="101"/>
      <c r="D45" s="101"/>
      <c r="E45" s="101"/>
      <c r="F45" s="101"/>
      <c r="G45" s="73"/>
      <c r="H45" s="73"/>
      <c r="I45" s="73"/>
      <c r="J45" s="73"/>
      <c r="K45" s="73"/>
      <c r="L45" s="73"/>
      <c r="M45" s="73"/>
      <c r="N45" s="73"/>
      <c r="O45" s="73"/>
      <c r="P45" s="73"/>
      <c r="Q45" s="73"/>
      <c r="R45" s="73"/>
      <c r="S45" s="73"/>
    </row>
    <row r="46" spans="1:19" ht="15" x14ac:dyDescent="0.2">
      <c r="A46" s="73"/>
      <c r="B46" s="101"/>
      <c r="C46" s="101"/>
      <c r="D46" s="101"/>
      <c r="E46" s="101"/>
      <c r="F46" s="101"/>
      <c r="G46" s="73"/>
      <c r="H46" s="73"/>
      <c r="I46" s="73"/>
      <c r="J46" s="73"/>
      <c r="K46" s="73"/>
      <c r="L46" s="73"/>
      <c r="M46" s="73"/>
      <c r="N46" s="73"/>
      <c r="O46" s="73"/>
      <c r="P46" s="73"/>
      <c r="Q46" s="73"/>
      <c r="R46" s="73"/>
      <c r="S46" s="73"/>
    </row>
    <row r="47" spans="1:19" ht="15" x14ac:dyDescent="0.2">
      <c r="A47" s="73"/>
      <c r="B47" s="101"/>
      <c r="C47" s="101"/>
      <c r="D47" s="101"/>
      <c r="E47" s="101"/>
      <c r="F47" s="101"/>
      <c r="G47" s="73"/>
      <c r="H47" s="73"/>
      <c r="I47" s="73"/>
      <c r="J47" s="73"/>
      <c r="K47" s="73"/>
      <c r="L47" s="73"/>
      <c r="M47" s="73"/>
      <c r="N47" s="73"/>
      <c r="O47" s="73"/>
      <c r="P47" s="73"/>
      <c r="Q47" s="73"/>
      <c r="R47" s="73"/>
      <c r="S47" s="73"/>
    </row>
    <row r="48" spans="1:19" ht="15" x14ac:dyDescent="0.2">
      <c r="A48" s="73"/>
      <c r="B48" s="101"/>
      <c r="C48" s="101"/>
      <c r="D48" s="101"/>
      <c r="E48" s="101"/>
      <c r="F48" s="101"/>
      <c r="G48" s="73"/>
      <c r="H48" s="73"/>
      <c r="I48" s="73"/>
      <c r="J48" s="73"/>
      <c r="K48" s="73"/>
      <c r="L48" s="73"/>
      <c r="M48" s="73"/>
      <c r="N48" s="73"/>
      <c r="O48" s="73"/>
      <c r="P48" s="73"/>
      <c r="Q48" s="73"/>
      <c r="R48" s="73"/>
      <c r="S48" s="73"/>
    </row>
    <row r="49" spans="1:19" ht="15" x14ac:dyDescent="0.2">
      <c r="A49" s="73"/>
      <c r="B49" s="101"/>
      <c r="C49" s="101"/>
      <c r="D49" s="101"/>
      <c r="E49" s="101"/>
      <c r="F49" s="101"/>
      <c r="G49" s="73"/>
      <c r="H49" s="73"/>
      <c r="I49" s="73"/>
      <c r="J49" s="73"/>
      <c r="K49" s="73"/>
      <c r="L49" s="73"/>
      <c r="M49" s="73"/>
      <c r="N49" s="73"/>
      <c r="O49" s="73"/>
      <c r="P49" s="73"/>
      <c r="Q49" s="73"/>
      <c r="R49" s="73"/>
      <c r="S49" s="73"/>
    </row>
    <row r="50" spans="1:19" ht="15" x14ac:dyDescent="0.2">
      <c r="B50" s="72"/>
      <c r="C50" s="72"/>
      <c r="D50" s="72"/>
      <c r="E50" s="72"/>
      <c r="F50" s="72"/>
    </row>
    <row r="51" spans="1:19" ht="15" x14ac:dyDescent="0.2">
      <c r="B51" s="72"/>
      <c r="C51" s="72"/>
      <c r="D51" s="72"/>
      <c r="E51" s="72"/>
      <c r="F51" s="72"/>
    </row>
    <row r="52" spans="1:19" ht="15" x14ac:dyDescent="0.2">
      <c r="B52" s="72"/>
      <c r="C52" s="72"/>
      <c r="D52" s="72"/>
      <c r="E52" s="72"/>
      <c r="F52" s="72"/>
    </row>
    <row r="53" spans="1:19" ht="15" x14ac:dyDescent="0.2">
      <c r="B53" s="72"/>
      <c r="C53" s="72"/>
      <c r="D53" s="72"/>
      <c r="E53" s="72"/>
      <c r="F53" s="72"/>
    </row>
    <row r="54" spans="1:19" ht="15" x14ac:dyDescent="0.2">
      <c r="B54" s="72"/>
      <c r="C54" s="72"/>
      <c r="D54" s="72"/>
      <c r="E54" s="72"/>
      <c r="F54" s="72"/>
    </row>
  </sheetData>
  <mergeCells count="5">
    <mergeCell ref="A1:F2"/>
    <mergeCell ref="A5:A6"/>
    <mergeCell ref="C5:C6"/>
    <mergeCell ref="A26:E27"/>
    <mergeCell ref="A29:E39"/>
  </mergeCells>
  <conditionalFormatting sqref="A3">
    <cfRule type="expression" dxfId="13" priority="2">
      <formula>LEN(TRIM(#REF!))&gt;0</formula>
    </cfRule>
  </conditionalFormatting>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S54"/>
  <sheetViews>
    <sheetView zoomScaleNormal="100" workbookViewId="0">
      <selection activeCell="E4" sqref="E4"/>
    </sheetView>
  </sheetViews>
  <sheetFormatPr baseColWidth="10" defaultColWidth="9.140625" defaultRowHeight="12.75" x14ac:dyDescent="0.2"/>
  <cols>
    <col min="1" max="1" width="15.5703125" customWidth="1"/>
    <col min="2" max="2" width="11.5703125"/>
    <col min="3" max="3" width="19" customWidth="1"/>
    <col min="4" max="4" width="19.140625" customWidth="1"/>
    <col min="5" max="5" width="30.140625" customWidth="1"/>
    <col min="6" max="6" width="18.7109375" customWidth="1"/>
    <col min="7" max="7" width="16.28515625" customWidth="1"/>
    <col min="8" max="1025" width="14.42578125" customWidth="1"/>
  </cols>
  <sheetData>
    <row r="1" spans="1:19" ht="15.75" customHeight="1" x14ac:dyDescent="0.2">
      <c r="A1" s="232" t="s">
        <v>56</v>
      </c>
      <c r="B1" s="232"/>
      <c r="C1" s="232"/>
      <c r="D1" s="232"/>
      <c r="E1" s="232"/>
      <c r="F1" s="232"/>
      <c r="G1" s="73"/>
      <c r="H1" s="73"/>
      <c r="I1" s="73"/>
      <c r="J1" s="73"/>
      <c r="K1" s="73"/>
      <c r="L1" s="73"/>
      <c r="M1" s="73"/>
      <c r="N1" s="73"/>
      <c r="O1" s="73"/>
      <c r="P1" s="73"/>
      <c r="Q1" s="73"/>
      <c r="R1" s="73"/>
      <c r="S1" s="73"/>
    </row>
    <row r="2" spans="1:19" ht="15.75" customHeight="1" x14ac:dyDescent="0.2">
      <c r="A2" s="232"/>
      <c r="B2" s="232"/>
      <c r="C2" s="232"/>
      <c r="D2" s="232"/>
      <c r="E2" s="232"/>
      <c r="F2" s="232"/>
      <c r="G2" s="73"/>
      <c r="H2" s="73"/>
      <c r="I2" s="73"/>
      <c r="J2" s="73"/>
      <c r="K2" s="73"/>
      <c r="L2" s="73"/>
      <c r="M2" s="73"/>
      <c r="N2" s="73"/>
      <c r="O2" s="73"/>
      <c r="P2" s="73"/>
      <c r="Q2" s="73"/>
      <c r="R2" s="73"/>
      <c r="S2" s="73"/>
    </row>
    <row r="3" spans="1:19" ht="15.75" customHeight="1" x14ac:dyDescent="0.25">
      <c r="A3" s="74" t="s">
        <v>1</v>
      </c>
      <c r="B3" s="73"/>
      <c r="C3" s="74" t="s">
        <v>2</v>
      </c>
      <c r="D3" s="75" t="s">
        <v>3</v>
      </c>
      <c r="E3" s="74" t="s">
        <v>4</v>
      </c>
      <c r="F3" s="74" t="s">
        <v>5</v>
      </c>
      <c r="G3" s="73"/>
      <c r="H3" s="73"/>
      <c r="I3" s="73"/>
      <c r="J3" s="73"/>
      <c r="K3" s="73"/>
      <c r="L3" s="73"/>
      <c r="M3" s="73"/>
      <c r="N3" s="73"/>
      <c r="O3" s="73"/>
      <c r="P3" s="73"/>
      <c r="Q3" s="73"/>
      <c r="R3" s="73"/>
      <c r="S3" s="73"/>
    </row>
    <row r="4" spans="1:19" ht="15.75" customHeight="1" x14ac:dyDescent="0.25">
      <c r="A4" s="76">
        <v>43878</v>
      </c>
      <c r="B4" s="77"/>
      <c r="C4" s="76">
        <v>43882</v>
      </c>
      <c r="D4" s="78" t="s">
        <v>6</v>
      </c>
      <c r="E4" s="79">
        <f>D13+D15+D17+D18</f>
        <v>0.17708333333333315</v>
      </c>
      <c r="F4" s="80">
        <f>'Uke7'!F4 + E4</f>
        <v>0.88541666666666707</v>
      </c>
      <c r="G4" s="73"/>
      <c r="H4" s="153"/>
      <c r="I4" s="153"/>
      <c r="J4" s="102"/>
      <c r="K4" s="73"/>
      <c r="L4" s="73"/>
      <c r="M4" s="73"/>
      <c r="N4" s="73"/>
      <c r="O4" s="73"/>
      <c r="P4" s="73"/>
      <c r="Q4" s="73"/>
      <c r="R4" s="73"/>
      <c r="S4" s="73"/>
    </row>
    <row r="5" spans="1:19" ht="15" customHeight="1" x14ac:dyDescent="0.25">
      <c r="A5" s="233" t="s">
        <v>7</v>
      </c>
      <c r="B5" s="73"/>
      <c r="C5" s="233" t="s">
        <v>8</v>
      </c>
      <c r="D5" s="82" t="s">
        <v>9</v>
      </c>
      <c r="E5" s="79">
        <f>D12+D14</f>
        <v>5.2083333333333037E-2</v>
      </c>
      <c r="F5" s="80">
        <f>'Uke7'!F5 + E5</f>
        <v>5.2083333333333037E-2</v>
      </c>
      <c r="G5" s="73"/>
      <c r="H5" s="153"/>
      <c r="I5" s="73"/>
      <c r="J5" s="73"/>
      <c r="K5" s="73"/>
      <c r="L5" s="73"/>
      <c r="M5" s="73"/>
      <c r="N5" s="73"/>
      <c r="O5" s="73"/>
      <c r="P5" s="73"/>
      <c r="Q5" s="73"/>
      <c r="R5" s="73"/>
      <c r="S5" s="73"/>
    </row>
    <row r="6" spans="1:19" ht="15.75" customHeight="1" x14ac:dyDescent="0.25">
      <c r="A6" s="233"/>
      <c r="B6" s="73"/>
      <c r="C6" s="233"/>
      <c r="D6" s="83" t="s">
        <v>10</v>
      </c>
      <c r="E6" s="80">
        <f>D11+D16</f>
        <v>6.2499999999999889E-2</v>
      </c>
      <c r="F6" s="80">
        <f>'Uke7'!F6 + E6</f>
        <v>0.37500000000000078</v>
      </c>
      <c r="G6" s="73"/>
      <c r="H6" s="153"/>
      <c r="I6" s="153"/>
      <c r="J6" s="102"/>
      <c r="K6" s="73"/>
      <c r="L6" s="73"/>
      <c r="M6" s="73"/>
      <c r="N6" s="73"/>
      <c r="O6" s="73"/>
      <c r="P6" s="73"/>
      <c r="Q6" s="73"/>
      <c r="R6" s="73"/>
      <c r="S6" s="73"/>
    </row>
    <row r="7" spans="1:19" ht="15.75" x14ac:dyDescent="0.25">
      <c r="A7" s="84">
        <f>SUM(E4:E7)</f>
        <v>0.36111111111111016</v>
      </c>
      <c r="B7" s="77"/>
      <c r="C7" s="84">
        <f>SUM(F4:F7)</f>
        <v>1.8819444444444444</v>
      </c>
      <c r="D7" s="85" t="s">
        <v>46</v>
      </c>
      <c r="E7" s="86">
        <f>D19</f>
        <v>6.9444444444444087E-2</v>
      </c>
      <c r="F7" s="84">
        <f>'Uke7'!F7 + E7</f>
        <v>0.56944444444444353</v>
      </c>
      <c r="G7" s="73"/>
      <c r="H7" s="153"/>
      <c r="I7" s="153"/>
      <c r="J7" s="102"/>
      <c r="K7" s="73"/>
      <c r="L7" s="73"/>
      <c r="M7" s="73"/>
      <c r="N7" s="73"/>
      <c r="O7" s="73"/>
      <c r="P7" s="73"/>
      <c r="Q7" s="73"/>
      <c r="R7" s="73"/>
      <c r="S7" s="73"/>
    </row>
    <row r="8" spans="1:19" x14ac:dyDescent="0.2">
      <c r="A8" s="73"/>
      <c r="B8" s="73"/>
      <c r="C8" s="73"/>
      <c r="D8" s="73"/>
      <c r="E8" s="73"/>
      <c r="F8" s="73"/>
      <c r="G8" s="73"/>
      <c r="H8" s="73"/>
      <c r="I8" s="73"/>
      <c r="J8" s="73"/>
      <c r="K8" s="73"/>
      <c r="L8" s="73"/>
      <c r="M8" s="73"/>
      <c r="N8" s="73"/>
      <c r="O8" s="73"/>
      <c r="P8" s="73"/>
      <c r="Q8" s="73"/>
      <c r="R8" s="73"/>
      <c r="S8" s="73"/>
    </row>
    <row r="9" spans="1:19" x14ac:dyDescent="0.2">
      <c r="A9" s="73"/>
      <c r="B9" s="73"/>
      <c r="C9" s="73"/>
      <c r="D9" s="73"/>
      <c r="E9" s="73"/>
      <c r="F9" s="73"/>
      <c r="G9" s="73"/>
      <c r="H9" s="73"/>
      <c r="I9" s="73"/>
      <c r="J9" s="73"/>
      <c r="K9" s="73"/>
      <c r="L9" s="73"/>
      <c r="M9" s="73"/>
      <c r="N9" s="73"/>
      <c r="O9" s="73"/>
      <c r="P9" s="73"/>
      <c r="Q9" s="73"/>
      <c r="R9" s="73"/>
      <c r="S9" s="73"/>
    </row>
    <row r="10" spans="1:19" ht="15.75" x14ac:dyDescent="0.25">
      <c r="A10" s="74" t="s">
        <v>12</v>
      </c>
      <c r="B10" s="74" t="s">
        <v>57</v>
      </c>
      <c r="C10" s="74" t="s">
        <v>58</v>
      </c>
      <c r="D10" s="74" t="s">
        <v>59</v>
      </c>
      <c r="E10" s="74" t="s">
        <v>47</v>
      </c>
      <c r="F10" s="74" t="s">
        <v>39</v>
      </c>
      <c r="G10" s="73"/>
      <c r="H10" s="73"/>
      <c r="I10" s="73"/>
      <c r="J10" s="73"/>
      <c r="K10" s="73"/>
      <c r="L10" s="73"/>
      <c r="M10" s="73"/>
      <c r="N10" s="73"/>
      <c r="O10" s="73"/>
      <c r="P10" s="73"/>
      <c r="Q10" s="73"/>
      <c r="R10" s="73"/>
      <c r="S10" s="73"/>
    </row>
    <row r="11" spans="1:19" ht="15.75" x14ac:dyDescent="0.25">
      <c r="A11" s="145">
        <v>43878</v>
      </c>
      <c r="B11" s="146">
        <v>0.58333333333333304</v>
      </c>
      <c r="C11" s="146">
        <v>0.60416666666666696</v>
      </c>
      <c r="D11" s="146">
        <f t="shared" ref="D11:D19" si="0">C11-B11</f>
        <v>2.0833333333333925E-2</v>
      </c>
      <c r="E11" s="147" t="s">
        <v>48</v>
      </c>
      <c r="F11" s="87"/>
      <c r="G11" s="73"/>
      <c r="H11" s="73"/>
      <c r="I11" s="73"/>
      <c r="J11" s="73"/>
      <c r="K11" s="73"/>
      <c r="L11" s="73"/>
      <c r="M11" s="73"/>
      <c r="N11" s="73"/>
      <c r="O11" s="73"/>
      <c r="P11" s="73"/>
      <c r="Q11" s="73"/>
      <c r="R11" s="73"/>
      <c r="S11" s="73"/>
    </row>
    <row r="12" spans="1:19" ht="31.5" x14ac:dyDescent="0.25">
      <c r="A12" s="103">
        <v>43878</v>
      </c>
      <c r="B12" s="104">
        <v>0.60416666666666696</v>
      </c>
      <c r="C12" s="104">
        <v>0.625</v>
      </c>
      <c r="D12" s="154">
        <f t="shared" si="0"/>
        <v>2.0833333333333037E-2</v>
      </c>
      <c r="E12" s="105" t="s">
        <v>60</v>
      </c>
      <c r="F12" s="91"/>
      <c r="G12" s="73"/>
      <c r="H12" s="73"/>
      <c r="I12" s="73"/>
      <c r="J12" s="73"/>
      <c r="K12" s="73"/>
      <c r="L12" s="73"/>
      <c r="M12" s="73"/>
      <c r="N12" s="73"/>
      <c r="O12" s="73"/>
      <c r="P12" s="73"/>
      <c r="Q12" s="73"/>
      <c r="R12" s="73"/>
      <c r="S12" s="73"/>
    </row>
    <row r="13" spans="1:19" ht="31.5" x14ac:dyDescent="0.25">
      <c r="A13" s="106">
        <v>43878</v>
      </c>
      <c r="B13" s="107">
        <v>0.625</v>
      </c>
      <c r="C13" s="107">
        <v>0.64583333333333304</v>
      </c>
      <c r="D13" s="155">
        <f t="shared" si="0"/>
        <v>2.0833333333333037E-2</v>
      </c>
      <c r="E13" s="108" t="s">
        <v>61</v>
      </c>
      <c r="F13" s="95"/>
      <c r="G13" s="73"/>
      <c r="H13" s="73"/>
      <c r="I13" s="73"/>
      <c r="J13" s="73"/>
      <c r="K13" s="73"/>
      <c r="L13" s="73"/>
      <c r="M13" s="73"/>
      <c r="N13" s="73"/>
      <c r="O13" s="73"/>
      <c r="P13" s="73"/>
      <c r="Q13" s="73"/>
      <c r="R13" s="73"/>
      <c r="S13" s="73"/>
    </row>
    <row r="14" spans="1:19" ht="47.25" x14ac:dyDescent="0.25">
      <c r="A14" s="109">
        <v>43880</v>
      </c>
      <c r="B14" s="110">
        <v>0.41666666666666702</v>
      </c>
      <c r="C14" s="110">
        <v>0.44791666666666702</v>
      </c>
      <c r="D14" s="156">
        <f t="shared" si="0"/>
        <v>3.125E-2</v>
      </c>
      <c r="E14" s="111" t="s">
        <v>62</v>
      </c>
      <c r="F14" s="114">
        <v>1</v>
      </c>
      <c r="G14" s="73"/>
      <c r="H14" s="73"/>
      <c r="I14" s="73"/>
      <c r="J14" s="73"/>
      <c r="K14" s="73"/>
      <c r="L14" s="73"/>
      <c r="M14" s="73"/>
      <c r="N14" s="73"/>
      <c r="O14" s="73"/>
      <c r="P14" s="73"/>
      <c r="Q14" s="73"/>
      <c r="R14" s="73"/>
      <c r="S14" s="73"/>
    </row>
    <row r="15" spans="1:19" ht="15.75" x14ac:dyDescent="0.25">
      <c r="A15" s="106">
        <v>43880</v>
      </c>
      <c r="B15" s="107">
        <v>0.44791666666666702</v>
      </c>
      <c r="C15" s="107">
        <v>0.47916666666666702</v>
      </c>
      <c r="D15" s="155">
        <f t="shared" si="0"/>
        <v>3.125E-2</v>
      </c>
      <c r="E15" s="108" t="s">
        <v>63</v>
      </c>
      <c r="F15" s="95"/>
      <c r="G15" s="73"/>
      <c r="H15" s="73"/>
      <c r="I15" s="73"/>
      <c r="J15" s="73"/>
      <c r="K15" s="73"/>
      <c r="L15" s="73"/>
      <c r="M15" s="73"/>
      <c r="N15" s="73"/>
      <c r="O15" s="73"/>
      <c r="P15" s="73"/>
      <c r="Q15" s="73"/>
      <c r="R15" s="73"/>
      <c r="S15" s="73"/>
    </row>
    <row r="16" spans="1:19" ht="15.75" x14ac:dyDescent="0.25">
      <c r="A16" s="96">
        <v>43881</v>
      </c>
      <c r="B16" s="97">
        <v>0.41666666666666702</v>
      </c>
      <c r="C16" s="97">
        <v>0.45833333333333298</v>
      </c>
      <c r="D16" s="151">
        <f t="shared" si="0"/>
        <v>4.1666666666665964E-2</v>
      </c>
      <c r="E16" s="98" t="s">
        <v>64</v>
      </c>
      <c r="F16" s="95"/>
      <c r="G16" s="73"/>
      <c r="H16" s="73"/>
      <c r="I16" s="73"/>
      <c r="J16" s="73"/>
      <c r="K16" s="73"/>
      <c r="L16" s="73"/>
      <c r="M16" s="73"/>
      <c r="N16" s="73"/>
      <c r="O16" s="73"/>
      <c r="P16" s="73"/>
      <c r="Q16" s="73"/>
      <c r="R16" s="73"/>
      <c r="S16" s="73"/>
    </row>
    <row r="17" spans="1:19" ht="47.25" x14ac:dyDescent="0.25">
      <c r="A17" s="157">
        <v>43881</v>
      </c>
      <c r="B17" s="155">
        <v>0.45833333333333298</v>
      </c>
      <c r="C17" s="155">
        <v>0.47916666666666702</v>
      </c>
      <c r="D17" s="155">
        <f t="shared" si="0"/>
        <v>2.0833333333334036E-2</v>
      </c>
      <c r="E17" s="158" t="s">
        <v>65</v>
      </c>
      <c r="F17" s="95"/>
      <c r="G17" s="73"/>
      <c r="H17" s="73"/>
      <c r="I17" s="73"/>
      <c r="J17" s="73"/>
      <c r="K17" s="73"/>
      <c r="L17" s="73"/>
      <c r="M17" s="73"/>
      <c r="N17" s="73"/>
      <c r="O17" s="73"/>
      <c r="P17" s="73"/>
      <c r="Q17" s="73"/>
      <c r="R17" s="73"/>
      <c r="S17" s="73"/>
    </row>
    <row r="18" spans="1:19" ht="47.25" x14ac:dyDescent="0.25">
      <c r="A18" s="106">
        <v>43882</v>
      </c>
      <c r="B18" s="107">
        <v>0.54166666666666696</v>
      </c>
      <c r="C18" s="107">
        <v>0.64583333333333304</v>
      </c>
      <c r="D18" s="155">
        <f t="shared" si="0"/>
        <v>0.10416666666666607</v>
      </c>
      <c r="E18" s="108" t="s">
        <v>66</v>
      </c>
      <c r="F18" s="95"/>
      <c r="G18" s="73"/>
      <c r="H18" s="73"/>
      <c r="I18" s="73"/>
      <c r="J18" s="73"/>
      <c r="K18" s="73"/>
      <c r="L18" s="73"/>
      <c r="M18" s="73"/>
      <c r="N18" s="73"/>
      <c r="O18" s="73"/>
      <c r="P18" s="73"/>
      <c r="Q18" s="73"/>
      <c r="R18" s="73"/>
      <c r="S18" s="73"/>
    </row>
    <row r="19" spans="1:19" ht="31.5" x14ac:dyDescent="0.25">
      <c r="A19" s="92">
        <v>43882</v>
      </c>
      <c r="B19" s="93">
        <v>0.82638888888888895</v>
      </c>
      <c r="C19" s="93">
        <v>0.89583333333333304</v>
      </c>
      <c r="D19" s="149">
        <f t="shared" si="0"/>
        <v>6.9444444444444087E-2</v>
      </c>
      <c r="E19" s="94" t="s">
        <v>67</v>
      </c>
      <c r="F19" s="100"/>
      <c r="G19" s="73"/>
      <c r="H19" s="73"/>
      <c r="I19" s="73"/>
      <c r="J19" s="73"/>
      <c r="K19" s="73"/>
      <c r="L19" s="73"/>
      <c r="M19" s="73"/>
      <c r="N19" s="73"/>
      <c r="O19" s="73"/>
      <c r="P19" s="73"/>
      <c r="Q19" s="73"/>
      <c r="R19" s="73"/>
      <c r="S19" s="73"/>
    </row>
    <row r="20" spans="1:19" x14ac:dyDescent="0.2">
      <c r="A20" s="73"/>
      <c r="B20" s="73"/>
      <c r="C20" s="73"/>
      <c r="D20" s="73"/>
      <c r="E20" s="73"/>
      <c r="F20" s="73"/>
      <c r="G20" s="73"/>
      <c r="H20" s="73"/>
      <c r="I20" s="73"/>
      <c r="J20" s="73"/>
      <c r="K20" s="73"/>
      <c r="L20" s="73"/>
      <c r="M20" s="73"/>
      <c r="N20" s="73"/>
      <c r="O20" s="73"/>
      <c r="P20" s="73"/>
      <c r="Q20" s="73"/>
      <c r="R20" s="73"/>
      <c r="S20" s="73"/>
    </row>
    <row r="21" spans="1:19" x14ac:dyDescent="0.2">
      <c r="A21" s="73"/>
      <c r="B21" s="73"/>
      <c r="C21" s="73"/>
      <c r="D21" s="73"/>
      <c r="E21" s="73"/>
      <c r="F21" s="73"/>
      <c r="G21" s="73"/>
      <c r="H21" s="73"/>
      <c r="I21" s="73"/>
      <c r="J21" s="73"/>
      <c r="K21" s="73"/>
      <c r="L21" s="73"/>
      <c r="M21" s="73"/>
      <c r="N21" s="73"/>
      <c r="O21" s="73"/>
      <c r="P21" s="73"/>
      <c r="Q21" s="73"/>
      <c r="R21" s="73"/>
      <c r="S21" s="73"/>
    </row>
    <row r="22" spans="1:19" x14ac:dyDescent="0.2">
      <c r="A22" s="73"/>
      <c r="B22" s="73"/>
      <c r="C22" s="73"/>
      <c r="D22" s="73"/>
      <c r="E22" s="73"/>
      <c r="F22" s="73"/>
      <c r="G22" s="73"/>
      <c r="H22" s="73"/>
      <c r="I22" s="73"/>
      <c r="J22" s="73"/>
      <c r="K22" s="73"/>
      <c r="L22" s="73"/>
      <c r="M22" s="73"/>
      <c r="N22" s="73"/>
      <c r="O22" s="73"/>
      <c r="P22" s="73"/>
      <c r="Q22" s="73"/>
      <c r="R22" s="73"/>
      <c r="S22" s="73"/>
    </row>
    <row r="23" spans="1:19" x14ac:dyDescent="0.2">
      <c r="A23" s="73"/>
      <c r="B23" s="73"/>
      <c r="C23" s="73"/>
      <c r="D23" s="73"/>
      <c r="E23" s="73"/>
      <c r="F23" s="73"/>
      <c r="G23" s="73"/>
      <c r="H23" s="73"/>
      <c r="I23" s="73"/>
      <c r="J23" s="73"/>
      <c r="K23" s="73"/>
      <c r="L23" s="73"/>
      <c r="M23" s="73"/>
      <c r="N23" s="73"/>
      <c r="O23" s="73"/>
      <c r="P23" s="73"/>
      <c r="Q23" s="73"/>
      <c r="R23" s="73"/>
      <c r="S23" s="73"/>
    </row>
    <row r="24" spans="1:19" ht="15.75" customHeight="1" x14ac:dyDescent="0.2">
      <c r="A24" s="73"/>
      <c r="B24" s="73"/>
      <c r="C24" s="73"/>
      <c r="D24" s="73"/>
      <c r="E24" s="73"/>
      <c r="F24" s="73"/>
      <c r="G24" s="73"/>
      <c r="H24" s="73"/>
      <c r="I24" s="73"/>
      <c r="J24" s="73"/>
      <c r="K24" s="73"/>
      <c r="L24" s="73"/>
      <c r="M24" s="73"/>
      <c r="N24" s="73"/>
      <c r="O24" s="73"/>
      <c r="P24" s="73"/>
      <c r="Q24" s="73"/>
      <c r="R24" s="73"/>
      <c r="S24" s="73"/>
    </row>
    <row r="25" spans="1:19" ht="15.75" customHeight="1" x14ac:dyDescent="0.2">
      <c r="A25" s="73"/>
      <c r="B25" s="73"/>
      <c r="C25" s="73"/>
      <c r="D25" s="73"/>
      <c r="E25" s="73"/>
      <c r="F25" s="73"/>
      <c r="G25" s="73"/>
      <c r="H25" s="73"/>
      <c r="I25" s="73"/>
      <c r="J25" s="73"/>
      <c r="K25" s="73"/>
      <c r="L25" s="73"/>
      <c r="M25" s="73"/>
      <c r="N25" s="73"/>
      <c r="O25" s="73"/>
      <c r="P25" s="73"/>
      <c r="Q25" s="73"/>
      <c r="R25" s="73"/>
      <c r="S25" s="73"/>
    </row>
    <row r="26" spans="1:19" x14ac:dyDescent="0.2">
      <c r="A26" s="235" t="s">
        <v>23</v>
      </c>
      <c r="B26" s="235"/>
      <c r="C26" s="235"/>
      <c r="D26" s="235"/>
      <c r="E26" s="235"/>
      <c r="F26" s="73"/>
      <c r="G26" s="73"/>
      <c r="H26" s="73"/>
      <c r="I26" s="73"/>
      <c r="J26" s="73"/>
      <c r="K26" s="73"/>
      <c r="L26" s="73"/>
      <c r="M26" s="73"/>
      <c r="N26" s="73"/>
      <c r="O26" s="73"/>
      <c r="P26" s="73"/>
      <c r="Q26" s="73"/>
      <c r="R26" s="73"/>
      <c r="S26" s="73"/>
    </row>
    <row r="27" spans="1:19" x14ac:dyDescent="0.2">
      <c r="A27" s="235"/>
      <c r="B27" s="235"/>
      <c r="C27" s="235"/>
      <c r="D27" s="235"/>
      <c r="E27" s="235"/>
      <c r="F27" s="77"/>
      <c r="G27" s="73"/>
      <c r="H27" s="73"/>
      <c r="I27" s="73"/>
      <c r="J27" s="73"/>
      <c r="K27" s="73"/>
      <c r="L27" s="73"/>
      <c r="M27" s="73"/>
      <c r="N27" s="73"/>
      <c r="O27" s="73"/>
      <c r="P27" s="73"/>
      <c r="Q27" s="73"/>
      <c r="R27" s="73"/>
      <c r="S27" s="73"/>
    </row>
    <row r="28" spans="1:19" ht="15.75" customHeight="1" x14ac:dyDescent="0.2">
      <c r="A28" s="73"/>
      <c r="B28" s="73"/>
      <c r="C28" s="73"/>
      <c r="D28" s="73"/>
      <c r="E28" s="73"/>
      <c r="F28" s="73"/>
      <c r="G28" s="73"/>
      <c r="H28" s="73"/>
      <c r="I28" s="73"/>
      <c r="J28" s="73"/>
      <c r="K28" s="73"/>
      <c r="L28" s="73"/>
      <c r="M28" s="73"/>
      <c r="N28" s="73"/>
      <c r="O28" s="73"/>
      <c r="P28" s="73"/>
      <c r="Q28" s="73"/>
      <c r="R28" s="73"/>
      <c r="S28" s="73"/>
    </row>
    <row r="29" spans="1:19" ht="120.95" customHeight="1" x14ac:dyDescent="0.2">
      <c r="A29" s="236" t="s">
        <v>68</v>
      </c>
      <c r="B29" s="236"/>
      <c r="C29" s="236"/>
      <c r="D29" s="236"/>
      <c r="E29" s="236"/>
      <c r="F29" s="236"/>
      <c r="G29" s="73"/>
      <c r="H29" s="73"/>
      <c r="I29" s="73"/>
      <c r="J29" s="73"/>
      <c r="K29" s="73"/>
      <c r="L29" s="73"/>
      <c r="M29" s="73"/>
      <c r="N29" s="73"/>
      <c r="O29" s="73"/>
      <c r="P29" s="73"/>
      <c r="Q29" s="73"/>
      <c r="R29" s="73"/>
      <c r="S29" s="73"/>
    </row>
    <row r="30" spans="1:19" ht="97.7" customHeight="1" x14ac:dyDescent="0.2">
      <c r="A30" s="236"/>
      <c r="B30" s="236"/>
      <c r="C30" s="236"/>
      <c r="D30" s="236"/>
      <c r="E30" s="236"/>
      <c r="F30" s="236"/>
      <c r="G30" s="73"/>
      <c r="H30" s="73"/>
      <c r="I30" s="73"/>
      <c r="J30" s="73"/>
      <c r="K30" s="73"/>
      <c r="L30" s="73"/>
      <c r="M30" s="73"/>
      <c r="N30" s="73"/>
      <c r="O30" s="73"/>
      <c r="P30" s="73"/>
      <c r="Q30" s="73"/>
      <c r="R30" s="73"/>
      <c r="S30" s="73"/>
    </row>
    <row r="31" spans="1:19" ht="98.45" customHeight="1" x14ac:dyDescent="0.2">
      <c r="A31" s="236"/>
      <c r="B31" s="236"/>
      <c r="C31" s="236"/>
      <c r="D31" s="236"/>
      <c r="E31" s="236"/>
      <c r="F31" s="236"/>
      <c r="G31" s="73"/>
      <c r="H31" s="73"/>
      <c r="I31" s="73"/>
      <c r="J31" s="73"/>
      <c r="K31" s="73"/>
      <c r="L31" s="73"/>
      <c r="M31" s="73"/>
      <c r="N31" s="73"/>
      <c r="O31" s="73"/>
      <c r="P31" s="73"/>
      <c r="Q31" s="73"/>
      <c r="R31" s="73"/>
      <c r="S31" s="73"/>
    </row>
    <row r="32" spans="1:19" ht="52.15" customHeight="1" x14ac:dyDescent="0.2">
      <c r="A32" s="236"/>
      <c r="B32" s="236"/>
      <c r="C32" s="236"/>
      <c r="D32" s="236"/>
      <c r="E32" s="236"/>
      <c r="F32" s="236"/>
      <c r="G32" s="73"/>
      <c r="H32" s="73"/>
      <c r="I32" s="73"/>
      <c r="J32" s="73"/>
      <c r="K32" s="73"/>
      <c r="L32" s="73"/>
      <c r="M32" s="73"/>
      <c r="N32" s="73"/>
      <c r="O32" s="73"/>
      <c r="P32" s="73"/>
      <c r="Q32" s="73"/>
      <c r="R32" s="73"/>
      <c r="S32" s="73"/>
    </row>
    <row r="33" spans="1:19" x14ac:dyDescent="0.2">
      <c r="A33" s="236"/>
      <c r="B33" s="236"/>
      <c r="C33" s="236"/>
      <c r="D33" s="236"/>
      <c r="E33" s="236"/>
      <c r="F33" s="236"/>
      <c r="G33" s="73"/>
      <c r="H33" s="73"/>
      <c r="I33" s="73"/>
      <c r="J33" s="73"/>
      <c r="K33" s="73"/>
      <c r="L33" s="73"/>
      <c r="M33" s="73"/>
      <c r="N33" s="73"/>
      <c r="O33" s="73"/>
      <c r="P33" s="73"/>
      <c r="Q33" s="73"/>
      <c r="R33" s="73"/>
      <c r="S33" s="73"/>
    </row>
    <row r="34" spans="1:19" x14ac:dyDescent="0.2">
      <c r="A34" s="236"/>
      <c r="B34" s="236"/>
      <c r="C34" s="236"/>
      <c r="D34" s="236"/>
      <c r="E34" s="236"/>
      <c r="F34" s="236"/>
      <c r="G34" s="73"/>
      <c r="H34" s="73"/>
      <c r="I34" s="73"/>
      <c r="J34" s="73"/>
      <c r="K34" s="73"/>
      <c r="L34" s="73"/>
      <c r="M34" s="73"/>
      <c r="N34" s="73"/>
      <c r="O34" s="73"/>
      <c r="P34" s="73"/>
      <c r="Q34" s="73"/>
      <c r="R34" s="73"/>
      <c r="S34" s="73"/>
    </row>
    <row r="35" spans="1:19" x14ac:dyDescent="0.2">
      <c r="A35" s="236"/>
      <c r="B35" s="236"/>
      <c r="C35" s="236"/>
      <c r="D35" s="236"/>
      <c r="E35" s="236"/>
      <c r="F35" s="236"/>
      <c r="G35" s="73"/>
      <c r="H35" s="73"/>
      <c r="I35" s="73"/>
      <c r="J35" s="73"/>
      <c r="K35" s="73"/>
      <c r="L35" s="73"/>
      <c r="M35" s="73"/>
      <c r="N35" s="73"/>
      <c r="O35" s="73"/>
      <c r="P35" s="73"/>
      <c r="Q35" s="73"/>
      <c r="R35" s="73"/>
      <c r="S35" s="73"/>
    </row>
    <row r="36" spans="1:19" x14ac:dyDescent="0.2">
      <c r="A36" s="236"/>
      <c r="B36" s="236"/>
      <c r="C36" s="236"/>
      <c r="D36" s="236"/>
      <c r="E36" s="236"/>
      <c r="F36" s="236"/>
      <c r="G36" s="73"/>
      <c r="H36" s="73"/>
      <c r="I36" s="73"/>
      <c r="J36" s="73"/>
      <c r="K36" s="73"/>
      <c r="L36" s="73"/>
      <c r="M36" s="73"/>
      <c r="N36" s="73"/>
      <c r="O36" s="73"/>
      <c r="P36" s="73"/>
      <c r="Q36" s="73"/>
      <c r="R36" s="73"/>
      <c r="S36" s="73"/>
    </row>
    <row r="37" spans="1:19" x14ac:dyDescent="0.2">
      <c r="A37" s="236"/>
      <c r="B37" s="236"/>
      <c r="C37" s="236"/>
      <c r="D37" s="236"/>
      <c r="E37" s="236"/>
      <c r="F37" s="236"/>
      <c r="G37" s="73"/>
      <c r="H37" s="73"/>
      <c r="I37" s="73"/>
      <c r="J37" s="73"/>
      <c r="K37" s="73"/>
      <c r="L37" s="73"/>
      <c r="M37" s="73"/>
      <c r="N37" s="73"/>
      <c r="O37" s="73"/>
      <c r="P37" s="73"/>
      <c r="Q37" s="73"/>
      <c r="R37" s="73"/>
      <c r="S37" s="73"/>
    </row>
    <row r="38" spans="1:19" x14ac:dyDescent="0.2">
      <c r="A38" s="236"/>
      <c r="B38" s="236"/>
      <c r="C38" s="236"/>
      <c r="D38" s="236"/>
      <c r="E38" s="236"/>
      <c r="F38" s="236"/>
      <c r="G38" s="73"/>
      <c r="H38" s="73"/>
      <c r="I38" s="73"/>
      <c r="J38" s="73"/>
      <c r="K38" s="73"/>
      <c r="L38" s="73"/>
      <c r="M38" s="73"/>
      <c r="N38" s="73"/>
      <c r="O38" s="73"/>
      <c r="P38" s="73"/>
      <c r="Q38" s="73"/>
      <c r="R38" s="73"/>
      <c r="S38" s="73"/>
    </row>
    <row r="39" spans="1:19" x14ac:dyDescent="0.2">
      <c r="A39" s="236"/>
      <c r="B39" s="236"/>
      <c r="C39" s="236"/>
      <c r="D39" s="236"/>
      <c r="E39" s="236"/>
      <c r="F39" s="236"/>
      <c r="G39" s="73"/>
      <c r="H39" s="73"/>
      <c r="I39" s="73"/>
      <c r="J39" s="73"/>
      <c r="K39" s="73"/>
      <c r="L39" s="73"/>
      <c r="M39" s="73"/>
      <c r="N39" s="73"/>
      <c r="O39" s="73"/>
      <c r="P39" s="73"/>
      <c r="Q39" s="73"/>
      <c r="R39" s="73"/>
      <c r="S39" s="73"/>
    </row>
    <row r="40" spans="1:19" ht="14.25" x14ac:dyDescent="0.2">
      <c r="A40" s="73"/>
      <c r="B40" s="221"/>
      <c r="C40" s="221"/>
      <c r="D40" s="221"/>
      <c r="E40" s="221"/>
      <c r="F40" s="221"/>
      <c r="G40" s="73"/>
      <c r="H40" s="73"/>
      <c r="I40" s="73"/>
      <c r="J40" s="73"/>
      <c r="K40" s="73"/>
      <c r="L40" s="73"/>
      <c r="M40" s="73"/>
      <c r="N40" s="73"/>
      <c r="O40" s="73"/>
      <c r="P40" s="73"/>
      <c r="Q40" s="73"/>
      <c r="R40" s="73"/>
      <c r="S40" s="73"/>
    </row>
    <row r="41" spans="1:19" ht="15" x14ac:dyDescent="0.2">
      <c r="A41" s="73"/>
      <c r="B41" s="101"/>
      <c r="C41" s="101"/>
      <c r="D41" s="101"/>
      <c r="E41" s="101"/>
      <c r="F41" s="101"/>
      <c r="G41" s="73"/>
      <c r="H41" s="73"/>
      <c r="I41" s="73"/>
      <c r="J41" s="73"/>
      <c r="K41" s="73"/>
      <c r="L41" s="73"/>
      <c r="M41" s="73"/>
      <c r="N41" s="73"/>
      <c r="O41" s="73"/>
      <c r="P41" s="73"/>
      <c r="Q41" s="73"/>
      <c r="R41" s="73"/>
      <c r="S41" s="73"/>
    </row>
    <row r="42" spans="1:19" ht="15" x14ac:dyDescent="0.2">
      <c r="A42" s="73"/>
      <c r="B42" s="101"/>
      <c r="C42" s="101"/>
      <c r="D42" s="101"/>
      <c r="E42" s="101"/>
      <c r="F42" s="101"/>
      <c r="G42" s="73"/>
      <c r="H42" s="73"/>
      <c r="I42" s="73"/>
      <c r="J42" s="73"/>
      <c r="K42" s="73"/>
      <c r="L42" s="73"/>
      <c r="M42" s="73"/>
      <c r="N42" s="73"/>
      <c r="O42" s="73"/>
      <c r="P42" s="73"/>
      <c r="Q42" s="73"/>
      <c r="R42" s="73"/>
      <c r="S42" s="73"/>
    </row>
    <row r="43" spans="1:19" ht="15" x14ac:dyDescent="0.2">
      <c r="A43" s="73"/>
      <c r="B43" s="101"/>
      <c r="C43" s="101"/>
      <c r="D43" s="101"/>
      <c r="E43" s="101"/>
      <c r="F43" s="101"/>
      <c r="G43" s="73"/>
      <c r="H43" s="73"/>
      <c r="I43" s="73"/>
      <c r="J43" s="73"/>
      <c r="K43" s="73"/>
      <c r="L43" s="73"/>
      <c r="M43" s="73"/>
      <c r="N43" s="73"/>
      <c r="O43" s="73"/>
      <c r="P43" s="73"/>
      <c r="Q43" s="73"/>
      <c r="R43" s="73"/>
      <c r="S43" s="73"/>
    </row>
    <row r="44" spans="1:19" ht="15" x14ac:dyDescent="0.2">
      <c r="A44" s="73"/>
      <c r="B44" s="101"/>
      <c r="C44" s="101"/>
      <c r="D44" s="101"/>
      <c r="E44" s="101"/>
      <c r="F44" s="101"/>
      <c r="G44" s="73"/>
      <c r="H44" s="73"/>
      <c r="I44" s="73"/>
      <c r="J44" s="73"/>
      <c r="K44" s="73"/>
      <c r="L44" s="73"/>
      <c r="M44" s="73"/>
      <c r="N44" s="73"/>
      <c r="O44" s="73"/>
      <c r="P44" s="73"/>
      <c r="Q44" s="73"/>
      <c r="R44" s="73"/>
      <c r="S44" s="73"/>
    </row>
    <row r="45" spans="1:19" ht="15" x14ac:dyDescent="0.2">
      <c r="A45" s="73"/>
      <c r="B45" s="101"/>
      <c r="C45" s="101"/>
      <c r="D45" s="101"/>
      <c r="E45" s="101"/>
      <c r="F45" s="101"/>
      <c r="G45" s="73"/>
      <c r="H45" s="73"/>
      <c r="I45" s="73"/>
      <c r="J45" s="73"/>
      <c r="K45" s="73"/>
      <c r="L45" s="73"/>
      <c r="M45" s="73"/>
      <c r="N45" s="73"/>
      <c r="O45" s="73"/>
      <c r="P45" s="73"/>
      <c r="Q45" s="73"/>
      <c r="R45" s="73"/>
      <c r="S45" s="73"/>
    </row>
    <row r="46" spans="1:19" ht="15" x14ac:dyDescent="0.2">
      <c r="A46" s="73"/>
      <c r="B46" s="101"/>
      <c r="C46" s="101"/>
      <c r="D46" s="101"/>
      <c r="E46" s="101"/>
      <c r="F46" s="101"/>
      <c r="G46" s="73"/>
      <c r="H46" s="73"/>
      <c r="I46" s="73"/>
      <c r="J46" s="73"/>
      <c r="K46" s="73"/>
      <c r="L46" s="73"/>
      <c r="M46" s="73"/>
      <c r="N46" s="73"/>
      <c r="O46" s="73"/>
      <c r="P46" s="73"/>
      <c r="Q46" s="73"/>
      <c r="R46" s="73"/>
      <c r="S46" s="73"/>
    </row>
    <row r="47" spans="1:19" ht="15" x14ac:dyDescent="0.2">
      <c r="A47" s="73"/>
      <c r="B47" s="101"/>
      <c r="C47" s="101"/>
      <c r="D47" s="101"/>
      <c r="E47" s="101"/>
      <c r="F47" s="101"/>
      <c r="G47" s="73"/>
      <c r="H47" s="73"/>
      <c r="I47" s="73"/>
      <c r="J47" s="73"/>
      <c r="K47" s="73"/>
      <c r="L47" s="73"/>
      <c r="M47" s="73"/>
      <c r="N47" s="73"/>
      <c r="O47" s="73"/>
      <c r="P47" s="73"/>
      <c r="Q47" s="73"/>
      <c r="R47" s="73"/>
      <c r="S47" s="73"/>
    </row>
    <row r="48" spans="1:19" ht="15" x14ac:dyDescent="0.2">
      <c r="A48" s="73"/>
      <c r="B48" s="101"/>
      <c r="C48" s="101"/>
      <c r="D48" s="101"/>
      <c r="E48" s="101"/>
      <c r="F48" s="101"/>
      <c r="G48" s="73"/>
      <c r="H48" s="73"/>
      <c r="I48" s="73"/>
      <c r="J48" s="73"/>
      <c r="K48" s="73"/>
      <c r="L48" s="73"/>
      <c r="M48" s="73"/>
      <c r="N48" s="73"/>
      <c r="O48" s="73"/>
      <c r="P48" s="73"/>
      <c r="Q48" s="73"/>
      <c r="R48" s="73"/>
      <c r="S48" s="73"/>
    </row>
    <row r="49" spans="1:19" ht="15" x14ac:dyDescent="0.2">
      <c r="A49" s="73"/>
      <c r="B49" s="101"/>
      <c r="C49" s="101"/>
      <c r="D49" s="101"/>
      <c r="E49" s="101"/>
      <c r="F49" s="101"/>
      <c r="G49" s="73"/>
      <c r="H49" s="73"/>
      <c r="I49" s="73"/>
      <c r="J49" s="73"/>
      <c r="K49" s="73"/>
      <c r="L49" s="73"/>
      <c r="M49" s="73"/>
      <c r="N49" s="73"/>
      <c r="O49" s="73"/>
      <c r="P49" s="73"/>
      <c r="Q49" s="73"/>
      <c r="R49" s="73"/>
      <c r="S49" s="73"/>
    </row>
    <row r="50" spans="1:19" ht="15" x14ac:dyDescent="0.2">
      <c r="B50" s="72"/>
      <c r="C50" s="72"/>
      <c r="D50" s="72"/>
      <c r="E50" s="72"/>
      <c r="F50" s="72"/>
    </row>
    <row r="51" spans="1:19" ht="15" x14ac:dyDescent="0.2">
      <c r="B51" s="72"/>
      <c r="C51" s="72"/>
      <c r="D51" s="72"/>
      <c r="E51" s="72"/>
      <c r="F51" s="72"/>
    </row>
    <row r="52" spans="1:19" ht="15" x14ac:dyDescent="0.2">
      <c r="B52" s="72"/>
      <c r="C52" s="72"/>
      <c r="D52" s="72"/>
      <c r="E52" s="72"/>
      <c r="F52" s="72"/>
    </row>
    <row r="53" spans="1:19" ht="15" x14ac:dyDescent="0.2">
      <c r="B53" s="72"/>
      <c r="C53" s="72"/>
      <c r="D53" s="72"/>
      <c r="E53" s="72"/>
      <c r="F53" s="72"/>
    </row>
    <row r="54" spans="1:19" ht="15" x14ac:dyDescent="0.2">
      <c r="B54" s="72"/>
      <c r="C54" s="72"/>
      <c r="D54" s="72"/>
      <c r="E54" s="72"/>
      <c r="F54" s="72"/>
    </row>
  </sheetData>
  <mergeCells count="5">
    <mergeCell ref="A1:F2"/>
    <mergeCell ref="A5:A6"/>
    <mergeCell ref="C5:C6"/>
    <mergeCell ref="A26:E27"/>
    <mergeCell ref="A29:F39"/>
  </mergeCells>
  <conditionalFormatting sqref="A3">
    <cfRule type="expression" dxfId="12" priority="2">
      <formula>LEN(TRIM(#REF!))&gt;0</formula>
    </cfRule>
  </conditionalFormatting>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S54"/>
  <sheetViews>
    <sheetView zoomScaleNormal="100" workbookViewId="0">
      <selection activeCell="D12" sqref="D12"/>
    </sheetView>
  </sheetViews>
  <sheetFormatPr baseColWidth="10" defaultColWidth="9.140625" defaultRowHeight="12.75" x14ac:dyDescent="0.2"/>
  <cols>
    <col min="1" max="1" width="15.5703125" customWidth="1"/>
    <col min="2" max="2" width="11.5703125"/>
    <col min="3" max="3" width="19" customWidth="1"/>
    <col min="4" max="4" width="19.140625" customWidth="1"/>
    <col min="5" max="5" width="33.85546875" customWidth="1"/>
    <col min="6" max="6" width="18.7109375" customWidth="1"/>
    <col min="7" max="7" width="16.28515625" customWidth="1"/>
    <col min="8" max="1025" width="14.42578125" customWidth="1"/>
  </cols>
  <sheetData>
    <row r="1" spans="1:19" ht="15.75" customHeight="1" x14ac:dyDescent="0.2">
      <c r="A1" s="232" t="s">
        <v>69</v>
      </c>
      <c r="B1" s="232"/>
      <c r="C1" s="232"/>
      <c r="D1" s="232"/>
      <c r="E1" s="232"/>
      <c r="F1" s="232"/>
      <c r="G1" s="73"/>
      <c r="H1" s="73"/>
      <c r="I1" s="73"/>
      <c r="J1" s="73"/>
      <c r="K1" s="73"/>
      <c r="L1" s="73"/>
      <c r="M1" s="73"/>
      <c r="N1" s="73"/>
      <c r="O1" s="73"/>
      <c r="P1" s="73"/>
      <c r="Q1" s="73"/>
      <c r="R1" s="73"/>
      <c r="S1" s="73"/>
    </row>
    <row r="2" spans="1:19" ht="15.75" customHeight="1" x14ac:dyDescent="0.2">
      <c r="A2" s="232"/>
      <c r="B2" s="232"/>
      <c r="C2" s="232"/>
      <c r="D2" s="232"/>
      <c r="E2" s="232"/>
      <c r="F2" s="232"/>
      <c r="G2" s="73"/>
      <c r="H2" s="73"/>
      <c r="I2" s="73"/>
      <c r="J2" s="73"/>
      <c r="K2" s="73"/>
      <c r="L2" s="73"/>
      <c r="M2" s="73"/>
      <c r="N2" s="73"/>
      <c r="O2" s="73"/>
      <c r="P2" s="73"/>
      <c r="Q2" s="73"/>
      <c r="R2" s="73"/>
      <c r="S2" s="73"/>
    </row>
    <row r="3" spans="1:19" ht="15.75" customHeight="1" x14ac:dyDescent="0.25">
      <c r="A3" s="74" t="s">
        <v>1</v>
      </c>
      <c r="B3" s="73"/>
      <c r="C3" s="74" t="s">
        <v>2</v>
      </c>
      <c r="D3" s="75" t="s">
        <v>3</v>
      </c>
      <c r="E3" s="74" t="s">
        <v>4</v>
      </c>
      <c r="F3" s="74" t="s">
        <v>5</v>
      </c>
      <c r="G3" s="73"/>
      <c r="H3" s="73"/>
      <c r="I3" s="73"/>
      <c r="J3" s="73"/>
      <c r="K3" s="73"/>
      <c r="L3" s="73"/>
      <c r="M3" s="73"/>
      <c r="N3" s="73"/>
      <c r="O3" s="73"/>
      <c r="P3" s="73"/>
      <c r="Q3" s="73"/>
      <c r="R3" s="73"/>
      <c r="S3" s="73"/>
    </row>
    <row r="4" spans="1:19" ht="15.75" customHeight="1" x14ac:dyDescent="0.25">
      <c r="A4" s="76">
        <v>43885</v>
      </c>
      <c r="B4" s="77"/>
      <c r="C4" s="76">
        <v>43890</v>
      </c>
      <c r="D4" s="78" t="s">
        <v>6</v>
      </c>
      <c r="E4" s="79">
        <f>D20</f>
        <v>6.25E-2</v>
      </c>
      <c r="F4" s="80">
        <f>'Uke8'!F4 + E4</f>
        <v>0.94791666666666707</v>
      </c>
      <c r="G4" s="73"/>
      <c r="H4" s="153"/>
      <c r="I4" s="153"/>
      <c r="J4" s="102"/>
      <c r="K4" s="73"/>
      <c r="L4" s="73"/>
      <c r="M4" s="73"/>
      <c r="N4" s="73"/>
      <c r="O4" s="73"/>
      <c r="P4" s="73"/>
      <c r="Q4" s="73"/>
      <c r="R4" s="73"/>
      <c r="S4" s="73"/>
    </row>
    <row r="5" spans="1:19" ht="15" customHeight="1" x14ac:dyDescent="0.25">
      <c r="A5" s="233" t="s">
        <v>7</v>
      </c>
      <c r="B5" s="73"/>
      <c r="C5" s="233" t="s">
        <v>8</v>
      </c>
      <c r="D5" s="82" t="s">
        <v>9</v>
      </c>
      <c r="E5" s="79">
        <f>D12+D14+D16+D18+D22</f>
        <v>0.19444444444444614</v>
      </c>
      <c r="F5" s="80">
        <f>'Uke8'!F5 + E5</f>
        <v>0.24652777777777918</v>
      </c>
      <c r="G5" s="73"/>
      <c r="H5" s="153"/>
      <c r="I5" s="73"/>
      <c r="J5" s="73"/>
      <c r="K5" s="73"/>
      <c r="L5" s="73"/>
      <c r="M5" s="73"/>
      <c r="N5" s="73"/>
      <c r="O5" s="73"/>
      <c r="P5" s="73"/>
      <c r="Q5" s="73"/>
      <c r="R5" s="73"/>
      <c r="S5" s="73"/>
    </row>
    <row r="6" spans="1:19" ht="15.75" customHeight="1" x14ac:dyDescent="0.25">
      <c r="A6" s="233"/>
      <c r="B6" s="73"/>
      <c r="C6" s="233"/>
      <c r="D6" s="83" t="s">
        <v>10</v>
      </c>
      <c r="E6" s="80">
        <f>D11+D15+D17+D21+D23+D24+D26+D27+D28</f>
        <v>0.31597222222222082</v>
      </c>
      <c r="F6" s="80">
        <f>'Uke8'!F6 + E6</f>
        <v>0.69097222222222165</v>
      </c>
      <c r="G6" s="73"/>
      <c r="H6" s="153"/>
      <c r="I6" s="153"/>
      <c r="J6" s="102"/>
      <c r="K6" s="73"/>
      <c r="L6" s="73"/>
      <c r="M6" s="73"/>
      <c r="N6" s="73"/>
      <c r="O6" s="73"/>
      <c r="P6" s="73"/>
      <c r="Q6" s="73"/>
      <c r="R6" s="73"/>
      <c r="S6" s="73"/>
    </row>
    <row r="7" spans="1:19" ht="15.75" x14ac:dyDescent="0.25">
      <c r="A7" s="84">
        <f>SUM(E4:E7)</f>
        <v>0.72222222222222288</v>
      </c>
      <c r="B7" s="133"/>
      <c r="C7" s="84">
        <f>SUM(F4:F7)</f>
        <v>2.6041666666666674</v>
      </c>
      <c r="D7" s="85" t="s">
        <v>46</v>
      </c>
      <c r="E7" s="86">
        <f>D13+D19+D25+D29</f>
        <v>0.14930555555555591</v>
      </c>
      <c r="F7" s="84">
        <f>'Uke8'!F7 + E7</f>
        <v>0.71874999999999944</v>
      </c>
      <c r="G7" s="73"/>
      <c r="H7" s="153"/>
      <c r="I7" s="153"/>
      <c r="J7" s="102"/>
      <c r="K7" s="73"/>
      <c r="L7" s="73"/>
      <c r="M7" s="73"/>
      <c r="N7" s="73"/>
      <c r="O7" s="73"/>
      <c r="P7" s="73"/>
      <c r="Q7" s="73"/>
      <c r="R7" s="73"/>
      <c r="S7" s="73"/>
    </row>
    <row r="8" spans="1:19" x14ac:dyDescent="0.2">
      <c r="A8" s="73"/>
      <c r="B8" s="73"/>
      <c r="C8" s="73"/>
      <c r="D8" s="73"/>
      <c r="E8" s="73"/>
      <c r="F8" s="73"/>
      <c r="G8" s="73"/>
      <c r="H8" s="73"/>
      <c r="I8" s="73"/>
      <c r="J8" s="73"/>
      <c r="K8" s="73"/>
      <c r="L8" s="73"/>
      <c r="M8" s="73"/>
      <c r="N8" s="73"/>
      <c r="O8" s="73"/>
      <c r="P8" s="73"/>
      <c r="Q8" s="73"/>
      <c r="R8" s="73"/>
      <c r="S8" s="73"/>
    </row>
    <row r="9" spans="1:19" x14ac:dyDescent="0.2">
      <c r="A9" s="73"/>
      <c r="B9" s="73"/>
      <c r="C9" s="73"/>
      <c r="D9" s="73"/>
      <c r="E9" s="73"/>
      <c r="F9" s="73"/>
      <c r="G9" s="73"/>
      <c r="H9" s="73"/>
      <c r="I9" s="73"/>
      <c r="J9" s="73"/>
      <c r="K9" s="73"/>
      <c r="L9" s="73"/>
      <c r="M9" s="73"/>
      <c r="N9" s="73"/>
      <c r="O9" s="73"/>
      <c r="P9" s="73"/>
      <c r="Q9" s="73"/>
      <c r="R9" s="73"/>
      <c r="S9" s="73"/>
    </row>
    <row r="10" spans="1:19" ht="15.75" x14ac:dyDescent="0.25">
      <c r="A10" s="74" t="s">
        <v>12</v>
      </c>
      <c r="B10" s="74" t="s">
        <v>57</v>
      </c>
      <c r="C10" s="74" t="s">
        <v>58</v>
      </c>
      <c r="D10" s="74" t="s">
        <v>59</v>
      </c>
      <c r="E10" s="74" t="s">
        <v>47</v>
      </c>
      <c r="F10" s="74" t="s">
        <v>39</v>
      </c>
      <c r="G10" s="73"/>
      <c r="H10" s="73"/>
      <c r="I10" s="73"/>
      <c r="J10" s="73"/>
      <c r="K10" s="73"/>
      <c r="L10" s="73"/>
      <c r="M10" s="73"/>
      <c r="N10" s="73"/>
      <c r="O10" s="73"/>
      <c r="P10" s="73"/>
      <c r="Q10" s="73"/>
      <c r="R10" s="73"/>
      <c r="S10" s="73"/>
    </row>
    <row r="11" spans="1:19" ht="15.75" x14ac:dyDescent="0.25">
      <c r="A11" s="145">
        <v>43885</v>
      </c>
      <c r="B11" s="146">
        <v>0.59375</v>
      </c>
      <c r="C11" s="146">
        <v>0.625</v>
      </c>
      <c r="D11" s="146">
        <f t="shared" ref="D11:D29" si="0">C11-B11</f>
        <v>3.125E-2</v>
      </c>
      <c r="E11" s="147" t="s">
        <v>70</v>
      </c>
      <c r="F11" s="112"/>
      <c r="G11" s="73"/>
      <c r="H11" s="73"/>
      <c r="I11" s="73"/>
      <c r="J11" s="73"/>
      <c r="K11" s="73"/>
      <c r="L11" s="73"/>
      <c r="M11" s="73"/>
      <c r="N11" s="73"/>
      <c r="O11" s="73"/>
      <c r="P11" s="73"/>
      <c r="Q11" s="73"/>
      <c r="R11" s="73"/>
      <c r="S11" s="73"/>
    </row>
    <row r="12" spans="1:19" ht="78.75" x14ac:dyDescent="0.25">
      <c r="A12" s="103">
        <v>43885</v>
      </c>
      <c r="B12" s="104">
        <v>0.625</v>
      </c>
      <c r="C12" s="104">
        <v>0.65625</v>
      </c>
      <c r="D12" s="154">
        <f t="shared" si="0"/>
        <v>3.125E-2</v>
      </c>
      <c r="E12" s="105" t="s">
        <v>71</v>
      </c>
      <c r="F12" s="113">
        <v>3</v>
      </c>
      <c r="G12" s="73"/>
      <c r="H12" s="73"/>
      <c r="I12" s="73"/>
      <c r="J12" s="73"/>
      <c r="K12" s="73"/>
      <c r="L12" s="73"/>
      <c r="M12" s="73"/>
      <c r="N12" s="73"/>
      <c r="O12" s="73"/>
      <c r="P12" s="73"/>
      <c r="Q12" s="73"/>
      <c r="R12" s="73"/>
      <c r="S12" s="73"/>
    </row>
    <row r="13" spans="1:19" ht="15.75" x14ac:dyDescent="0.25">
      <c r="A13" s="92">
        <v>43885</v>
      </c>
      <c r="B13" s="93">
        <v>0.65625</v>
      </c>
      <c r="C13" s="93">
        <v>0.66319444444444398</v>
      </c>
      <c r="D13" s="149">
        <f t="shared" si="0"/>
        <v>6.9444444444439757E-3</v>
      </c>
      <c r="E13" s="94" t="s">
        <v>72</v>
      </c>
      <c r="F13" s="114"/>
      <c r="G13" s="73"/>
      <c r="H13" s="73"/>
      <c r="I13" s="73"/>
      <c r="J13" s="73"/>
      <c r="K13" s="73"/>
      <c r="L13" s="73"/>
      <c r="M13" s="73"/>
      <c r="N13" s="73"/>
      <c r="O13" s="73"/>
      <c r="P13" s="73"/>
      <c r="Q13" s="73"/>
      <c r="R13" s="73"/>
      <c r="S13" s="73"/>
    </row>
    <row r="14" spans="1:19" ht="78.75" x14ac:dyDescent="0.25">
      <c r="A14" s="109">
        <v>43886</v>
      </c>
      <c r="B14" s="110">
        <v>0.79166666666666696</v>
      </c>
      <c r="C14" s="110">
        <v>0.875</v>
      </c>
      <c r="D14" s="156">
        <f t="shared" si="0"/>
        <v>8.3333333333333037E-2</v>
      </c>
      <c r="E14" s="111" t="s">
        <v>73</v>
      </c>
      <c r="F14" s="114">
        <v>3</v>
      </c>
      <c r="G14" s="73"/>
      <c r="H14" s="73"/>
      <c r="I14" s="73"/>
      <c r="J14" s="73"/>
      <c r="K14" s="73"/>
      <c r="L14" s="73"/>
      <c r="M14" s="73"/>
      <c r="N14" s="73"/>
      <c r="O14" s="73"/>
      <c r="P14" s="73"/>
      <c r="Q14" s="73"/>
      <c r="R14" s="73"/>
      <c r="S14" s="73"/>
    </row>
    <row r="15" spans="1:19" ht="126" x14ac:dyDescent="0.25">
      <c r="A15" s="96">
        <v>43887</v>
      </c>
      <c r="B15" s="97">
        <v>0.41666666666666702</v>
      </c>
      <c r="C15" s="97">
        <v>0.44444444444444398</v>
      </c>
      <c r="D15" s="151">
        <f t="shared" si="0"/>
        <v>2.7777777777776957E-2</v>
      </c>
      <c r="E15" s="98" t="s">
        <v>74</v>
      </c>
      <c r="F15" s="114"/>
      <c r="G15" s="73"/>
      <c r="H15" s="73"/>
      <c r="I15" s="73"/>
      <c r="J15" s="73"/>
      <c r="K15" s="73"/>
      <c r="L15" s="73"/>
      <c r="M15" s="73"/>
      <c r="N15" s="73"/>
      <c r="O15" s="73"/>
      <c r="P15" s="73"/>
      <c r="Q15" s="73"/>
      <c r="R15" s="73"/>
      <c r="S15" s="73"/>
    </row>
    <row r="16" spans="1:19" ht="31.5" x14ac:dyDescent="0.25">
      <c r="A16" s="109">
        <v>43887</v>
      </c>
      <c r="B16" s="110">
        <v>0.44444444444444398</v>
      </c>
      <c r="C16" s="110">
        <v>0.46875</v>
      </c>
      <c r="D16" s="156">
        <f t="shared" si="0"/>
        <v>2.4305555555556024E-2</v>
      </c>
      <c r="E16" s="111" t="s">
        <v>75</v>
      </c>
      <c r="F16" s="114">
        <v>3</v>
      </c>
      <c r="G16" s="73"/>
      <c r="H16" s="73"/>
      <c r="I16" s="73"/>
      <c r="J16" s="73"/>
      <c r="K16" s="73"/>
      <c r="L16" s="73"/>
      <c r="M16" s="73"/>
      <c r="N16" s="73"/>
      <c r="O16" s="73"/>
      <c r="P16" s="73"/>
      <c r="Q16" s="73"/>
      <c r="R16" s="73"/>
      <c r="S16" s="73"/>
    </row>
    <row r="17" spans="1:19" ht="63" x14ac:dyDescent="0.25">
      <c r="A17" s="150">
        <v>43887</v>
      </c>
      <c r="B17" s="151">
        <v>0.46875</v>
      </c>
      <c r="C17" s="151">
        <v>0.47222222222222199</v>
      </c>
      <c r="D17" s="151">
        <f t="shared" si="0"/>
        <v>3.4722222222219878E-3</v>
      </c>
      <c r="E17" s="152" t="s">
        <v>76</v>
      </c>
      <c r="F17" s="115"/>
      <c r="G17" s="73"/>
      <c r="H17" s="73"/>
      <c r="I17" s="73"/>
      <c r="J17" s="73"/>
      <c r="K17" s="73"/>
      <c r="L17" s="73"/>
      <c r="M17" s="73"/>
      <c r="N17" s="73"/>
      <c r="O17" s="73"/>
      <c r="P17" s="73"/>
      <c r="Q17" s="73"/>
      <c r="R17" s="73"/>
      <c r="S17" s="73"/>
    </row>
    <row r="18" spans="1:19" ht="31.5" x14ac:dyDescent="0.25">
      <c r="A18" s="109">
        <v>43887</v>
      </c>
      <c r="B18" s="110">
        <v>0.47569444444444398</v>
      </c>
      <c r="C18" s="110">
        <v>0.47916666666666702</v>
      </c>
      <c r="D18" s="156">
        <f t="shared" si="0"/>
        <v>3.4722222222230426E-3</v>
      </c>
      <c r="E18" s="111" t="s">
        <v>77</v>
      </c>
      <c r="F18" s="115" t="s">
        <v>78</v>
      </c>
      <c r="G18" s="73"/>
      <c r="H18" s="73"/>
      <c r="I18" s="73"/>
      <c r="J18" s="73"/>
      <c r="K18" s="73"/>
      <c r="L18" s="73"/>
      <c r="M18" s="73"/>
      <c r="N18" s="73"/>
      <c r="O18" s="73"/>
      <c r="P18" s="73"/>
      <c r="Q18" s="73"/>
      <c r="R18" s="73"/>
      <c r="S18" s="73"/>
    </row>
    <row r="19" spans="1:19" ht="15.75" x14ac:dyDescent="0.25">
      <c r="A19" s="92">
        <v>43887</v>
      </c>
      <c r="B19" s="93">
        <v>0.5</v>
      </c>
      <c r="C19" s="93">
        <v>0.51041666666666696</v>
      </c>
      <c r="D19" s="149">
        <f t="shared" si="0"/>
        <v>1.0416666666666963E-2</v>
      </c>
      <c r="E19" s="94" t="s">
        <v>72</v>
      </c>
      <c r="F19" s="115"/>
      <c r="G19" s="73"/>
      <c r="H19" s="73"/>
      <c r="I19" s="73"/>
      <c r="J19" s="73"/>
      <c r="K19" s="73"/>
      <c r="L19" s="73"/>
      <c r="M19" s="73"/>
      <c r="N19" s="73"/>
      <c r="O19" s="73"/>
      <c r="P19" s="73"/>
      <c r="Q19" s="73"/>
      <c r="R19" s="73"/>
      <c r="S19" s="73"/>
    </row>
    <row r="20" spans="1:19" ht="15.75" x14ac:dyDescent="0.25">
      <c r="A20" s="44">
        <v>43887</v>
      </c>
      <c r="B20" s="159">
        <v>0.8125</v>
      </c>
      <c r="C20" s="159">
        <v>0.875</v>
      </c>
      <c r="D20" s="159">
        <f t="shared" si="0"/>
        <v>6.25E-2</v>
      </c>
      <c r="E20" s="46" t="s">
        <v>79</v>
      </c>
      <c r="F20" s="116"/>
      <c r="G20" s="73"/>
      <c r="H20" s="73"/>
      <c r="I20" s="73"/>
      <c r="J20" s="73"/>
      <c r="K20" s="73"/>
      <c r="L20" s="73"/>
      <c r="M20" s="73"/>
      <c r="N20" s="73"/>
      <c r="O20" s="73"/>
      <c r="P20" s="73"/>
      <c r="Q20" s="73"/>
      <c r="R20" s="73"/>
      <c r="S20" s="73"/>
    </row>
    <row r="21" spans="1:19" ht="31.5" x14ac:dyDescent="0.25">
      <c r="A21" s="117">
        <v>43888</v>
      </c>
      <c r="B21" s="118">
        <v>0.41666666666666702</v>
      </c>
      <c r="C21" s="118">
        <v>0.42708333333333298</v>
      </c>
      <c r="D21" s="160">
        <f t="shared" si="0"/>
        <v>1.0416666666665964E-2</v>
      </c>
      <c r="E21" s="119" t="s">
        <v>80</v>
      </c>
      <c r="F21" s="116"/>
      <c r="G21" s="73"/>
      <c r="H21" s="73"/>
      <c r="I21" s="73"/>
      <c r="J21" s="73"/>
      <c r="K21" s="73"/>
      <c r="L21" s="73"/>
      <c r="M21" s="73"/>
      <c r="N21" s="73"/>
      <c r="O21" s="73"/>
      <c r="P21" s="73"/>
      <c r="Q21" s="73"/>
      <c r="R21" s="73"/>
      <c r="S21" s="73"/>
    </row>
    <row r="22" spans="1:19" ht="15.75" x14ac:dyDescent="0.25">
      <c r="A22" s="109">
        <v>43888</v>
      </c>
      <c r="B22" s="110">
        <v>0.42708333333333298</v>
      </c>
      <c r="C22" s="110">
        <v>0.47916666666666702</v>
      </c>
      <c r="D22" s="156">
        <f t="shared" si="0"/>
        <v>5.2083333333334036E-2</v>
      </c>
      <c r="E22" s="111" t="s">
        <v>81</v>
      </c>
      <c r="F22" s="115" t="s">
        <v>78</v>
      </c>
      <c r="G22" s="73"/>
      <c r="H22" s="73"/>
      <c r="I22" s="73"/>
      <c r="J22" s="73"/>
      <c r="K22" s="73"/>
      <c r="L22" s="73"/>
      <c r="M22" s="73"/>
      <c r="N22" s="73"/>
      <c r="O22" s="73"/>
      <c r="P22" s="73"/>
      <c r="Q22" s="73"/>
      <c r="R22" s="73"/>
      <c r="S22" s="73"/>
    </row>
    <row r="23" spans="1:19" ht="47.25" x14ac:dyDescent="0.25">
      <c r="A23" s="96">
        <v>43889</v>
      </c>
      <c r="B23" s="97">
        <v>0.5</v>
      </c>
      <c r="C23" s="97">
        <v>0.5625</v>
      </c>
      <c r="D23" s="151">
        <f t="shared" si="0"/>
        <v>6.25E-2</v>
      </c>
      <c r="E23" s="98" t="s">
        <v>82</v>
      </c>
      <c r="F23" s="115"/>
      <c r="G23" s="73"/>
      <c r="H23" s="73"/>
      <c r="I23" s="73"/>
      <c r="J23" s="73"/>
      <c r="K23" s="73"/>
      <c r="L23" s="73"/>
      <c r="M23" s="73"/>
      <c r="N23" s="73"/>
      <c r="O23" s="73"/>
      <c r="P23" s="73"/>
      <c r="Q23" s="73"/>
      <c r="R23" s="73"/>
      <c r="S23" s="73"/>
    </row>
    <row r="24" spans="1:19" ht="31.5" x14ac:dyDescent="0.25">
      <c r="A24" s="96">
        <v>43890</v>
      </c>
      <c r="B24" s="97">
        <v>0.5</v>
      </c>
      <c r="C24" s="97">
        <v>0.51388888888888895</v>
      </c>
      <c r="D24" s="151">
        <f t="shared" si="0"/>
        <v>1.3888888888888951E-2</v>
      </c>
      <c r="E24" s="98" t="s">
        <v>83</v>
      </c>
      <c r="F24" s="115"/>
      <c r="G24" s="73"/>
      <c r="H24" s="73"/>
      <c r="I24" s="73"/>
      <c r="J24" s="73"/>
      <c r="K24" s="73"/>
      <c r="L24" s="73"/>
      <c r="M24" s="73"/>
      <c r="N24" s="73"/>
      <c r="O24" s="73"/>
      <c r="P24" s="73"/>
      <c r="Q24" s="73"/>
      <c r="R24" s="73"/>
      <c r="S24" s="73"/>
    </row>
    <row r="25" spans="1:19" ht="15.75" customHeight="1" x14ac:dyDescent="0.25">
      <c r="A25" s="161">
        <v>43890</v>
      </c>
      <c r="B25" s="162">
        <v>0.51388888888888895</v>
      </c>
      <c r="C25" s="162">
        <v>0.5625</v>
      </c>
      <c r="D25" s="162">
        <f t="shared" si="0"/>
        <v>4.8611111111111049E-2</v>
      </c>
      <c r="E25" s="163" t="s">
        <v>84</v>
      </c>
      <c r="F25" s="120"/>
      <c r="G25" s="73"/>
      <c r="H25" s="73"/>
      <c r="I25" s="73"/>
      <c r="J25" s="73"/>
      <c r="K25" s="73"/>
      <c r="L25" s="73"/>
      <c r="M25" s="73"/>
      <c r="N25" s="73"/>
      <c r="O25" s="73"/>
      <c r="P25" s="73"/>
      <c r="Q25" s="73"/>
      <c r="R25" s="73"/>
      <c r="S25" s="73"/>
    </row>
    <row r="26" spans="1:19" ht="47.25" x14ac:dyDescent="0.25">
      <c r="A26" s="117">
        <v>43890</v>
      </c>
      <c r="B26" s="118">
        <v>0.5625</v>
      </c>
      <c r="C26" s="118">
        <v>0.625</v>
      </c>
      <c r="D26" s="160">
        <f t="shared" si="0"/>
        <v>6.25E-2</v>
      </c>
      <c r="E26" s="119" t="s">
        <v>85</v>
      </c>
      <c r="F26" s="120"/>
      <c r="G26" s="73"/>
      <c r="H26" s="73"/>
      <c r="I26" s="73"/>
      <c r="J26" s="73"/>
      <c r="K26" s="73"/>
      <c r="L26" s="73"/>
      <c r="M26" s="73"/>
      <c r="N26" s="73"/>
      <c r="O26" s="73"/>
      <c r="P26" s="73"/>
      <c r="Q26" s="73"/>
      <c r="R26" s="73"/>
      <c r="S26" s="73"/>
    </row>
    <row r="27" spans="1:19" ht="31.5" x14ac:dyDescent="0.25">
      <c r="A27" s="96">
        <v>43890</v>
      </c>
      <c r="B27" s="97">
        <v>0.64583333333333304</v>
      </c>
      <c r="C27" s="97">
        <v>0.68055555555555503</v>
      </c>
      <c r="D27" s="151">
        <f t="shared" si="0"/>
        <v>3.4722222222221988E-2</v>
      </c>
      <c r="E27" s="98" t="s">
        <v>86</v>
      </c>
      <c r="F27" s="121"/>
      <c r="G27" s="73"/>
      <c r="H27" s="73"/>
      <c r="I27" s="73"/>
      <c r="J27" s="73"/>
      <c r="K27" s="73"/>
      <c r="L27" s="73"/>
      <c r="M27" s="73"/>
      <c r="N27" s="73"/>
      <c r="O27" s="73"/>
      <c r="P27" s="73"/>
      <c r="Q27" s="73"/>
      <c r="R27" s="73"/>
      <c r="S27" s="73"/>
    </row>
    <row r="28" spans="1:19" ht="31.5" x14ac:dyDescent="0.25">
      <c r="A28" s="96">
        <v>43890</v>
      </c>
      <c r="B28" s="97">
        <v>0.68055555555555503</v>
      </c>
      <c r="C28" s="97">
        <v>0.75</v>
      </c>
      <c r="D28" s="151">
        <f t="shared" si="0"/>
        <v>6.9444444444444975E-2</v>
      </c>
      <c r="E28" s="98" t="s">
        <v>87</v>
      </c>
      <c r="F28" s="122"/>
      <c r="G28" s="73"/>
      <c r="H28" s="73"/>
      <c r="I28" s="73"/>
      <c r="J28" s="73"/>
      <c r="K28" s="73"/>
      <c r="L28" s="73"/>
      <c r="M28" s="73"/>
      <c r="N28" s="73"/>
      <c r="O28" s="73"/>
      <c r="P28" s="73"/>
      <c r="Q28" s="73"/>
      <c r="R28" s="73"/>
      <c r="S28" s="73"/>
    </row>
    <row r="29" spans="1:19" ht="31.5" x14ac:dyDescent="0.25">
      <c r="A29" s="92">
        <v>43890</v>
      </c>
      <c r="B29" s="93">
        <v>0.83333333333333304</v>
      </c>
      <c r="C29" s="93">
        <v>0.91666666666666696</v>
      </c>
      <c r="D29" s="149">
        <f t="shared" si="0"/>
        <v>8.3333333333333925E-2</v>
      </c>
      <c r="E29" s="94" t="s">
        <v>88</v>
      </c>
      <c r="F29" s="123"/>
      <c r="G29" s="73"/>
      <c r="H29" s="73"/>
      <c r="I29" s="73"/>
      <c r="J29" s="73"/>
      <c r="K29" s="73"/>
      <c r="L29" s="73"/>
      <c r="M29" s="73"/>
      <c r="N29" s="73"/>
      <c r="O29" s="73"/>
      <c r="P29" s="73"/>
      <c r="Q29" s="73"/>
      <c r="R29" s="73"/>
      <c r="S29" s="73"/>
    </row>
    <row r="30" spans="1:19" x14ac:dyDescent="0.2">
      <c r="A30" s="73"/>
      <c r="B30" s="73"/>
      <c r="C30" s="73"/>
      <c r="D30" s="73"/>
      <c r="E30" s="73"/>
      <c r="F30" s="73"/>
      <c r="G30" s="73"/>
      <c r="H30" s="73"/>
      <c r="I30" s="73"/>
      <c r="J30" s="73"/>
      <c r="K30" s="73"/>
      <c r="L30" s="73"/>
      <c r="M30" s="73"/>
      <c r="N30" s="73"/>
      <c r="O30" s="73"/>
      <c r="P30" s="73"/>
      <c r="Q30" s="73"/>
      <c r="R30" s="73"/>
      <c r="S30" s="73"/>
    </row>
    <row r="31" spans="1:19" x14ac:dyDescent="0.2">
      <c r="A31" s="73"/>
      <c r="B31" s="73"/>
      <c r="C31" s="73"/>
      <c r="D31" s="73"/>
      <c r="E31" s="73"/>
      <c r="F31" s="73"/>
      <c r="G31" s="73"/>
      <c r="H31" s="73"/>
      <c r="I31" s="73"/>
      <c r="J31" s="73"/>
      <c r="K31" s="73"/>
      <c r="L31" s="73"/>
      <c r="M31" s="73"/>
      <c r="N31" s="73"/>
      <c r="O31" s="73"/>
      <c r="P31" s="73"/>
      <c r="Q31" s="73"/>
      <c r="R31" s="73"/>
      <c r="S31" s="73"/>
    </row>
    <row r="32" spans="1:19" x14ac:dyDescent="0.2">
      <c r="A32" s="73"/>
      <c r="B32" s="73"/>
      <c r="C32" s="73"/>
      <c r="D32" s="73"/>
      <c r="E32" s="73"/>
      <c r="F32" s="73"/>
      <c r="G32" s="73"/>
      <c r="H32" s="73"/>
      <c r="I32" s="73"/>
      <c r="J32" s="73"/>
      <c r="K32" s="73"/>
      <c r="L32" s="73"/>
      <c r="M32" s="73"/>
      <c r="N32" s="73"/>
      <c r="O32" s="73"/>
      <c r="P32" s="73"/>
      <c r="Q32" s="73"/>
      <c r="R32" s="73"/>
      <c r="S32" s="73"/>
    </row>
    <row r="33" spans="1:19" x14ac:dyDescent="0.2">
      <c r="A33" s="73"/>
      <c r="B33" s="73"/>
      <c r="C33" s="73"/>
      <c r="D33" s="73"/>
      <c r="E33" s="73"/>
      <c r="F33" s="73"/>
      <c r="G33" s="73"/>
      <c r="H33" s="73"/>
      <c r="I33" s="73"/>
      <c r="J33" s="73"/>
      <c r="K33" s="73"/>
      <c r="L33" s="73"/>
      <c r="M33" s="73"/>
      <c r="N33" s="73"/>
      <c r="O33" s="73"/>
      <c r="P33" s="73"/>
      <c r="Q33" s="73"/>
      <c r="R33" s="73"/>
      <c r="S33" s="73"/>
    </row>
    <row r="34" spans="1:19" x14ac:dyDescent="0.2">
      <c r="A34" s="237" t="s">
        <v>23</v>
      </c>
      <c r="B34" s="237"/>
      <c r="C34" s="237"/>
      <c r="D34" s="237"/>
      <c r="E34" s="237"/>
      <c r="F34" s="237"/>
      <c r="G34" s="73"/>
      <c r="H34" s="73"/>
      <c r="I34" s="73"/>
      <c r="J34" s="73"/>
      <c r="K34" s="73"/>
      <c r="L34" s="73"/>
      <c r="M34" s="73"/>
      <c r="N34" s="73"/>
      <c r="O34" s="73"/>
      <c r="P34" s="73"/>
      <c r="Q34" s="73"/>
      <c r="R34" s="73"/>
      <c r="S34" s="73"/>
    </row>
    <row r="35" spans="1:19" x14ac:dyDescent="0.2">
      <c r="A35" s="237"/>
      <c r="B35" s="237"/>
      <c r="C35" s="237"/>
      <c r="D35" s="237"/>
      <c r="E35" s="237"/>
      <c r="F35" s="237"/>
      <c r="G35" s="73"/>
      <c r="H35" s="73"/>
      <c r="I35" s="73"/>
      <c r="J35" s="73"/>
      <c r="K35" s="73"/>
      <c r="L35" s="73"/>
      <c r="M35" s="73"/>
      <c r="N35" s="73"/>
      <c r="O35" s="73"/>
      <c r="P35" s="73"/>
      <c r="Q35" s="73"/>
      <c r="R35" s="73"/>
      <c r="S35" s="73"/>
    </row>
    <row r="36" spans="1:19" x14ac:dyDescent="0.2">
      <c r="A36" s="73"/>
      <c r="B36" s="73"/>
      <c r="C36" s="73"/>
      <c r="D36" s="73"/>
      <c r="E36" s="73"/>
      <c r="F36" s="73"/>
      <c r="G36" s="73"/>
      <c r="H36" s="73"/>
      <c r="I36" s="73"/>
      <c r="J36" s="73"/>
      <c r="K36" s="73"/>
      <c r="L36" s="73"/>
      <c r="M36" s="73"/>
      <c r="N36" s="73"/>
      <c r="O36" s="73"/>
      <c r="P36" s="73"/>
      <c r="Q36" s="73"/>
      <c r="R36" s="73"/>
      <c r="S36" s="73"/>
    </row>
    <row r="37" spans="1:19" ht="139.5" customHeight="1" x14ac:dyDescent="0.2">
      <c r="A37" s="236" t="s">
        <v>89</v>
      </c>
      <c r="B37" s="236"/>
      <c r="C37" s="236"/>
      <c r="D37" s="236"/>
      <c r="E37" s="236"/>
      <c r="F37" s="236"/>
      <c r="G37" s="73"/>
      <c r="H37" s="73"/>
      <c r="I37" s="73"/>
      <c r="J37" s="73"/>
      <c r="K37" s="73"/>
      <c r="L37" s="73"/>
      <c r="M37" s="73"/>
      <c r="N37" s="73"/>
      <c r="O37" s="73"/>
      <c r="P37" s="73"/>
      <c r="Q37" s="73"/>
      <c r="R37" s="73"/>
      <c r="S37" s="73"/>
    </row>
    <row r="38" spans="1:19" ht="129.94999999999999" customHeight="1" x14ac:dyDescent="0.2">
      <c r="A38" s="236"/>
      <c r="B38" s="236"/>
      <c r="C38" s="236"/>
      <c r="D38" s="236"/>
      <c r="E38" s="236"/>
      <c r="F38" s="236"/>
      <c r="G38" s="73"/>
      <c r="H38" s="73"/>
      <c r="I38" s="73"/>
      <c r="J38" s="73"/>
      <c r="K38" s="73"/>
      <c r="L38" s="73"/>
      <c r="M38" s="73"/>
      <c r="N38" s="73"/>
      <c r="O38" s="73"/>
      <c r="P38" s="73"/>
      <c r="Q38" s="73"/>
      <c r="R38" s="73"/>
      <c r="S38" s="73"/>
    </row>
    <row r="39" spans="1:19" ht="108.2" customHeight="1" x14ac:dyDescent="0.2">
      <c r="A39" s="236"/>
      <c r="B39" s="236"/>
      <c r="C39" s="236"/>
      <c r="D39" s="236"/>
      <c r="E39" s="236"/>
      <c r="F39" s="236"/>
      <c r="G39" s="73"/>
      <c r="H39" s="73"/>
      <c r="I39" s="73"/>
      <c r="J39" s="73"/>
      <c r="K39" s="73"/>
      <c r="L39" s="73"/>
      <c r="M39" s="73"/>
      <c r="N39" s="73"/>
      <c r="O39" s="73"/>
      <c r="P39" s="73"/>
      <c r="Q39" s="73"/>
      <c r="R39" s="73"/>
      <c r="S39" s="73"/>
    </row>
    <row r="40" spans="1:19" ht="48.6" customHeight="1" x14ac:dyDescent="0.2">
      <c r="A40" s="236"/>
      <c r="B40" s="236"/>
      <c r="C40" s="236"/>
      <c r="D40" s="236"/>
      <c r="E40" s="236"/>
      <c r="F40" s="236"/>
      <c r="G40" s="73"/>
      <c r="H40" s="73"/>
      <c r="I40" s="73"/>
      <c r="J40" s="73"/>
      <c r="K40" s="73"/>
      <c r="L40" s="73"/>
      <c r="M40" s="73"/>
      <c r="N40" s="73"/>
      <c r="O40" s="73"/>
      <c r="P40" s="73"/>
      <c r="Q40" s="73"/>
      <c r="R40" s="73"/>
      <c r="S40" s="73"/>
    </row>
    <row r="41" spans="1:19" x14ac:dyDescent="0.2">
      <c r="A41" s="236"/>
      <c r="B41" s="236"/>
      <c r="C41" s="236"/>
      <c r="D41" s="236"/>
      <c r="E41" s="236"/>
      <c r="F41" s="236"/>
      <c r="G41" s="73"/>
      <c r="H41" s="73"/>
      <c r="I41" s="73"/>
      <c r="J41" s="73"/>
      <c r="K41" s="73"/>
      <c r="L41" s="73"/>
      <c r="M41" s="73"/>
      <c r="N41" s="73"/>
      <c r="O41" s="73"/>
      <c r="P41" s="73"/>
      <c r="Q41" s="73"/>
      <c r="R41" s="73"/>
      <c r="S41" s="73"/>
    </row>
    <row r="42" spans="1:19" x14ac:dyDescent="0.2">
      <c r="A42" s="236"/>
      <c r="B42" s="236"/>
      <c r="C42" s="236"/>
      <c r="D42" s="236"/>
      <c r="E42" s="236"/>
      <c r="F42" s="236"/>
      <c r="G42" s="73"/>
      <c r="H42" s="73"/>
      <c r="I42" s="73"/>
      <c r="J42" s="73"/>
      <c r="K42" s="73"/>
      <c r="L42" s="73"/>
      <c r="M42" s="73"/>
      <c r="N42" s="73"/>
      <c r="O42" s="73"/>
      <c r="P42" s="73"/>
      <c r="Q42" s="73"/>
      <c r="R42" s="73"/>
      <c r="S42" s="73"/>
    </row>
    <row r="43" spans="1:19" x14ac:dyDescent="0.2">
      <c r="A43" s="236"/>
      <c r="B43" s="236"/>
      <c r="C43" s="236"/>
      <c r="D43" s="236"/>
      <c r="E43" s="236"/>
      <c r="F43" s="236"/>
      <c r="G43" s="73"/>
      <c r="H43" s="73"/>
      <c r="I43" s="73"/>
      <c r="J43" s="73"/>
      <c r="K43" s="73"/>
      <c r="L43" s="73"/>
      <c r="M43" s="73"/>
      <c r="N43" s="73"/>
      <c r="O43" s="73"/>
      <c r="P43" s="73"/>
      <c r="Q43" s="73"/>
      <c r="R43" s="73"/>
      <c r="S43" s="73"/>
    </row>
    <row r="44" spans="1:19" x14ac:dyDescent="0.2">
      <c r="A44" s="236"/>
      <c r="B44" s="236"/>
      <c r="C44" s="236"/>
      <c r="D44" s="236"/>
      <c r="E44" s="236"/>
      <c r="F44" s="236"/>
      <c r="G44" s="73"/>
      <c r="H44" s="73"/>
      <c r="I44" s="73"/>
      <c r="J44" s="73"/>
      <c r="K44" s="73"/>
      <c r="L44" s="73"/>
      <c r="M44" s="73"/>
      <c r="N44" s="73"/>
      <c r="O44" s="73"/>
      <c r="P44" s="73"/>
      <c r="Q44" s="73"/>
      <c r="R44" s="73"/>
      <c r="S44" s="73"/>
    </row>
    <row r="45" spans="1:19" x14ac:dyDescent="0.2">
      <c r="A45" s="236"/>
      <c r="B45" s="236"/>
      <c r="C45" s="236"/>
      <c r="D45" s="236"/>
      <c r="E45" s="236"/>
      <c r="F45" s="236"/>
      <c r="G45" s="73"/>
      <c r="H45" s="73"/>
      <c r="I45" s="73"/>
      <c r="J45" s="73"/>
      <c r="K45" s="73"/>
      <c r="L45" s="73"/>
      <c r="M45" s="73"/>
      <c r="N45" s="73"/>
      <c r="O45" s="73"/>
      <c r="P45" s="73"/>
      <c r="Q45" s="73"/>
      <c r="R45" s="73"/>
      <c r="S45" s="73"/>
    </row>
    <row r="46" spans="1:19" x14ac:dyDescent="0.2">
      <c r="A46" s="236"/>
      <c r="B46" s="236"/>
      <c r="C46" s="236"/>
      <c r="D46" s="236"/>
      <c r="E46" s="236"/>
      <c r="F46" s="236"/>
      <c r="G46" s="73"/>
      <c r="H46" s="73"/>
      <c r="I46" s="73"/>
      <c r="J46" s="73"/>
      <c r="K46" s="73"/>
      <c r="L46" s="73"/>
      <c r="M46" s="73"/>
      <c r="N46" s="73"/>
      <c r="O46" s="73"/>
      <c r="P46" s="73"/>
      <c r="Q46" s="73"/>
      <c r="R46" s="73"/>
      <c r="S46" s="73"/>
    </row>
    <row r="47" spans="1:19" x14ac:dyDescent="0.2">
      <c r="A47" s="236"/>
      <c r="B47" s="236"/>
      <c r="C47" s="236"/>
      <c r="D47" s="236"/>
      <c r="E47" s="236"/>
      <c r="F47" s="236"/>
      <c r="G47" s="73"/>
      <c r="H47" s="73"/>
      <c r="I47" s="73"/>
      <c r="J47" s="73"/>
      <c r="K47" s="73"/>
      <c r="L47" s="73"/>
      <c r="M47" s="73"/>
      <c r="N47" s="73"/>
      <c r="O47" s="73"/>
      <c r="P47" s="73"/>
      <c r="Q47" s="73"/>
      <c r="R47" s="73"/>
      <c r="S47" s="73"/>
    </row>
    <row r="48" spans="1:19" x14ac:dyDescent="0.2">
      <c r="A48" s="73"/>
      <c r="B48" s="73"/>
      <c r="C48" s="73"/>
      <c r="D48" s="73"/>
      <c r="E48" s="73"/>
      <c r="F48" s="73"/>
      <c r="G48" s="73"/>
      <c r="H48" s="73"/>
      <c r="I48" s="73"/>
      <c r="J48" s="73"/>
      <c r="K48" s="73"/>
      <c r="L48" s="73"/>
      <c r="M48" s="73"/>
      <c r="N48" s="73"/>
      <c r="O48" s="73"/>
      <c r="P48" s="73"/>
      <c r="Q48" s="73"/>
      <c r="R48" s="73"/>
      <c r="S48" s="73"/>
    </row>
    <row r="49" spans="1:19" x14ac:dyDescent="0.2">
      <c r="A49" s="73"/>
      <c r="B49" s="73"/>
      <c r="C49" s="73"/>
      <c r="D49" s="73"/>
      <c r="E49" s="73"/>
      <c r="F49" s="73"/>
      <c r="G49" s="73"/>
      <c r="H49" s="73"/>
      <c r="I49" s="73"/>
      <c r="J49" s="73"/>
      <c r="K49" s="73"/>
      <c r="L49" s="73"/>
      <c r="M49" s="73"/>
      <c r="N49" s="73"/>
      <c r="O49" s="73"/>
      <c r="P49" s="73"/>
      <c r="Q49" s="73"/>
      <c r="R49" s="73"/>
      <c r="S49" s="73"/>
    </row>
    <row r="50" spans="1:19" x14ac:dyDescent="0.2">
      <c r="A50" s="73"/>
      <c r="B50" s="73"/>
      <c r="C50" s="73"/>
      <c r="D50" s="73"/>
      <c r="E50" s="73"/>
      <c r="F50" s="73"/>
      <c r="G50" s="73"/>
      <c r="H50" s="73"/>
      <c r="I50" s="73"/>
      <c r="J50" s="73"/>
      <c r="K50" s="73"/>
      <c r="L50" s="73"/>
      <c r="M50" s="73"/>
      <c r="N50" s="73"/>
      <c r="O50" s="73"/>
      <c r="P50" s="73"/>
      <c r="Q50" s="73"/>
      <c r="R50" s="73"/>
      <c r="S50" s="73"/>
    </row>
    <row r="51" spans="1:19" x14ac:dyDescent="0.2">
      <c r="A51" s="73"/>
      <c r="B51" s="73"/>
      <c r="C51" s="73"/>
      <c r="D51" s="73"/>
      <c r="E51" s="73"/>
      <c r="F51" s="73"/>
      <c r="G51" s="73"/>
      <c r="H51" s="73"/>
      <c r="I51" s="73"/>
      <c r="J51" s="73"/>
      <c r="K51" s="73"/>
      <c r="L51" s="73"/>
      <c r="M51" s="73"/>
      <c r="N51" s="73"/>
      <c r="O51" s="73"/>
      <c r="P51" s="73"/>
      <c r="Q51" s="73"/>
      <c r="R51" s="73"/>
      <c r="S51" s="73"/>
    </row>
    <row r="52" spans="1:19" x14ac:dyDescent="0.2">
      <c r="A52" s="73"/>
      <c r="B52" s="73"/>
      <c r="C52" s="73"/>
      <c r="D52" s="73"/>
      <c r="E52" s="73"/>
      <c r="F52" s="73"/>
      <c r="G52" s="73"/>
      <c r="H52" s="73"/>
      <c r="I52" s="73"/>
      <c r="J52" s="73"/>
      <c r="K52" s="73"/>
      <c r="L52" s="73"/>
      <c r="M52" s="73"/>
      <c r="N52" s="73"/>
      <c r="O52" s="73"/>
      <c r="P52" s="73"/>
      <c r="Q52" s="73"/>
      <c r="R52" s="73"/>
      <c r="S52" s="73"/>
    </row>
    <row r="53" spans="1:19" ht="15" x14ac:dyDescent="0.2">
      <c r="A53" s="73"/>
      <c r="B53" s="101"/>
      <c r="C53" s="101"/>
      <c r="D53" s="101"/>
      <c r="E53" s="101"/>
      <c r="F53" s="101"/>
      <c r="G53" s="73"/>
      <c r="H53" s="73"/>
      <c r="I53" s="73"/>
      <c r="J53" s="73"/>
      <c r="K53" s="73"/>
      <c r="L53" s="73"/>
      <c r="M53" s="73"/>
      <c r="N53" s="73"/>
      <c r="O53" s="73"/>
      <c r="P53" s="73"/>
      <c r="Q53" s="73"/>
      <c r="R53" s="73"/>
      <c r="S53" s="73"/>
    </row>
    <row r="54" spans="1:19" ht="15" x14ac:dyDescent="0.2">
      <c r="B54" s="72"/>
      <c r="C54" s="72"/>
      <c r="D54" s="72"/>
      <c r="E54" s="72"/>
      <c r="F54" s="72"/>
    </row>
  </sheetData>
  <mergeCells count="5">
    <mergeCell ref="A1:F2"/>
    <mergeCell ref="A5:A6"/>
    <mergeCell ref="C5:C6"/>
    <mergeCell ref="A34:F35"/>
    <mergeCell ref="A37:F47"/>
  </mergeCells>
  <conditionalFormatting sqref="A3">
    <cfRule type="expression" dxfId="11" priority="2">
      <formula>LEN(TRIM(#REF!))&gt;0</formula>
    </cfRule>
  </conditionalFormatting>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S54"/>
  <sheetViews>
    <sheetView zoomScaleNormal="100" workbookViewId="0">
      <selection activeCell="A29" sqref="A29:F39"/>
    </sheetView>
  </sheetViews>
  <sheetFormatPr baseColWidth="10" defaultColWidth="9.140625" defaultRowHeight="12.75" x14ac:dyDescent="0.2"/>
  <cols>
    <col min="1" max="1" width="15.5703125" customWidth="1"/>
    <col min="2" max="2" width="11.5703125"/>
    <col min="3" max="3" width="19" customWidth="1"/>
    <col min="4" max="4" width="19.140625" customWidth="1"/>
    <col min="5" max="5" width="33.85546875" customWidth="1"/>
    <col min="6" max="6" width="18.7109375" customWidth="1"/>
    <col min="7" max="7" width="16.28515625" customWidth="1"/>
    <col min="8" max="1025" width="14.42578125" customWidth="1"/>
  </cols>
  <sheetData>
    <row r="1" spans="1:19" ht="15.75" customHeight="1" x14ac:dyDescent="0.2">
      <c r="A1" s="232" t="s">
        <v>90</v>
      </c>
      <c r="B1" s="232"/>
      <c r="C1" s="232"/>
      <c r="D1" s="232"/>
      <c r="E1" s="232"/>
      <c r="F1" s="232"/>
      <c r="G1" s="73"/>
      <c r="H1" s="73"/>
      <c r="I1" s="73"/>
      <c r="J1" s="73"/>
      <c r="K1" s="73"/>
      <c r="L1" s="73"/>
      <c r="M1" s="73"/>
      <c r="N1" s="73"/>
      <c r="O1" s="73"/>
      <c r="P1" s="73"/>
      <c r="Q1" s="73"/>
      <c r="R1" s="73"/>
      <c r="S1" s="73"/>
    </row>
    <row r="2" spans="1:19" ht="15.75" customHeight="1" x14ac:dyDescent="0.2">
      <c r="A2" s="232"/>
      <c r="B2" s="232"/>
      <c r="C2" s="232"/>
      <c r="D2" s="232"/>
      <c r="E2" s="232"/>
      <c r="F2" s="232"/>
      <c r="G2" s="73"/>
      <c r="H2" s="73"/>
      <c r="I2" s="73"/>
      <c r="J2" s="73"/>
      <c r="K2" s="73"/>
      <c r="L2" s="73"/>
      <c r="M2" s="73"/>
      <c r="N2" s="73"/>
      <c r="O2" s="73"/>
      <c r="P2" s="73"/>
      <c r="Q2" s="73"/>
      <c r="R2" s="73"/>
      <c r="S2" s="73"/>
    </row>
    <row r="3" spans="1:19" ht="15.75" customHeight="1" x14ac:dyDescent="0.25">
      <c r="A3" s="74" t="s">
        <v>1</v>
      </c>
      <c r="B3" s="73"/>
      <c r="C3" s="74" t="s">
        <v>2</v>
      </c>
      <c r="D3" s="75" t="s">
        <v>3</v>
      </c>
      <c r="E3" s="74" t="s">
        <v>4</v>
      </c>
      <c r="F3" s="74" t="s">
        <v>5</v>
      </c>
      <c r="G3" s="73"/>
      <c r="H3" s="73"/>
      <c r="I3" s="73"/>
      <c r="J3" s="73"/>
      <c r="K3" s="73"/>
      <c r="L3" s="73"/>
      <c r="M3" s="73"/>
      <c r="N3" s="73"/>
      <c r="O3" s="73"/>
      <c r="P3" s="73"/>
      <c r="Q3" s="73"/>
      <c r="R3" s="73"/>
      <c r="S3" s="73"/>
    </row>
    <row r="4" spans="1:19" ht="15.75" customHeight="1" x14ac:dyDescent="0.25">
      <c r="A4" s="76">
        <v>43892</v>
      </c>
      <c r="B4" s="77"/>
      <c r="C4" s="76">
        <v>43898</v>
      </c>
      <c r="D4" s="78" t="s">
        <v>6</v>
      </c>
      <c r="E4" s="79">
        <f>I4</f>
        <v>0</v>
      </c>
      <c r="F4" s="80">
        <f>'Uke9'!F4 + E4</f>
        <v>0.94791666666666707</v>
      </c>
      <c r="G4" s="73"/>
      <c r="H4" s="153"/>
      <c r="I4" s="124">
        <f>B11-B11</f>
        <v>0</v>
      </c>
      <c r="J4" s="102"/>
      <c r="K4" s="73"/>
      <c r="L4" s="73"/>
      <c r="M4" s="73"/>
      <c r="N4" s="73"/>
      <c r="O4" s="73"/>
      <c r="P4" s="73"/>
      <c r="Q4" s="73"/>
      <c r="R4" s="73"/>
      <c r="S4" s="73"/>
    </row>
    <row r="5" spans="1:19" ht="15" customHeight="1" x14ac:dyDescent="0.25">
      <c r="A5" s="233" t="s">
        <v>7</v>
      </c>
      <c r="B5" s="73"/>
      <c r="C5" s="233" t="s">
        <v>8</v>
      </c>
      <c r="D5" s="82" t="s">
        <v>9</v>
      </c>
      <c r="E5" s="79">
        <f>D13+D16</f>
        <v>8.3333333333333037E-2</v>
      </c>
      <c r="F5" s="80">
        <f>'Uke9'!F5 + E5</f>
        <v>0.32986111111111222</v>
      </c>
      <c r="G5" s="73"/>
      <c r="H5" s="153"/>
      <c r="I5" s="73"/>
      <c r="J5" s="73"/>
      <c r="K5" s="73"/>
      <c r="L5" s="73"/>
      <c r="M5" s="73"/>
      <c r="N5" s="73"/>
      <c r="O5" s="73"/>
      <c r="P5" s="73"/>
      <c r="Q5" s="73"/>
      <c r="R5" s="73"/>
      <c r="S5" s="73"/>
    </row>
    <row r="6" spans="1:19" ht="15.75" customHeight="1" x14ac:dyDescent="0.25">
      <c r="A6" s="233"/>
      <c r="B6" s="73"/>
      <c r="C6" s="233"/>
      <c r="D6" s="83" t="s">
        <v>10</v>
      </c>
      <c r="E6" s="80">
        <f>D11+D15+D17+D18+D19+D20+D21</f>
        <v>0.19791666666666696</v>
      </c>
      <c r="F6" s="80">
        <f>'Uke9'!F6 + E6</f>
        <v>0.88888888888888862</v>
      </c>
      <c r="G6" s="73"/>
      <c r="H6" s="153"/>
      <c r="I6" s="153"/>
      <c r="J6" s="102"/>
      <c r="K6" s="73"/>
      <c r="L6" s="73"/>
      <c r="M6" s="73"/>
      <c r="N6" s="73"/>
      <c r="O6" s="73"/>
      <c r="P6" s="73"/>
      <c r="Q6" s="73"/>
      <c r="R6" s="73"/>
      <c r="S6" s="73"/>
    </row>
    <row r="7" spans="1:19" ht="15.75" x14ac:dyDescent="0.25">
      <c r="A7" s="84">
        <f>SUM(E4:E7)</f>
        <v>0.32291666666666707</v>
      </c>
      <c r="B7" s="77"/>
      <c r="C7" s="84">
        <f>SUM(F4:F7)</f>
        <v>2.9270833333333344</v>
      </c>
      <c r="D7" s="85" t="s">
        <v>46</v>
      </c>
      <c r="E7" s="86">
        <f>D12+D14+D22</f>
        <v>4.1666666666667074E-2</v>
      </c>
      <c r="F7" s="84">
        <f>'Uke9'!F7 + E7</f>
        <v>0.76041666666666652</v>
      </c>
      <c r="G7" s="73"/>
      <c r="H7" s="153"/>
      <c r="I7" s="153"/>
      <c r="J7" s="102"/>
      <c r="K7" s="73"/>
      <c r="L7" s="73"/>
      <c r="M7" s="73"/>
      <c r="N7" s="73"/>
      <c r="O7" s="73"/>
      <c r="P7" s="73"/>
      <c r="Q7" s="73"/>
      <c r="R7" s="73"/>
      <c r="S7" s="73"/>
    </row>
    <row r="8" spans="1:19" x14ac:dyDescent="0.2">
      <c r="A8" s="73"/>
      <c r="B8" s="73"/>
      <c r="C8" s="73"/>
      <c r="D8" s="73"/>
      <c r="E8" s="73"/>
      <c r="F8" s="73"/>
      <c r="G8" s="73"/>
      <c r="H8" s="73"/>
      <c r="I8" s="73"/>
      <c r="J8" s="73"/>
      <c r="K8" s="73"/>
      <c r="L8" s="73"/>
      <c r="M8" s="73"/>
      <c r="N8" s="73"/>
      <c r="O8" s="73"/>
      <c r="P8" s="73"/>
      <c r="Q8" s="73"/>
      <c r="R8" s="73"/>
      <c r="S8" s="73"/>
    </row>
    <row r="9" spans="1:19" x14ac:dyDescent="0.2">
      <c r="A9" s="73"/>
      <c r="B9" s="73"/>
      <c r="C9" s="73"/>
      <c r="D9" s="73"/>
      <c r="E9" s="73"/>
      <c r="F9" s="73"/>
      <c r="G9" s="73"/>
      <c r="H9" s="73"/>
      <c r="I9" s="73"/>
      <c r="J9" s="73"/>
      <c r="K9" s="73"/>
      <c r="L9" s="73"/>
      <c r="M9" s="73"/>
      <c r="N9" s="73"/>
      <c r="O9" s="73"/>
      <c r="P9" s="73"/>
      <c r="Q9" s="73"/>
      <c r="R9" s="73"/>
      <c r="S9" s="73"/>
    </row>
    <row r="10" spans="1:19" ht="15.75" x14ac:dyDescent="0.25">
      <c r="A10" s="74" t="s">
        <v>12</v>
      </c>
      <c r="B10" s="74" t="s">
        <v>57</v>
      </c>
      <c r="C10" s="74" t="s">
        <v>58</v>
      </c>
      <c r="D10" s="74" t="s">
        <v>59</v>
      </c>
      <c r="E10" s="74" t="s">
        <v>47</v>
      </c>
      <c r="F10" s="74" t="s">
        <v>39</v>
      </c>
      <c r="G10" s="73"/>
      <c r="H10" s="73"/>
      <c r="I10" s="73"/>
      <c r="J10" s="73"/>
      <c r="K10" s="73"/>
      <c r="L10" s="73"/>
      <c r="M10" s="73"/>
      <c r="N10" s="73"/>
      <c r="O10" s="73"/>
      <c r="P10" s="73"/>
      <c r="Q10" s="73"/>
      <c r="R10" s="73"/>
      <c r="S10" s="73"/>
    </row>
    <row r="11" spans="1:19" ht="31.5" x14ac:dyDescent="0.25">
      <c r="A11" s="145">
        <v>43892</v>
      </c>
      <c r="B11" s="146">
        <v>0.58333333333333304</v>
      </c>
      <c r="C11" s="146">
        <v>0.60416666666666696</v>
      </c>
      <c r="D11" s="146">
        <f t="shared" ref="D11:D22" si="0">C11-B11</f>
        <v>2.0833333333333925E-2</v>
      </c>
      <c r="E11" s="164" t="s">
        <v>91</v>
      </c>
      <c r="F11" s="112"/>
      <c r="G11" s="73"/>
      <c r="H11" s="73"/>
      <c r="I11" s="73"/>
      <c r="J11" s="73"/>
      <c r="K11" s="73"/>
      <c r="L11" s="73"/>
      <c r="M11" s="73"/>
      <c r="N11" s="73"/>
      <c r="O11" s="73"/>
      <c r="P11" s="73"/>
      <c r="Q11" s="73"/>
      <c r="R11" s="73"/>
      <c r="S11" s="73"/>
    </row>
    <row r="12" spans="1:19" ht="31.5" x14ac:dyDescent="0.25">
      <c r="A12" s="88">
        <v>43892</v>
      </c>
      <c r="B12" s="89">
        <v>0.60416666666666696</v>
      </c>
      <c r="C12" s="89">
        <v>0.61111111111111105</v>
      </c>
      <c r="D12" s="148">
        <f t="shared" si="0"/>
        <v>6.9444444444440867E-3</v>
      </c>
      <c r="E12" s="90" t="s">
        <v>92</v>
      </c>
      <c r="F12" s="125"/>
      <c r="G12" s="73"/>
      <c r="H12" s="73"/>
      <c r="I12" s="73"/>
      <c r="J12" s="73"/>
      <c r="K12" s="73"/>
      <c r="L12" s="73"/>
      <c r="M12" s="73"/>
      <c r="N12" s="73"/>
      <c r="O12" s="73"/>
      <c r="P12" s="73"/>
      <c r="Q12" s="73"/>
      <c r="R12" s="73"/>
      <c r="S12" s="73"/>
    </row>
    <row r="13" spans="1:19" ht="15.75" x14ac:dyDescent="0.25">
      <c r="A13" s="109">
        <v>43892</v>
      </c>
      <c r="B13" s="110">
        <v>0.61111111111111105</v>
      </c>
      <c r="C13" s="110">
        <v>0.64583333333333304</v>
      </c>
      <c r="D13" s="156">
        <f t="shared" si="0"/>
        <v>3.4722222222221988E-2</v>
      </c>
      <c r="E13" s="111" t="s">
        <v>93</v>
      </c>
      <c r="F13" s="114" t="s">
        <v>78</v>
      </c>
      <c r="G13" s="73"/>
      <c r="H13" s="73"/>
      <c r="I13" s="73"/>
      <c r="J13" s="73"/>
      <c r="K13" s="73"/>
      <c r="L13" s="73"/>
      <c r="M13" s="73"/>
      <c r="N13" s="73"/>
      <c r="O13" s="73"/>
      <c r="P13" s="73"/>
      <c r="Q13" s="73"/>
      <c r="R13" s="73"/>
      <c r="S13" s="73"/>
    </row>
    <row r="14" spans="1:19" ht="15.75" x14ac:dyDescent="0.25">
      <c r="A14" s="92">
        <v>43892</v>
      </c>
      <c r="B14" s="93">
        <v>0.64583333333333304</v>
      </c>
      <c r="C14" s="93">
        <v>0.65277777777777801</v>
      </c>
      <c r="D14" s="149">
        <f t="shared" si="0"/>
        <v>6.9444444444449749E-3</v>
      </c>
      <c r="E14" s="94" t="s">
        <v>94</v>
      </c>
      <c r="F14" s="122"/>
      <c r="G14" s="73"/>
      <c r="H14" s="73"/>
      <c r="I14" s="73"/>
      <c r="J14" s="73"/>
      <c r="K14" s="73"/>
      <c r="L14" s="73"/>
      <c r="M14" s="73"/>
      <c r="N14" s="73"/>
      <c r="O14" s="73"/>
      <c r="P14" s="73"/>
      <c r="Q14" s="73"/>
      <c r="R14" s="73"/>
      <c r="S14" s="73"/>
    </row>
    <row r="15" spans="1:19" ht="63" x14ac:dyDescent="0.25">
      <c r="A15" s="96">
        <v>43893</v>
      </c>
      <c r="B15" s="97">
        <v>0.51736111111111105</v>
      </c>
      <c r="C15" s="97">
        <v>0.52430555555555602</v>
      </c>
      <c r="D15" s="151">
        <f t="shared" si="0"/>
        <v>6.9444444444449749E-3</v>
      </c>
      <c r="E15" s="98" t="s">
        <v>95</v>
      </c>
      <c r="F15" s="122"/>
      <c r="G15" s="73"/>
      <c r="H15" s="73"/>
      <c r="I15" s="73"/>
      <c r="J15" s="73"/>
      <c r="K15" s="73"/>
      <c r="L15" s="73"/>
      <c r="M15" s="73"/>
      <c r="N15" s="73"/>
      <c r="O15" s="73"/>
      <c r="P15" s="73"/>
      <c r="Q15" s="73"/>
      <c r="R15" s="73"/>
      <c r="S15" s="73"/>
    </row>
    <row r="16" spans="1:19" ht="15.75" x14ac:dyDescent="0.25">
      <c r="A16" s="109">
        <v>43893</v>
      </c>
      <c r="B16" s="110">
        <v>0.79166666666666696</v>
      </c>
      <c r="C16" s="110">
        <v>0.84027777777777801</v>
      </c>
      <c r="D16" s="156">
        <f t="shared" si="0"/>
        <v>4.8611111111111049E-2</v>
      </c>
      <c r="E16" s="111" t="s">
        <v>93</v>
      </c>
      <c r="F16" s="114" t="s">
        <v>78</v>
      </c>
      <c r="G16" s="73"/>
      <c r="H16" s="73"/>
      <c r="I16" s="73"/>
      <c r="J16" s="73"/>
      <c r="K16" s="73"/>
      <c r="L16" s="73"/>
      <c r="M16" s="73"/>
      <c r="N16" s="73"/>
      <c r="O16" s="73"/>
      <c r="P16" s="73"/>
      <c r="Q16" s="73"/>
      <c r="R16" s="73"/>
      <c r="S16" s="73"/>
    </row>
    <row r="17" spans="1:19" ht="47.25" x14ac:dyDescent="0.25">
      <c r="A17" s="150">
        <v>43894</v>
      </c>
      <c r="B17" s="151">
        <v>0.51388888888888895</v>
      </c>
      <c r="C17" s="151">
        <v>0.53819444444444398</v>
      </c>
      <c r="D17" s="151">
        <f t="shared" si="0"/>
        <v>2.4305555555555025E-2</v>
      </c>
      <c r="E17" s="152" t="s">
        <v>96</v>
      </c>
      <c r="F17" s="121"/>
      <c r="G17" s="73"/>
      <c r="H17" s="73"/>
      <c r="I17" s="73"/>
      <c r="J17" s="73"/>
      <c r="K17" s="73"/>
      <c r="L17" s="73"/>
      <c r="M17" s="73"/>
      <c r="N17" s="73"/>
      <c r="O17" s="73"/>
      <c r="P17" s="73"/>
      <c r="Q17" s="73"/>
      <c r="R17" s="73"/>
      <c r="S17" s="73"/>
    </row>
    <row r="18" spans="1:19" ht="31.5" x14ac:dyDescent="0.25">
      <c r="A18" s="96">
        <v>43894</v>
      </c>
      <c r="B18" s="97">
        <v>0.54166666666666696</v>
      </c>
      <c r="C18" s="97">
        <v>0.55555555555555503</v>
      </c>
      <c r="D18" s="151">
        <f t="shared" si="0"/>
        <v>1.3888888888888062E-2</v>
      </c>
      <c r="E18" s="98" t="s">
        <v>97</v>
      </c>
      <c r="F18" s="121"/>
      <c r="G18" s="73"/>
      <c r="H18" s="73"/>
      <c r="I18" s="73"/>
      <c r="J18" s="73"/>
      <c r="K18" s="73"/>
      <c r="L18" s="73"/>
      <c r="M18" s="73"/>
      <c r="N18" s="73"/>
      <c r="O18" s="73"/>
      <c r="P18" s="73"/>
      <c r="Q18" s="73"/>
      <c r="R18" s="73"/>
      <c r="S18" s="73"/>
    </row>
    <row r="19" spans="1:19" ht="31.5" x14ac:dyDescent="0.25">
      <c r="A19" s="96">
        <v>43898</v>
      </c>
      <c r="B19" s="97">
        <v>0.5</v>
      </c>
      <c r="C19" s="97">
        <v>0.54166666666666696</v>
      </c>
      <c r="D19" s="151">
        <f t="shared" si="0"/>
        <v>4.1666666666666963E-2</v>
      </c>
      <c r="E19" s="98" t="s">
        <v>98</v>
      </c>
      <c r="F19" s="121"/>
      <c r="G19" s="73"/>
      <c r="H19" s="73"/>
      <c r="I19" s="73"/>
      <c r="J19" s="73"/>
      <c r="K19" s="73"/>
      <c r="L19" s="73"/>
      <c r="M19" s="73"/>
      <c r="N19" s="73"/>
      <c r="O19" s="73"/>
      <c r="P19" s="73"/>
      <c r="Q19" s="73"/>
      <c r="R19" s="73"/>
      <c r="S19" s="73"/>
    </row>
    <row r="20" spans="1:19" ht="31.5" x14ac:dyDescent="0.25">
      <c r="A20" s="145">
        <v>43898</v>
      </c>
      <c r="B20" s="146">
        <v>0.54166666666666696</v>
      </c>
      <c r="C20" s="146">
        <v>0.59027777777777801</v>
      </c>
      <c r="D20" s="146">
        <f t="shared" si="0"/>
        <v>4.8611111111111049E-2</v>
      </c>
      <c r="E20" s="164" t="s">
        <v>99</v>
      </c>
      <c r="F20" s="120"/>
      <c r="G20" s="73"/>
      <c r="H20" s="73"/>
      <c r="I20" s="73"/>
      <c r="J20" s="73"/>
      <c r="K20" s="73"/>
      <c r="L20" s="73"/>
      <c r="M20" s="73"/>
      <c r="N20" s="73"/>
      <c r="O20" s="73"/>
      <c r="P20" s="73"/>
      <c r="Q20" s="73"/>
      <c r="R20" s="73"/>
      <c r="S20" s="73"/>
    </row>
    <row r="21" spans="1:19" ht="47.25" x14ac:dyDescent="0.25">
      <c r="A21" s="145">
        <v>43898</v>
      </c>
      <c r="B21" s="146">
        <v>0.59722222222222199</v>
      </c>
      <c r="C21" s="146">
        <v>0.63888888888888895</v>
      </c>
      <c r="D21" s="146">
        <f t="shared" si="0"/>
        <v>4.1666666666666963E-2</v>
      </c>
      <c r="E21" s="164" t="s">
        <v>100</v>
      </c>
      <c r="F21" s="120"/>
      <c r="G21" s="73"/>
      <c r="H21" s="73"/>
      <c r="I21" s="73"/>
      <c r="J21" s="73"/>
      <c r="K21" s="73"/>
      <c r="L21" s="73"/>
      <c r="M21" s="73"/>
      <c r="N21" s="73"/>
      <c r="O21" s="73"/>
      <c r="P21" s="73"/>
      <c r="Q21" s="73"/>
      <c r="R21" s="73"/>
      <c r="S21" s="73"/>
    </row>
    <row r="22" spans="1:19" ht="15.75" x14ac:dyDescent="0.25">
      <c r="A22" s="165">
        <v>43898</v>
      </c>
      <c r="B22" s="166">
        <v>0.93055555555555503</v>
      </c>
      <c r="C22" s="166">
        <v>0.95833333333333304</v>
      </c>
      <c r="D22" s="166">
        <f t="shared" si="0"/>
        <v>2.7777777777778012E-2</v>
      </c>
      <c r="E22" s="167" t="s">
        <v>101</v>
      </c>
      <c r="F22" s="126"/>
      <c r="G22" s="73"/>
      <c r="H22" s="73"/>
      <c r="I22" s="73"/>
      <c r="J22" s="73"/>
      <c r="K22" s="73"/>
      <c r="L22" s="73"/>
      <c r="M22" s="73"/>
      <c r="N22" s="73"/>
      <c r="O22" s="73"/>
      <c r="P22" s="73"/>
      <c r="Q22" s="73"/>
      <c r="R22" s="73"/>
      <c r="S22" s="73"/>
    </row>
    <row r="23" spans="1:19" ht="15.75" x14ac:dyDescent="0.25">
      <c r="A23" s="127"/>
      <c r="B23" s="128"/>
      <c r="C23" s="128"/>
      <c r="D23" s="153"/>
      <c r="E23" s="129"/>
      <c r="F23" s="130"/>
      <c r="G23" s="73"/>
      <c r="H23" s="73"/>
      <c r="I23" s="73"/>
      <c r="J23" s="73"/>
      <c r="K23" s="73"/>
      <c r="L23" s="73"/>
      <c r="M23" s="73"/>
      <c r="N23" s="73"/>
      <c r="O23" s="73"/>
      <c r="P23" s="73"/>
      <c r="Q23" s="73"/>
      <c r="R23" s="73"/>
      <c r="S23" s="73"/>
    </row>
    <row r="24" spans="1:19" ht="15.75" x14ac:dyDescent="0.25">
      <c r="A24" s="127"/>
      <c r="B24" s="128"/>
      <c r="C24" s="128"/>
      <c r="D24" s="153"/>
      <c r="E24" s="129"/>
      <c r="F24" s="130"/>
      <c r="G24" s="73"/>
      <c r="H24" s="73"/>
      <c r="I24" s="73"/>
      <c r="J24" s="73"/>
      <c r="K24" s="73"/>
      <c r="L24" s="73"/>
      <c r="M24" s="73"/>
      <c r="N24" s="73"/>
      <c r="O24" s="73"/>
      <c r="P24" s="73"/>
      <c r="Q24" s="73"/>
      <c r="R24" s="73"/>
      <c r="S24" s="73"/>
    </row>
    <row r="25" spans="1:19" ht="15.75" customHeight="1" x14ac:dyDescent="0.25">
      <c r="A25" s="168"/>
      <c r="B25" s="153"/>
      <c r="C25" s="153"/>
      <c r="D25" s="153"/>
      <c r="E25" s="169"/>
      <c r="F25" s="131"/>
      <c r="G25" s="73"/>
      <c r="H25" s="73"/>
      <c r="I25" s="73"/>
      <c r="J25" s="73"/>
      <c r="K25" s="73"/>
      <c r="L25" s="73"/>
      <c r="M25" s="73"/>
      <c r="N25" s="73"/>
      <c r="O25" s="73"/>
      <c r="P25" s="73"/>
      <c r="Q25" s="73"/>
      <c r="R25" s="73"/>
      <c r="S25" s="73"/>
    </row>
    <row r="26" spans="1:19" x14ac:dyDescent="0.2">
      <c r="A26" s="237" t="s">
        <v>23</v>
      </c>
      <c r="B26" s="237"/>
      <c r="C26" s="237"/>
      <c r="D26" s="237"/>
      <c r="E26" s="237"/>
      <c r="F26" s="237"/>
      <c r="G26" s="73"/>
      <c r="H26" s="73"/>
      <c r="I26" s="73"/>
      <c r="J26" s="73"/>
      <c r="K26" s="73"/>
      <c r="L26" s="73"/>
      <c r="M26" s="73"/>
      <c r="N26" s="73"/>
      <c r="O26" s="73"/>
      <c r="P26" s="73"/>
      <c r="Q26" s="73"/>
      <c r="R26" s="73"/>
      <c r="S26" s="73"/>
    </row>
    <row r="27" spans="1:19" x14ac:dyDescent="0.2">
      <c r="A27" s="237"/>
      <c r="B27" s="237"/>
      <c r="C27" s="237"/>
      <c r="D27" s="237"/>
      <c r="E27" s="237"/>
      <c r="F27" s="237"/>
      <c r="G27" s="73"/>
      <c r="H27" s="73"/>
      <c r="I27" s="73"/>
      <c r="J27" s="73"/>
      <c r="K27" s="73"/>
      <c r="L27" s="73"/>
      <c r="M27" s="73"/>
      <c r="N27" s="73"/>
      <c r="O27" s="73"/>
      <c r="P27" s="73"/>
      <c r="Q27" s="73"/>
      <c r="R27" s="73"/>
      <c r="S27" s="73"/>
    </row>
    <row r="28" spans="1:19" x14ac:dyDescent="0.2">
      <c r="A28" s="73"/>
      <c r="B28" s="73"/>
      <c r="C28" s="73"/>
      <c r="D28" s="73"/>
      <c r="E28" s="73"/>
      <c r="F28" s="73"/>
      <c r="G28" s="73"/>
      <c r="H28" s="73"/>
      <c r="I28" s="73"/>
      <c r="J28" s="73"/>
      <c r="K28" s="73"/>
      <c r="L28" s="73"/>
      <c r="M28" s="73"/>
      <c r="N28" s="73"/>
      <c r="O28" s="73"/>
      <c r="P28" s="73"/>
      <c r="Q28" s="73"/>
      <c r="R28" s="73"/>
      <c r="S28" s="73"/>
    </row>
    <row r="29" spans="1:19" ht="12.75" customHeight="1" x14ac:dyDescent="0.2">
      <c r="A29" s="236" t="s">
        <v>102</v>
      </c>
      <c r="B29" s="236"/>
      <c r="C29" s="236"/>
      <c r="D29" s="236"/>
      <c r="E29" s="236"/>
      <c r="F29" s="236"/>
      <c r="G29" s="73"/>
      <c r="H29" s="73"/>
      <c r="I29" s="73"/>
      <c r="J29" s="73"/>
      <c r="K29" s="73"/>
      <c r="L29" s="73"/>
      <c r="M29" s="73"/>
      <c r="N29" s="73"/>
      <c r="O29" s="73"/>
      <c r="P29" s="73"/>
      <c r="Q29" s="73"/>
      <c r="R29" s="73"/>
      <c r="S29" s="73"/>
    </row>
    <row r="30" spans="1:19" x14ac:dyDescent="0.2">
      <c r="A30" s="236"/>
      <c r="B30" s="236"/>
      <c r="C30" s="236"/>
      <c r="D30" s="236"/>
      <c r="E30" s="236"/>
      <c r="F30" s="236"/>
      <c r="G30" s="73"/>
      <c r="H30" s="73"/>
      <c r="I30" s="73"/>
      <c r="J30" s="73"/>
      <c r="K30" s="73"/>
      <c r="L30" s="73"/>
      <c r="M30" s="73"/>
      <c r="N30" s="73"/>
      <c r="O30" s="73"/>
      <c r="P30" s="73"/>
      <c r="Q30" s="73"/>
      <c r="R30" s="73"/>
      <c r="S30" s="73"/>
    </row>
    <row r="31" spans="1:19" x14ac:dyDescent="0.2">
      <c r="A31" s="236"/>
      <c r="B31" s="236"/>
      <c r="C31" s="236"/>
      <c r="D31" s="236"/>
      <c r="E31" s="236"/>
      <c r="F31" s="236"/>
      <c r="G31" s="73"/>
      <c r="H31" s="73"/>
      <c r="I31" s="73"/>
      <c r="J31" s="73"/>
      <c r="K31" s="73"/>
      <c r="L31" s="73"/>
      <c r="M31" s="73"/>
      <c r="N31" s="73"/>
      <c r="O31" s="73"/>
      <c r="P31" s="73"/>
      <c r="Q31" s="73"/>
      <c r="R31" s="73"/>
      <c r="S31" s="73"/>
    </row>
    <row r="32" spans="1:19" x14ac:dyDescent="0.2">
      <c r="A32" s="236"/>
      <c r="B32" s="236"/>
      <c r="C32" s="236"/>
      <c r="D32" s="236"/>
      <c r="E32" s="236"/>
      <c r="F32" s="236"/>
      <c r="G32" s="73"/>
      <c r="H32" s="73"/>
      <c r="I32" s="73"/>
      <c r="J32" s="73"/>
      <c r="K32" s="73"/>
      <c r="L32" s="73"/>
      <c r="M32" s="73"/>
      <c r="N32" s="73"/>
      <c r="O32" s="73"/>
      <c r="P32" s="73"/>
      <c r="Q32" s="73"/>
      <c r="R32" s="73"/>
      <c r="S32" s="73"/>
    </row>
    <row r="33" spans="1:19" x14ac:dyDescent="0.2">
      <c r="A33" s="236"/>
      <c r="B33" s="236"/>
      <c r="C33" s="236"/>
      <c r="D33" s="236"/>
      <c r="E33" s="236"/>
      <c r="F33" s="236"/>
      <c r="G33" s="73"/>
      <c r="H33" s="73"/>
      <c r="I33" s="73"/>
      <c r="J33" s="73"/>
      <c r="K33" s="73"/>
      <c r="L33" s="73"/>
      <c r="M33" s="73"/>
      <c r="N33" s="73"/>
      <c r="O33" s="73"/>
      <c r="P33" s="73"/>
      <c r="Q33" s="73"/>
      <c r="R33" s="73"/>
      <c r="S33" s="73"/>
    </row>
    <row r="34" spans="1:19" x14ac:dyDescent="0.2">
      <c r="A34" s="236"/>
      <c r="B34" s="236"/>
      <c r="C34" s="236"/>
      <c r="D34" s="236"/>
      <c r="E34" s="236"/>
      <c r="F34" s="236"/>
      <c r="G34" s="73"/>
      <c r="H34" s="73"/>
      <c r="I34" s="73"/>
      <c r="J34" s="73"/>
      <c r="K34" s="73"/>
      <c r="L34" s="73"/>
      <c r="M34" s="73"/>
      <c r="N34" s="73"/>
      <c r="O34" s="73"/>
      <c r="P34" s="73"/>
      <c r="Q34" s="73"/>
      <c r="R34" s="73"/>
      <c r="S34" s="73"/>
    </row>
    <row r="35" spans="1:19" x14ac:dyDescent="0.2">
      <c r="A35" s="236"/>
      <c r="B35" s="236"/>
      <c r="C35" s="236"/>
      <c r="D35" s="236"/>
      <c r="E35" s="236"/>
      <c r="F35" s="236"/>
      <c r="G35" s="73"/>
      <c r="H35" s="73"/>
      <c r="I35" s="73"/>
      <c r="J35" s="73"/>
      <c r="K35" s="73"/>
      <c r="L35" s="73"/>
      <c r="M35" s="73"/>
      <c r="N35" s="73"/>
      <c r="O35" s="73"/>
      <c r="P35" s="73"/>
      <c r="Q35" s="73"/>
      <c r="R35" s="73"/>
      <c r="S35" s="73"/>
    </row>
    <row r="36" spans="1:19" x14ac:dyDescent="0.2">
      <c r="A36" s="236"/>
      <c r="B36" s="236"/>
      <c r="C36" s="236"/>
      <c r="D36" s="236"/>
      <c r="E36" s="236"/>
      <c r="F36" s="236"/>
      <c r="G36" s="73"/>
      <c r="H36" s="73"/>
      <c r="I36" s="73"/>
      <c r="J36" s="73"/>
      <c r="K36" s="73"/>
      <c r="L36" s="73"/>
      <c r="M36" s="73"/>
      <c r="N36" s="73"/>
      <c r="O36" s="73"/>
      <c r="P36" s="73"/>
      <c r="Q36" s="73"/>
      <c r="R36" s="73"/>
      <c r="S36" s="73"/>
    </row>
    <row r="37" spans="1:19" ht="47.1" customHeight="1" x14ac:dyDescent="0.2">
      <c r="A37" s="236"/>
      <c r="B37" s="236"/>
      <c r="C37" s="236"/>
      <c r="D37" s="236"/>
      <c r="E37" s="236"/>
      <c r="F37" s="236"/>
      <c r="G37" s="73"/>
      <c r="H37" s="73"/>
      <c r="I37" s="73"/>
      <c r="J37" s="73"/>
      <c r="K37" s="73"/>
      <c r="L37" s="73"/>
      <c r="M37" s="73"/>
      <c r="N37" s="73"/>
      <c r="O37" s="73"/>
      <c r="P37" s="73"/>
      <c r="Q37" s="73"/>
      <c r="R37" s="73"/>
      <c r="S37" s="73"/>
    </row>
    <row r="38" spans="1:19" ht="129.94999999999999" customHeight="1" x14ac:dyDescent="0.2">
      <c r="A38" s="236"/>
      <c r="B38" s="236"/>
      <c r="C38" s="236"/>
      <c r="D38" s="236"/>
      <c r="E38" s="236"/>
      <c r="F38" s="236"/>
      <c r="G38" s="73"/>
      <c r="H38" s="73"/>
      <c r="I38" s="73"/>
      <c r="J38" s="73"/>
      <c r="K38" s="73"/>
      <c r="L38" s="73"/>
      <c r="M38" s="73"/>
      <c r="N38" s="73"/>
      <c r="O38" s="73"/>
      <c r="P38" s="73"/>
      <c r="Q38" s="73"/>
      <c r="R38" s="73"/>
      <c r="S38" s="73"/>
    </row>
    <row r="39" spans="1:19" ht="108.2" customHeight="1" x14ac:dyDescent="0.2">
      <c r="A39" s="236"/>
      <c r="B39" s="236"/>
      <c r="C39" s="236"/>
      <c r="D39" s="236"/>
      <c r="E39" s="236"/>
      <c r="F39" s="236"/>
      <c r="G39" s="73"/>
      <c r="H39" s="73"/>
      <c r="I39" s="73"/>
      <c r="J39" s="73"/>
      <c r="K39" s="73"/>
      <c r="L39" s="73"/>
      <c r="M39" s="73"/>
      <c r="N39" s="73"/>
      <c r="O39" s="73"/>
      <c r="P39" s="73"/>
      <c r="Q39" s="73"/>
      <c r="R39" s="73"/>
      <c r="S39" s="73"/>
    </row>
    <row r="40" spans="1:19" ht="48.6" customHeight="1" x14ac:dyDescent="0.2">
      <c r="A40" s="73"/>
      <c r="B40" s="73"/>
      <c r="C40" s="73"/>
      <c r="D40" s="73"/>
      <c r="E40" s="73"/>
      <c r="F40" s="73"/>
      <c r="G40" s="73"/>
      <c r="H40" s="73"/>
      <c r="I40" s="73"/>
      <c r="J40" s="73"/>
      <c r="K40" s="73"/>
      <c r="L40" s="73"/>
      <c r="M40" s="73"/>
      <c r="N40" s="73"/>
      <c r="O40" s="73"/>
      <c r="P40" s="73"/>
      <c r="Q40" s="73"/>
      <c r="R40" s="73"/>
      <c r="S40" s="73"/>
    </row>
    <row r="41" spans="1:19" x14ac:dyDescent="0.2">
      <c r="A41" s="73"/>
      <c r="B41" s="73"/>
      <c r="C41" s="73"/>
      <c r="D41" s="73"/>
      <c r="E41" s="73"/>
      <c r="F41" s="73"/>
      <c r="G41" s="73"/>
      <c r="H41" s="73"/>
      <c r="I41" s="73"/>
      <c r="J41" s="73"/>
      <c r="K41" s="73"/>
      <c r="L41" s="73"/>
      <c r="M41" s="73"/>
      <c r="N41" s="73"/>
      <c r="O41" s="73"/>
      <c r="P41" s="73"/>
      <c r="Q41" s="73"/>
      <c r="R41" s="73"/>
      <c r="S41" s="73"/>
    </row>
    <row r="42" spans="1:19" x14ac:dyDescent="0.2">
      <c r="A42" s="73"/>
      <c r="B42" s="73"/>
      <c r="C42" s="73"/>
      <c r="D42" s="73"/>
      <c r="E42" s="73"/>
      <c r="F42" s="73"/>
      <c r="G42" s="73"/>
      <c r="H42" s="73"/>
      <c r="I42" s="73"/>
      <c r="J42" s="73"/>
      <c r="K42" s="73"/>
      <c r="L42" s="73"/>
      <c r="M42" s="73"/>
      <c r="N42" s="73"/>
      <c r="O42" s="73"/>
      <c r="P42" s="73"/>
      <c r="Q42" s="73"/>
      <c r="R42" s="73"/>
      <c r="S42" s="73"/>
    </row>
    <row r="43" spans="1:19" x14ac:dyDescent="0.2">
      <c r="A43" s="73"/>
      <c r="B43" s="73"/>
      <c r="C43" s="73"/>
      <c r="D43" s="73"/>
      <c r="E43" s="73"/>
      <c r="F43" s="73"/>
      <c r="G43" s="73"/>
      <c r="H43" s="73"/>
      <c r="I43" s="73"/>
      <c r="J43" s="73"/>
      <c r="K43" s="73"/>
      <c r="L43" s="73"/>
      <c r="M43" s="73"/>
      <c r="N43" s="73"/>
      <c r="O43" s="73"/>
      <c r="P43" s="73"/>
      <c r="Q43" s="73"/>
      <c r="R43" s="73"/>
      <c r="S43" s="73"/>
    </row>
    <row r="44" spans="1:19" x14ac:dyDescent="0.2">
      <c r="A44" s="73"/>
      <c r="B44" s="73"/>
      <c r="C44" s="73"/>
      <c r="D44" s="73"/>
      <c r="E44" s="73"/>
      <c r="F44" s="73"/>
      <c r="G44" s="73"/>
      <c r="H44" s="73"/>
      <c r="I44" s="73"/>
      <c r="J44" s="73"/>
      <c r="K44" s="73"/>
      <c r="L44" s="73"/>
      <c r="M44" s="73"/>
      <c r="N44" s="73"/>
      <c r="O44" s="73"/>
      <c r="P44" s="73"/>
      <c r="Q44" s="73"/>
      <c r="R44" s="73"/>
      <c r="S44" s="73"/>
    </row>
    <row r="45" spans="1:19" x14ac:dyDescent="0.2">
      <c r="A45" s="73"/>
      <c r="B45" s="73"/>
      <c r="C45" s="73"/>
      <c r="D45" s="73"/>
      <c r="E45" s="73"/>
      <c r="F45" s="73"/>
      <c r="G45" s="73"/>
      <c r="H45" s="73"/>
      <c r="I45" s="73"/>
      <c r="J45" s="73"/>
      <c r="K45" s="73"/>
      <c r="L45" s="73"/>
      <c r="M45" s="73"/>
      <c r="N45" s="73"/>
      <c r="O45" s="73"/>
      <c r="P45" s="73"/>
      <c r="Q45" s="73"/>
      <c r="R45" s="73"/>
      <c r="S45" s="73"/>
    </row>
    <row r="46" spans="1:19" x14ac:dyDescent="0.2">
      <c r="A46" s="73"/>
      <c r="B46" s="73"/>
      <c r="C46" s="73"/>
      <c r="D46" s="73"/>
      <c r="E46" s="73"/>
      <c r="F46" s="73"/>
      <c r="G46" s="73"/>
      <c r="H46" s="73"/>
      <c r="I46" s="73"/>
      <c r="J46" s="73"/>
      <c r="K46" s="73"/>
      <c r="L46" s="73"/>
      <c r="M46" s="73"/>
      <c r="N46" s="73"/>
      <c r="O46" s="73"/>
      <c r="P46" s="73"/>
      <c r="Q46" s="73"/>
      <c r="R46" s="73"/>
      <c r="S46" s="73"/>
    </row>
    <row r="47" spans="1:19" x14ac:dyDescent="0.2">
      <c r="A47" s="73"/>
      <c r="B47" s="73"/>
      <c r="C47" s="73"/>
      <c r="D47" s="73"/>
      <c r="E47" s="73"/>
      <c r="F47" s="73"/>
      <c r="G47" s="73"/>
      <c r="H47" s="73"/>
      <c r="I47" s="73"/>
      <c r="J47" s="73"/>
      <c r="K47" s="73"/>
      <c r="L47" s="73"/>
      <c r="M47" s="73"/>
      <c r="N47" s="73"/>
      <c r="O47" s="73"/>
      <c r="P47" s="73"/>
      <c r="Q47" s="73"/>
      <c r="R47" s="73"/>
      <c r="S47" s="73"/>
    </row>
    <row r="48" spans="1:19" x14ac:dyDescent="0.2">
      <c r="A48" s="73"/>
      <c r="B48" s="73"/>
      <c r="C48" s="73"/>
      <c r="D48" s="73"/>
      <c r="E48" s="73"/>
      <c r="F48" s="73"/>
      <c r="G48" s="73"/>
      <c r="H48" s="73"/>
      <c r="I48" s="73"/>
      <c r="J48" s="73"/>
      <c r="K48" s="73"/>
      <c r="L48" s="73"/>
      <c r="M48" s="73"/>
      <c r="N48" s="73"/>
      <c r="O48" s="73"/>
      <c r="P48" s="73"/>
      <c r="Q48" s="73"/>
      <c r="R48" s="73"/>
      <c r="S48" s="73"/>
    </row>
    <row r="49" spans="1:19" x14ac:dyDescent="0.2">
      <c r="A49" s="73"/>
      <c r="B49" s="73"/>
      <c r="C49" s="73"/>
      <c r="D49" s="73"/>
      <c r="E49" s="73"/>
      <c r="F49" s="73"/>
      <c r="G49" s="73"/>
      <c r="H49" s="73"/>
      <c r="I49" s="73"/>
      <c r="J49" s="73"/>
      <c r="K49" s="73"/>
      <c r="L49" s="73"/>
      <c r="M49" s="73"/>
      <c r="N49" s="73"/>
      <c r="O49" s="73"/>
      <c r="P49" s="73"/>
      <c r="Q49" s="73"/>
      <c r="R49" s="73"/>
      <c r="S49" s="73"/>
    </row>
    <row r="50" spans="1:19" x14ac:dyDescent="0.2">
      <c r="A50" s="73"/>
      <c r="B50" s="73"/>
      <c r="C50" s="73"/>
      <c r="D50" s="73"/>
      <c r="E50" s="73"/>
      <c r="F50" s="73"/>
      <c r="G50" s="73"/>
      <c r="H50" s="73"/>
      <c r="I50" s="73"/>
      <c r="J50" s="73"/>
      <c r="K50" s="73"/>
      <c r="L50" s="73"/>
      <c r="M50" s="73"/>
      <c r="N50" s="73"/>
      <c r="O50" s="73"/>
      <c r="P50" s="73"/>
      <c r="Q50" s="73"/>
      <c r="R50" s="73"/>
      <c r="S50" s="73"/>
    </row>
    <row r="51" spans="1:19" x14ac:dyDescent="0.2">
      <c r="A51" s="73"/>
      <c r="B51" s="73"/>
      <c r="C51" s="73"/>
      <c r="D51" s="73"/>
      <c r="E51" s="73"/>
      <c r="F51" s="73"/>
      <c r="G51" s="73"/>
      <c r="H51" s="73"/>
      <c r="I51" s="73"/>
      <c r="J51" s="73"/>
      <c r="K51" s="73"/>
      <c r="L51" s="73"/>
      <c r="M51" s="73"/>
      <c r="N51" s="73"/>
      <c r="O51" s="73"/>
      <c r="P51" s="73"/>
      <c r="Q51" s="73"/>
      <c r="R51" s="73"/>
      <c r="S51" s="73"/>
    </row>
    <row r="52" spans="1:19" x14ac:dyDescent="0.2">
      <c r="A52" s="73"/>
      <c r="B52" s="73"/>
      <c r="C52" s="73"/>
      <c r="D52" s="73"/>
      <c r="E52" s="73"/>
      <c r="F52" s="73"/>
      <c r="G52" s="73"/>
      <c r="H52" s="73"/>
      <c r="I52" s="73"/>
      <c r="J52" s="73"/>
      <c r="K52" s="73"/>
      <c r="L52" s="73"/>
      <c r="M52" s="73"/>
      <c r="N52" s="73"/>
      <c r="O52" s="73"/>
      <c r="P52" s="73"/>
      <c r="Q52" s="73"/>
      <c r="R52" s="73"/>
      <c r="S52" s="73"/>
    </row>
    <row r="53" spans="1:19" ht="15" x14ac:dyDescent="0.2">
      <c r="A53" s="73"/>
      <c r="B53" s="101"/>
      <c r="C53" s="101"/>
      <c r="D53" s="101"/>
      <c r="E53" s="101"/>
      <c r="F53" s="101"/>
      <c r="G53" s="73"/>
      <c r="H53" s="73"/>
      <c r="I53" s="73"/>
      <c r="J53" s="73"/>
      <c r="K53" s="73"/>
      <c r="L53" s="73"/>
      <c r="M53" s="73"/>
      <c r="N53" s="73"/>
      <c r="O53" s="73"/>
      <c r="P53" s="73"/>
      <c r="Q53" s="73"/>
      <c r="R53" s="73"/>
      <c r="S53" s="73"/>
    </row>
    <row r="54" spans="1:19" ht="15" x14ac:dyDescent="0.2">
      <c r="B54" s="72"/>
      <c r="C54" s="72"/>
      <c r="D54" s="72"/>
      <c r="E54" s="72"/>
      <c r="F54" s="72"/>
    </row>
  </sheetData>
  <mergeCells count="5">
    <mergeCell ref="A1:F2"/>
    <mergeCell ref="A5:A6"/>
    <mergeCell ref="C5:C6"/>
    <mergeCell ref="A26:F27"/>
    <mergeCell ref="A29:F39"/>
  </mergeCells>
  <conditionalFormatting sqref="A3">
    <cfRule type="expression" dxfId="10" priority="2">
      <formula>LEN(TRIM(#REF!))&gt;0</formula>
    </cfRule>
  </conditionalFormatting>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S54"/>
  <sheetViews>
    <sheetView zoomScaleNormal="100" workbookViewId="0">
      <selection activeCell="I27" sqref="I27"/>
    </sheetView>
  </sheetViews>
  <sheetFormatPr baseColWidth="10" defaultColWidth="9.140625" defaultRowHeight="12.75" x14ac:dyDescent="0.2"/>
  <cols>
    <col min="1" max="1" width="15.5703125" customWidth="1"/>
    <col min="2" max="2" width="11.5703125"/>
    <col min="3" max="3" width="19" customWidth="1"/>
    <col min="4" max="4" width="19.140625" customWidth="1"/>
    <col min="5" max="5" width="33.85546875" customWidth="1"/>
    <col min="6" max="6" width="18.7109375" customWidth="1"/>
    <col min="7" max="7" width="16.28515625" customWidth="1"/>
    <col min="8" max="1025" width="14.42578125" customWidth="1"/>
  </cols>
  <sheetData>
    <row r="1" spans="1:19" ht="15.75" customHeight="1" x14ac:dyDescent="0.2">
      <c r="A1" s="232" t="s">
        <v>103</v>
      </c>
      <c r="B1" s="232"/>
      <c r="C1" s="232"/>
      <c r="D1" s="232"/>
      <c r="E1" s="232"/>
      <c r="F1" s="232"/>
      <c r="G1" s="73"/>
      <c r="H1" s="73"/>
      <c r="I1" s="73"/>
      <c r="J1" s="73"/>
      <c r="K1" s="73"/>
      <c r="L1" s="73"/>
      <c r="M1" s="73"/>
      <c r="N1" s="73"/>
      <c r="O1" s="73"/>
      <c r="P1" s="73"/>
      <c r="Q1" s="73"/>
      <c r="R1" s="73"/>
      <c r="S1" s="73"/>
    </row>
    <row r="2" spans="1:19" ht="15.75" customHeight="1" x14ac:dyDescent="0.2">
      <c r="A2" s="232"/>
      <c r="B2" s="232"/>
      <c r="C2" s="232"/>
      <c r="D2" s="232"/>
      <c r="E2" s="232"/>
      <c r="F2" s="232"/>
      <c r="G2" s="73"/>
      <c r="H2" s="73"/>
      <c r="I2" s="73"/>
      <c r="J2" s="73"/>
      <c r="K2" s="73"/>
      <c r="L2" s="73"/>
      <c r="M2" s="73"/>
      <c r="N2" s="73"/>
      <c r="O2" s="73"/>
      <c r="P2" s="73"/>
      <c r="Q2" s="73"/>
      <c r="R2" s="73"/>
      <c r="S2" s="73"/>
    </row>
    <row r="3" spans="1:19" ht="15.75" customHeight="1" x14ac:dyDescent="0.25">
      <c r="A3" s="74" t="s">
        <v>1</v>
      </c>
      <c r="B3" s="73"/>
      <c r="C3" s="74" t="s">
        <v>2</v>
      </c>
      <c r="D3" s="75" t="s">
        <v>3</v>
      </c>
      <c r="E3" s="74" t="s">
        <v>4</v>
      </c>
      <c r="F3" s="74" t="s">
        <v>5</v>
      </c>
      <c r="G3" s="73"/>
      <c r="H3" s="73"/>
      <c r="I3" s="73"/>
      <c r="J3" s="73"/>
      <c r="K3" s="73"/>
      <c r="L3" s="73"/>
      <c r="M3" s="73"/>
      <c r="N3" s="73"/>
      <c r="O3" s="73"/>
      <c r="P3" s="73"/>
      <c r="Q3" s="73"/>
      <c r="R3" s="73"/>
      <c r="S3" s="73"/>
    </row>
    <row r="4" spans="1:19" ht="15.75" customHeight="1" x14ac:dyDescent="0.25">
      <c r="A4" s="132">
        <v>43899</v>
      </c>
      <c r="B4" s="133"/>
      <c r="C4" s="134">
        <v>43905</v>
      </c>
      <c r="D4" s="78" t="s">
        <v>6</v>
      </c>
      <c r="E4" s="79">
        <f>D17+D25</f>
        <v>0.14583333333333304</v>
      </c>
      <c r="F4" s="80">
        <f>'Uke10'!F4 + E4</f>
        <v>1.09375</v>
      </c>
      <c r="G4" s="73"/>
      <c r="H4" s="153"/>
      <c r="I4" s="124">
        <f>B11-B11</f>
        <v>0</v>
      </c>
      <c r="J4" s="102"/>
      <c r="K4" s="73"/>
      <c r="L4" s="73"/>
      <c r="M4" s="73"/>
      <c r="N4" s="73"/>
      <c r="O4" s="73"/>
      <c r="P4" s="73"/>
      <c r="Q4" s="73"/>
      <c r="R4" s="73"/>
      <c r="S4" s="73"/>
    </row>
    <row r="5" spans="1:19" ht="15" customHeight="1" x14ac:dyDescent="0.25">
      <c r="A5" s="233" t="s">
        <v>7</v>
      </c>
      <c r="B5" s="73"/>
      <c r="C5" s="233" t="s">
        <v>8</v>
      </c>
      <c r="D5" s="82" t="s">
        <v>9</v>
      </c>
      <c r="E5" s="79">
        <f>D15+D18+D19+D20+D24+D27</f>
        <v>0.30208333333333404</v>
      </c>
      <c r="F5" s="80">
        <f>'Uke10'!F5 + E5</f>
        <v>0.6319444444444462</v>
      </c>
      <c r="G5" s="73"/>
      <c r="H5" s="153"/>
      <c r="I5" s="73"/>
      <c r="J5" s="73"/>
      <c r="K5" s="73"/>
      <c r="L5" s="73"/>
      <c r="M5" s="73"/>
      <c r="N5" s="73"/>
      <c r="O5" s="73"/>
      <c r="P5" s="73"/>
      <c r="Q5" s="73"/>
      <c r="R5" s="73"/>
      <c r="S5" s="73"/>
    </row>
    <row r="6" spans="1:19" ht="15.75" customHeight="1" x14ac:dyDescent="0.25">
      <c r="A6" s="233"/>
      <c r="B6" s="73"/>
      <c r="C6" s="233"/>
      <c r="D6" s="83" t="s">
        <v>10</v>
      </c>
      <c r="E6" s="80">
        <f>D11+D14+D16+D21+D26</f>
        <v>8.6805555555556024E-2</v>
      </c>
      <c r="F6" s="80">
        <f>'Uke10'!F6 + E6</f>
        <v>0.97569444444444464</v>
      </c>
      <c r="G6" s="73"/>
      <c r="H6" s="153"/>
      <c r="I6" s="153"/>
      <c r="J6" s="102"/>
      <c r="K6" s="73"/>
      <c r="L6" s="73"/>
      <c r="M6" s="73"/>
      <c r="N6" s="73"/>
      <c r="O6" s="73"/>
      <c r="P6" s="73"/>
      <c r="Q6" s="73"/>
      <c r="R6" s="73"/>
      <c r="S6" s="73"/>
    </row>
    <row r="7" spans="1:19" ht="15.75" x14ac:dyDescent="0.25">
      <c r="A7" s="135">
        <f>SUM(E4:E7)</f>
        <v>0.92708333333333504</v>
      </c>
      <c r="B7" s="133"/>
      <c r="C7" s="135">
        <f>SUM(F4:F7)</f>
        <v>3.8541666666666696</v>
      </c>
      <c r="D7" s="85" t="s">
        <v>46</v>
      </c>
      <c r="E7" s="86">
        <f>D12+D13+D22+D23+D28+D29+D30+D31+D32</f>
        <v>0.39236111111111194</v>
      </c>
      <c r="F7" s="84">
        <f>'Uke10'!F7 + E7</f>
        <v>1.1527777777777786</v>
      </c>
      <c r="G7" s="73"/>
      <c r="H7" s="153"/>
      <c r="I7" s="153"/>
      <c r="J7" s="102"/>
      <c r="K7" s="73"/>
      <c r="L7" s="73"/>
      <c r="M7" s="73"/>
      <c r="N7" s="73"/>
      <c r="O7" s="73"/>
      <c r="P7" s="73"/>
      <c r="Q7" s="73"/>
      <c r="R7" s="73"/>
      <c r="S7" s="73"/>
    </row>
    <row r="8" spans="1:19" x14ac:dyDescent="0.2">
      <c r="A8" s="73"/>
      <c r="B8" s="73"/>
      <c r="C8" s="73"/>
      <c r="D8" s="73"/>
      <c r="E8" s="73"/>
      <c r="F8" s="73"/>
      <c r="G8" s="73"/>
      <c r="H8" s="73"/>
      <c r="I8" s="73"/>
      <c r="J8" s="73"/>
      <c r="K8" s="73"/>
      <c r="L8" s="73"/>
      <c r="M8" s="73"/>
      <c r="N8" s="73"/>
      <c r="O8" s="73"/>
      <c r="P8" s="73"/>
      <c r="Q8" s="73"/>
      <c r="R8" s="73"/>
      <c r="S8" s="73"/>
    </row>
    <row r="9" spans="1:19" x14ac:dyDescent="0.2">
      <c r="A9" s="73"/>
      <c r="B9" s="73"/>
      <c r="C9" s="73"/>
      <c r="D9" s="73"/>
      <c r="E9" s="73"/>
      <c r="F9" s="73"/>
      <c r="G9" s="73"/>
      <c r="H9" s="73"/>
      <c r="I9" s="73"/>
      <c r="J9" s="73"/>
      <c r="K9" s="73"/>
      <c r="L9" s="73"/>
      <c r="M9" s="73"/>
      <c r="N9" s="73"/>
      <c r="O9" s="73"/>
      <c r="P9" s="73"/>
      <c r="Q9" s="73"/>
      <c r="R9" s="73"/>
      <c r="S9" s="73"/>
    </row>
    <row r="10" spans="1:19" ht="15.75" x14ac:dyDescent="0.25">
      <c r="A10" s="74" t="s">
        <v>12</v>
      </c>
      <c r="B10" s="74" t="s">
        <v>57</v>
      </c>
      <c r="C10" s="74" t="s">
        <v>58</v>
      </c>
      <c r="D10" s="74" t="s">
        <v>59</v>
      </c>
      <c r="E10" s="74" t="s">
        <v>47</v>
      </c>
      <c r="F10" s="74" t="s">
        <v>39</v>
      </c>
      <c r="G10" s="73"/>
      <c r="H10" s="73"/>
      <c r="I10" s="73"/>
      <c r="J10" s="73"/>
      <c r="K10" s="73"/>
      <c r="L10" s="73"/>
      <c r="M10" s="73"/>
      <c r="N10" s="73"/>
      <c r="O10" s="73"/>
      <c r="P10" s="73"/>
      <c r="Q10" s="73"/>
      <c r="R10" s="73"/>
      <c r="S10" s="73"/>
    </row>
    <row r="11" spans="1:19" ht="15.75" x14ac:dyDescent="0.25">
      <c r="A11" s="145">
        <v>43899</v>
      </c>
      <c r="B11" s="146">
        <v>0.58333333333333304</v>
      </c>
      <c r="C11" s="146">
        <v>0.59722222222222199</v>
      </c>
      <c r="D11" s="146">
        <f t="shared" ref="D11:D32" si="0">C11-B11</f>
        <v>1.3888888888888951E-2</v>
      </c>
      <c r="E11" s="164" t="s">
        <v>48</v>
      </c>
      <c r="F11" s="112"/>
      <c r="G11" s="73"/>
      <c r="H11" s="73"/>
      <c r="I11" s="73"/>
      <c r="J11" s="73"/>
      <c r="K11" s="73"/>
      <c r="L11" s="73"/>
      <c r="M11" s="73"/>
      <c r="N11" s="73"/>
      <c r="O11" s="73"/>
      <c r="P11" s="73"/>
      <c r="Q11" s="73"/>
      <c r="R11" s="73"/>
      <c r="S11" s="73"/>
    </row>
    <row r="12" spans="1:19" ht="31.5" x14ac:dyDescent="0.25">
      <c r="A12" s="161">
        <v>43899</v>
      </c>
      <c r="B12" s="162">
        <v>0.59722222222222199</v>
      </c>
      <c r="C12" s="162">
        <v>0.65277777777777801</v>
      </c>
      <c r="D12" s="162">
        <f t="shared" si="0"/>
        <v>5.5555555555556024E-2</v>
      </c>
      <c r="E12" s="170" t="s">
        <v>104</v>
      </c>
      <c r="F12" s="125"/>
      <c r="G12" s="73"/>
      <c r="H12" s="73"/>
      <c r="I12" s="73"/>
      <c r="J12" s="73"/>
      <c r="K12" s="73"/>
      <c r="L12" s="73"/>
      <c r="M12" s="73"/>
      <c r="N12" s="73"/>
      <c r="O12" s="73"/>
      <c r="P12" s="73"/>
      <c r="Q12" s="73"/>
      <c r="R12" s="73"/>
      <c r="S12" s="73"/>
    </row>
    <row r="13" spans="1:19" ht="47.25" x14ac:dyDescent="0.25">
      <c r="A13" s="161">
        <v>43900</v>
      </c>
      <c r="B13" s="162">
        <v>0.70833333333333304</v>
      </c>
      <c r="C13" s="162">
        <v>0.76388888888888895</v>
      </c>
      <c r="D13" s="162">
        <f t="shared" si="0"/>
        <v>5.5555555555555913E-2</v>
      </c>
      <c r="E13" s="170" t="s">
        <v>105</v>
      </c>
      <c r="F13" s="114"/>
      <c r="G13" s="73"/>
      <c r="H13" s="73"/>
      <c r="I13" s="73"/>
      <c r="J13" s="73"/>
      <c r="K13" s="73"/>
      <c r="L13" s="73"/>
      <c r="M13" s="73"/>
      <c r="N13" s="73"/>
      <c r="O13" s="73"/>
      <c r="P13" s="73"/>
      <c r="Q13" s="73"/>
      <c r="R13" s="73"/>
      <c r="S13" s="73"/>
    </row>
    <row r="14" spans="1:19" ht="47.25" x14ac:dyDescent="0.25">
      <c r="A14" s="145">
        <v>43900</v>
      </c>
      <c r="B14" s="146">
        <v>0.76388888888888895</v>
      </c>
      <c r="C14" s="146">
        <v>0.77777777777777801</v>
      </c>
      <c r="D14" s="146">
        <f t="shared" si="0"/>
        <v>1.3888888888889062E-2</v>
      </c>
      <c r="E14" s="164" t="s">
        <v>106</v>
      </c>
      <c r="F14" s="122"/>
      <c r="G14" s="73"/>
      <c r="H14" s="73"/>
      <c r="I14" s="73"/>
      <c r="J14" s="73"/>
      <c r="K14" s="73"/>
      <c r="L14" s="73"/>
      <c r="M14" s="73"/>
      <c r="N14" s="73"/>
      <c r="O14" s="73"/>
      <c r="P14" s="73"/>
      <c r="Q14" s="73"/>
      <c r="R14" s="73"/>
      <c r="S14" s="73"/>
    </row>
    <row r="15" spans="1:19" ht="15.75" x14ac:dyDescent="0.25">
      <c r="A15" s="171">
        <v>43901</v>
      </c>
      <c r="B15" s="172">
        <v>0.41666666666666702</v>
      </c>
      <c r="C15" s="172">
        <v>0.49305555555555602</v>
      </c>
      <c r="D15" s="172">
        <f t="shared" si="0"/>
        <v>7.6388888888889006E-2</v>
      </c>
      <c r="E15" s="173" t="s">
        <v>107</v>
      </c>
      <c r="F15" s="122" t="s">
        <v>78</v>
      </c>
      <c r="G15" s="73"/>
      <c r="H15" s="73"/>
      <c r="I15" s="73"/>
      <c r="J15" s="73"/>
      <c r="K15" s="73"/>
      <c r="L15" s="73"/>
      <c r="M15" s="73"/>
      <c r="N15" s="73"/>
      <c r="O15" s="73"/>
      <c r="P15" s="73"/>
      <c r="Q15" s="73"/>
      <c r="R15" s="73"/>
      <c r="S15" s="73"/>
    </row>
    <row r="16" spans="1:19" ht="15.75" x14ac:dyDescent="0.25">
      <c r="A16" s="145">
        <v>43901</v>
      </c>
      <c r="B16" s="146">
        <v>0.53472222222222199</v>
      </c>
      <c r="C16" s="146">
        <v>0.55555555555555602</v>
      </c>
      <c r="D16" s="146">
        <f t="shared" si="0"/>
        <v>2.0833333333334036E-2</v>
      </c>
      <c r="E16" s="164" t="s">
        <v>48</v>
      </c>
      <c r="F16" s="136"/>
      <c r="G16" s="73"/>
      <c r="H16" s="73"/>
      <c r="I16" s="73"/>
      <c r="J16" s="73"/>
      <c r="K16" s="73"/>
      <c r="L16" s="73"/>
      <c r="M16" s="73"/>
      <c r="N16" s="73"/>
      <c r="O16" s="73"/>
      <c r="P16" s="73"/>
      <c r="Q16" s="73"/>
      <c r="R16" s="73"/>
      <c r="S16" s="73"/>
    </row>
    <row r="17" spans="1:19" ht="15.75" x14ac:dyDescent="0.25">
      <c r="A17" s="44">
        <v>43901</v>
      </c>
      <c r="B17" s="159">
        <v>0.75</v>
      </c>
      <c r="C17" s="159">
        <v>0.83333333333333304</v>
      </c>
      <c r="D17" s="159">
        <f t="shared" si="0"/>
        <v>8.3333333333333037E-2</v>
      </c>
      <c r="E17" s="174" t="s">
        <v>108</v>
      </c>
      <c r="F17" s="137"/>
      <c r="G17" s="73"/>
      <c r="H17" s="73"/>
      <c r="I17" s="73"/>
      <c r="J17" s="73"/>
      <c r="K17" s="73"/>
      <c r="L17" s="73"/>
      <c r="M17" s="73"/>
      <c r="N17" s="73"/>
      <c r="O17" s="73"/>
      <c r="P17" s="73"/>
      <c r="Q17" s="73"/>
      <c r="R17" s="73"/>
      <c r="S17" s="73"/>
    </row>
    <row r="18" spans="1:19" ht="15.75" x14ac:dyDescent="0.25">
      <c r="A18" s="171">
        <v>43902</v>
      </c>
      <c r="B18" s="172">
        <v>0.45833333333333298</v>
      </c>
      <c r="C18" s="172">
        <v>0.5625</v>
      </c>
      <c r="D18" s="172">
        <f t="shared" si="0"/>
        <v>0.10416666666666702</v>
      </c>
      <c r="E18" s="173" t="s">
        <v>81</v>
      </c>
      <c r="F18" s="137" t="s">
        <v>78</v>
      </c>
      <c r="G18" s="73"/>
      <c r="H18" s="73"/>
      <c r="I18" s="73"/>
      <c r="J18" s="73"/>
      <c r="K18" s="73"/>
      <c r="L18" s="73"/>
      <c r="M18" s="73"/>
      <c r="N18" s="73"/>
      <c r="O18" s="73"/>
      <c r="P18" s="73"/>
      <c r="Q18" s="73"/>
      <c r="R18" s="73"/>
      <c r="S18" s="73"/>
    </row>
    <row r="19" spans="1:19" ht="15.75" x14ac:dyDescent="0.25">
      <c r="A19" s="171">
        <v>43902</v>
      </c>
      <c r="B19" s="172">
        <v>0.79166666666666696</v>
      </c>
      <c r="C19" s="172">
        <v>0.85416666666666696</v>
      </c>
      <c r="D19" s="172">
        <f t="shared" si="0"/>
        <v>6.25E-2</v>
      </c>
      <c r="E19" s="173" t="s">
        <v>81</v>
      </c>
      <c r="F19" s="137" t="s">
        <v>78</v>
      </c>
      <c r="G19" s="73"/>
      <c r="H19" s="73"/>
      <c r="I19" s="73"/>
      <c r="J19" s="73"/>
      <c r="K19" s="73"/>
      <c r="L19" s="73"/>
      <c r="M19" s="73"/>
      <c r="N19" s="73"/>
      <c r="O19" s="73"/>
      <c r="P19" s="73"/>
      <c r="Q19" s="73"/>
      <c r="R19" s="73"/>
      <c r="S19" s="73"/>
    </row>
    <row r="20" spans="1:19" ht="15.75" x14ac:dyDescent="0.25">
      <c r="A20" s="171">
        <v>43902</v>
      </c>
      <c r="B20" s="172">
        <v>0.875</v>
      </c>
      <c r="C20" s="172">
        <v>0.89583333333333304</v>
      </c>
      <c r="D20" s="172">
        <f t="shared" si="0"/>
        <v>2.0833333333333037E-2</v>
      </c>
      <c r="E20" s="173" t="s">
        <v>81</v>
      </c>
      <c r="F20" s="138" t="s">
        <v>78</v>
      </c>
      <c r="G20" s="73"/>
      <c r="H20" s="73"/>
      <c r="I20" s="73"/>
      <c r="J20" s="73"/>
      <c r="K20" s="73"/>
      <c r="L20" s="73"/>
      <c r="M20" s="73"/>
      <c r="N20" s="73"/>
      <c r="O20" s="73"/>
      <c r="P20" s="73"/>
      <c r="Q20" s="73"/>
      <c r="R20" s="73"/>
      <c r="S20" s="73"/>
    </row>
    <row r="21" spans="1:19" ht="15.75" x14ac:dyDescent="0.25">
      <c r="A21" s="145">
        <v>43903</v>
      </c>
      <c r="B21" s="146">
        <v>0.51041666666666696</v>
      </c>
      <c r="C21" s="146">
        <v>0.53472222222222199</v>
      </c>
      <c r="D21" s="146">
        <f t="shared" si="0"/>
        <v>2.4305555555555025E-2</v>
      </c>
      <c r="E21" s="164" t="s">
        <v>48</v>
      </c>
      <c r="F21" s="138"/>
      <c r="G21" s="73"/>
      <c r="H21" s="73"/>
      <c r="I21" s="73"/>
      <c r="J21" s="73"/>
      <c r="K21" s="73"/>
      <c r="L21" s="73"/>
      <c r="M21" s="73"/>
      <c r="N21" s="73"/>
      <c r="O21" s="73"/>
      <c r="P21" s="73"/>
      <c r="Q21" s="73"/>
      <c r="R21" s="73"/>
      <c r="S21" s="73"/>
    </row>
    <row r="22" spans="1:19" ht="15.75" x14ac:dyDescent="0.25">
      <c r="A22" s="161">
        <v>43903</v>
      </c>
      <c r="B22" s="162">
        <v>0.53472222222222199</v>
      </c>
      <c r="C22" s="162">
        <v>0.54513888888888895</v>
      </c>
      <c r="D22" s="162">
        <f t="shared" si="0"/>
        <v>1.0416666666666963E-2</v>
      </c>
      <c r="E22" s="170" t="s">
        <v>109</v>
      </c>
      <c r="F22" s="137"/>
      <c r="G22" s="73"/>
      <c r="H22" s="73"/>
      <c r="I22" s="73"/>
      <c r="J22" s="73"/>
      <c r="K22" s="73"/>
      <c r="L22" s="73"/>
      <c r="M22" s="73"/>
      <c r="N22" s="73"/>
      <c r="O22" s="73"/>
      <c r="P22" s="73"/>
      <c r="Q22" s="73"/>
      <c r="R22" s="73"/>
      <c r="S22" s="73"/>
    </row>
    <row r="23" spans="1:19" ht="31.5" x14ac:dyDescent="0.25">
      <c r="A23" s="161">
        <v>43903</v>
      </c>
      <c r="B23" s="162">
        <v>0.54513888888888895</v>
      </c>
      <c r="C23" s="162">
        <v>0.56597222222222199</v>
      </c>
      <c r="D23" s="162">
        <f t="shared" si="0"/>
        <v>2.0833333333333037E-2</v>
      </c>
      <c r="E23" s="170" t="s">
        <v>110</v>
      </c>
      <c r="F23" s="137"/>
      <c r="G23" s="73"/>
      <c r="H23" s="73"/>
      <c r="I23" s="73"/>
      <c r="J23" s="73"/>
      <c r="K23" s="73"/>
      <c r="L23" s="73"/>
      <c r="M23" s="73"/>
      <c r="N23" s="73"/>
      <c r="O23" s="73"/>
      <c r="P23" s="73"/>
      <c r="Q23" s="73"/>
      <c r="R23" s="73"/>
      <c r="S23" s="73"/>
    </row>
    <row r="24" spans="1:19" ht="15.75" x14ac:dyDescent="0.25">
      <c r="A24" s="171">
        <v>43903</v>
      </c>
      <c r="B24" s="172">
        <v>0.70833333333333304</v>
      </c>
      <c r="C24" s="172">
        <v>0.72916666666666696</v>
      </c>
      <c r="D24" s="172">
        <f t="shared" si="0"/>
        <v>2.0833333333333925E-2</v>
      </c>
      <c r="E24" s="173" t="s">
        <v>111</v>
      </c>
      <c r="F24" s="137"/>
      <c r="G24" s="73"/>
      <c r="H24" s="73"/>
      <c r="I24" s="73"/>
      <c r="J24" s="73"/>
      <c r="K24" s="73"/>
      <c r="L24" s="73"/>
      <c r="M24" s="73"/>
      <c r="N24" s="73"/>
      <c r="O24" s="73"/>
      <c r="P24" s="73"/>
      <c r="Q24" s="73"/>
      <c r="R24" s="73"/>
      <c r="S24" s="73"/>
    </row>
    <row r="25" spans="1:19" ht="15.75" customHeight="1" x14ac:dyDescent="0.25">
      <c r="A25" s="44">
        <v>43904</v>
      </c>
      <c r="B25" s="159">
        <v>0.83333333333333304</v>
      </c>
      <c r="C25" s="159">
        <v>0.89583333333333304</v>
      </c>
      <c r="D25" s="159">
        <f t="shared" si="0"/>
        <v>6.25E-2</v>
      </c>
      <c r="E25" s="174" t="s">
        <v>112</v>
      </c>
      <c r="F25" s="137"/>
      <c r="G25" s="73"/>
      <c r="H25" s="73"/>
      <c r="I25" s="73"/>
      <c r="J25" s="73"/>
      <c r="K25" s="73"/>
      <c r="L25" s="73"/>
      <c r="M25" s="73"/>
      <c r="N25" s="73"/>
      <c r="O25" s="73"/>
      <c r="P25" s="73"/>
      <c r="Q25" s="73"/>
      <c r="R25" s="73"/>
      <c r="S25" s="73"/>
    </row>
    <row r="26" spans="1:19" ht="15.75" x14ac:dyDescent="0.25">
      <c r="A26" s="145">
        <v>43905</v>
      </c>
      <c r="B26" s="146">
        <v>0.58333333333333304</v>
      </c>
      <c r="C26" s="146">
        <v>0.59722222222222199</v>
      </c>
      <c r="D26" s="146">
        <f t="shared" si="0"/>
        <v>1.3888888888888951E-2</v>
      </c>
      <c r="E26" s="164" t="s">
        <v>48</v>
      </c>
      <c r="F26" s="137"/>
      <c r="G26" s="73"/>
      <c r="H26" s="73"/>
      <c r="I26" s="73"/>
      <c r="J26" s="73"/>
      <c r="K26" s="73"/>
      <c r="L26" s="73"/>
      <c r="M26" s="73"/>
      <c r="N26" s="73"/>
      <c r="O26" s="73"/>
      <c r="P26" s="73"/>
      <c r="Q26" s="73"/>
      <c r="R26" s="73"/>
      <c r="S26" s="73"/>
    </row>
    <row r="27" spans="1:19" ht="47.25" x14ac:dyDescent="0.25">
      <c r="A27" s="171">
        <v>43905</v>
      </c>
      <c r="B27" s="172">
        <v>0.59722222222222199</v>
      </c>
      <c r="C27" s="172">
        <v>0.61458333333333304</v>
      </c>
      <c r="D27" s="172">
        <f t="shared" si="0"/>
        <v>1.7361111111111049E-2</v>
      </c>
      <c r="E27" s="173" t="s">
        <v>113</v>
      </c>
      <c r="F27" s="137"/>
      <c r="G27" s="73"/>
      <c r="H27" s="73"/>
      <c r="I27" s="73"/>
      <c r="J27" s="73"/>
      <c r="K27" s="73"/>
      <c r="L27" s="73"/>
      <c r="M27" s="73"/>
      <c r="N27" s="73"/>
      <c r="O27" s="73"/>
      <c r="P27" s="73"/>
      <c r="Q27" s="73"/>
      <c r="R27" s="73"/>
      <c r="S27" s="73"/>
    </row>
    <row r="28" spans="1:19" ht="31.5" x14ac:dyDescent="0.25">
      <c r="A28" s="161">
        <v>43905</v>
      </c>
      <c r="B28" s="162">
        <v>0.625</v>
      </c>
      <c r="C28" s="162">
        <v>0.71875</v>
      </c>
      <c r="D28" s="162">
        <f t="shared" si="0"/>
        <v>9.375E-2</v>
      </c>
      <c r="E28" s="170" t="s">
        <v>114</v>
      </c>
      <c r="F28" s="137"/>
      <c r="G28" s="73"/>
      <c r="H28" s="73"/>
      <c r="I28" s="73"/>
      <c r="J28" s="73"/>
      <c r="K28" s="73"/>
      <c r="L28" s="73"/>
      <c r="M28" s="73"/>
      <c r="N28" s="73"/>
      <c r="O28" s="73"/>
      <c r="P28" s="73"/>
      <c r="Q28" s="73"/>
      <c r="R28" s="73"/>
      <c r="S28" s="73"/>
    </row>
    <row r="29" spans="1:19" ht="31.5" x14ac:dyDescent="0.25">
      <c r="A29" s="161">
        <v>43905</v>
      </c>
      <c r="B29" s="162">
        <v>0.78125</v>
      </c>
      <c r="C29" s="162">
        <v>0.84375</v>
      </c>
      <c r="D29" s="162">
        <f t="shared" si="0"/>
        <v>6.25E-2</v>
      </c>
      <c r="E29" s="170" t="s">
        <v>114</v>
      </c>
      <c r="F29" s="137"/>
      <c r="G29" s="73"/>
      <c r="H29" s="73"/>
      <c r="I29" s="73"/>
      <c r="J29" s="73"/>
      <c r="K29" s="73"/>
      <c r="L29" s="73"/>
      <c r="M29" s="73"/>
      <c r="N29" s="73"/>
      <c r="O29" s="73"/>
      <c r="P29" s="73"/>
      <c r="Q29" s="73"/>
      <c r="R29" s="73"/>
      <c r="S29" s="73"/>
    </row>
    <row r="30" spans="1:19" ht="15.75" x14ac:dyDescent="0.25">
      <c r="A30" s="161">
        <v>43905</v>
      </c>
      <c r="B30" s="162">
        <v>0.84375</v>
      </c>
      <c r="C30" s="162">
        <v>0.875</v>
      </c>
      <c r="D30" s="162">
        <f t="shared" si="0"/>
        <v>3.125E-2</v>
      </c>
      <c r="E30" s="170" t="s">
        <v>84</v>
      </c>
      <c r="F30" s="137"/>
      <c r="G30" s="73"/>
      <c r="H30" s="73"/>
      <c r="I30" s="73"/>
      <c r="J30" s="73"/>
      <c r="K30" s="73"/>
      <c r="L30" s="73"/>
      <c r="M30" s="73"/>
      <c r="N30" s="73"/>
      <c r="O30" s="73"/>
      <c r="P30" s="73"/>
      <c r="Q30" s="73"/>
      <c r="R30" s="73"/>
      <c r="S30" s="73"/>
    </row>
    <row r="31" spans="1:19" ht="15.75" x14ac:dyDescent="0.25">
      <c r="A31" s="161">
        <v>43905</v>
      </c>
      <c r="B31" s="162">
        <v>0.875</v>
      </c>
      <c r="C31" s="162">
        <v>0.90972222222222199</v>
      </c>
      <c r="D31" s="162">
        <f t="shared" si="0"/>
        <v>3.4722222222221988E-2</v>
      </c>
      <c r="E31" s="170" t="s">
        <v>115</v>
      </c>
      <c r="F31" s="137"/>
      <c r="G31" s="73"/>
      <c r="H31" s="73"/>
      <c r="I31" s="73"/>
      <c r="J31" s="73"/>
      <c r="K31" s="73"/>
      <c r="L31" s="73"/>
      <c r="M31" s="73"/>
      <c r="N31" s="73"/>
      <c r="O31" s="73"/>
      <c r="P31" s="73"/>
      <c r="Q31" s="73"/>
      <c r="R31" s="73"/>
      <c r="S31" s="73"/>
    </row>
    <row r="32" spans="1:19" ht="15.75" x14ac:dyDescent="0.25">
      <c r="A32" s="175">
        <v>43905</v>
      </c>
      <c r="B32" s="176">
        <v>0.90972222222222199</v>
      </c>
      <c r="C32" s="176">
        <v>0.9375</v>
      </c>
      <c r="D32" s="176">
        <f t="shared" si="0"/>
        <v>2.7777777777778012E-2</v>
      </c>
      <c r="E32" s="177" t="s">
        <v>116</v>
      </c>
      <c r="F32" s="139"/>
      <c r="G32" s="73"/>
      <c r="H32" s="73"/>
      <c r="I32" s="73"/>
      <c r="J32" s="73"/>
      <c r="K32" s="73"/>
      <c r="L32" s="73"/>
      <c r="M32" s="73"/>
      <c r="N32" s="73"/>
      <c r="O32" s="73"/>
      <c r="P32" s="73"/>
      <c r="Q32" s="73"/>
      <c r="R32" s="73"/>
      <c r="S32" s="73"/>
    </row>
    <row r="33" spans="1:19" x14ac:dyDescent="0.2">
      <c r="A33" s="73"/>
      <c r="B33" s="73"/>
      <c r="C33" s="73"/>
      <c r="D33" s="73"/>
      <c r="E33" s="73"/>
      <c r="F33" s="73"/>
      <c r="G33" s="73"/>
      <c r="H33" s="73"/>
      <c r="I33" s="73"/>
      <c r="J33" s="73"/>
      <c r="K33" s="73"/>
      <c r="L33" s="73"/>
      <c r="M33" s="73"/>
      <c r="N33" s="73"/>
      <c r="O33" s="73"/>
      <c r="P33" s="73"/>
      <c r="Q33" s="73"/>
      <c r="R33" s="73"/>
      <c r="S33" s="73"/>
    </row>
    <row r="34" spans="1:19" x14ac:dyDescent="0.2">
      <c r="A34" s="73"/>
      <c r="B34" s="73"/>
      <c r="C34" s="73"/>
      <c r="D34" s="73"/>
      <c r="E34" s="73"/>
      <c r="F34" s="73"/>
      <c r="G34" s="73"/>
      <c r="H34" s="73"/>
      <c r="I34" s="73"/>
      <c r="J34" s="73"/>
      <c r="K34" s="73"/>
      <c r="L34" s="73"/>
      <c r="M34" s="73"/>
      <c r="N34" s="73"/>
      <c r="O34" s="73"/>
      <c r="P34" s="73"/>
      <c r="Q34" s="73"/>
      <c r="R34" s="73"/>
      <c r="S34" s="73"/>
    </row>
    <row r="35" spans="1:19" x14ac:dyDescent="0.2">
      <c r="A35" s="73"/>
      <c r="B35" s="73"/>
      <c r="C35" s="73"/>
      <c r="D35" s="73"/>
      <c r="E35" s="73"/>
      <c r="F35" s="73"/>
      <c r="G35" s="73"/>
      <c r="H35" s="73"/>
      <c r="I35" s="73"/>
      <c r="J35" s="73"/>
      <c r="K35" s="73"/>
      <c r="L35" s="73"/>
      <c r="M35" s="73"/>
      <c r="N35" s="73"/>
      <c r="O35" s="73"/>
      <c r="P35" s="73"/>
      <c r="Q35" s="73"/>
      <c r="R35" s="73"/>
      <c r="S35" s="73"/>
    </row>
    <row r="36" spans="1:19" x14ac:dyDescent="0.2">
      <c r="A36" s="73"/>
      <c r="B36" s="73"/>
      <c r="C36" s="73"/>
      <c r="D36" s="73"/>
      <c r="E36" s="73"/>
      <c r="F36" s="73"/>
      <c r="G36" s="73"/>
      <c r="H36" s="73"/>
      <c r="I36" s="73"/>
      <c r="J36" s="73"/>
      <c r="K36" s="73"/>
      <c r="L36" s="73"/>
      <c r="M36" s="73"/>
      <c r="N36" s="73"/>
      <c r="O36" s="73"/>
      <c r="P36" s="73"/>
      <c r="Q36" s="73"/>
      <c r="R36" s="73"/>
      <c r="S36" s="73"/>
    </row>
    <row r="37" spans="1:19" x14ac:dyDescent="0.2">
      <c r="A37" s="238" t="s">
        <v>23</v>
      </c>
      <c r="B37" s="238"/>
      <c r="C37" s="238"/>
      <c r="D37" s="238"/>
      <c r="E37" s="238"/>
      <c r="F37" s="238"/>
      <c r="G37" s="73"/>
      <c r="H37" s="73"/>
      <c r="I37" s="73"/>
      <c r="J37" s="73"/>
      <c r="K37" s="73"/>
      <c r="L37" s="73"/>
      <c r="M37" s="73"/>
      <c r="N37" s="73"/>
      <c r="O37" s="73"/>
      <c r="P37" s="73"/>
      <c r="Q37" s="73"/>
      <c r="R37" s="73"/>
      <c r="S37" s="73"/>
    </row>
    <row r="38" spans="1:19" x14ac:dyDescent="0.2">
      <c r="A38" s="238"/>
      <c r="B38" s="238"/>
      <c r="C38" s="238"/>
      <c r="D38" s="238"/>
      <c r="E38" s="238"/>
      <c r="F38" s="238"/>
      <c r="G38" s="73"/>
      <c r="H38" s="73"/>
      <c r="I38" s="73"/>
      <c r="J38" s="73"/>
      <c r="K38" s="73"/>
      <c r="L38" s="73"/>
      <c r="M38" s="73"/>
      <c r="N38" s="73"/>
      <c r="O38" s="73"/>
      <c r="P38" s="73"/>
      <c r="Q38" s="73"/>
      <c r="R38" s="73"/>
      <c r="S38" s="73"/>
    </row>
    <row r="39" spans="1:19" x14ac:dyDescent="0.2">
      <c r="A39" s="73"/>
      <c r="B39" s="73"/>
      <c r="C39" s="73"/>
      <c r="D39" s="73"/>
      <c r="E39" s="73"/>
      <c r="F39" s="73"/>
      <c r="G39" s="73"/>
      <c r="H39" s="73"/>
      <c r="I39" s="73"/>
      <c r="J39" s="73"/>
      <c r="K39" s="73"/>
      <c r="L39" s="73"/>
      <c r="M39" s="73"/>
      <c r="N39" s="73"/>
      <c r="O39" s="73"/>
      <c r="P39" s="73"/>
      <c r="Q39" s="73"/>
      <c r="R39" s="73"/>
      <c r="S39" s="73"/>
    </row>
    <row r="40" spans="1:19" ht="305.25" customHeight="1" x14ac:dyDescent="0.2">
      <c r="A40" s="236" t="s">
        <v>117</v>
      </c>
      <c r="B40" s="236"/>
      <c r="C40" s="236"/>
      <c r="D40" s="236"/>
      <c r="E40" s="236"/>
      <c r="F40" s="236"/>
      <c r="G40" s="73"/>
      <c r="H40" s="73"/>
      <c r="I40" s="73"/>
      <c r="J40" s="73"/>
      <c r="K40" s="73"/>
      <c r="L40" s="73"/>
      <c r="M40" s="73"/>
      <c r="N40" s="73"/>
      <c r="O40" s="73"/>
      <c r="P40" s="73"/>
      <c r="Q40" s="73"/>
      <c r="R40" s="73"/>
      <c r="S40" s="73"/>
    </row>
    <row r="41" spans="1:19" ht="42.6" customHeight="1" x14ac:dyDescent="0.2">
      <c r="A41" s="236"/>
      <c r="B41" s="236"/>
      <c r="C41" s="236"/>
      <c r="D41" s="236"/>
      <c r="E41" s="236"/>
      <c r="F41" s="236"/>
      <c r="G41" s="73"/>
      <c r="H41" s="73"/>
      <c r="I41" s="73"/>
      <c r="J41" s="73"/>
      <c r="K41" s="73"/>
      <c r="L41" s="73"/>
      <c r="M41" s="73"/>
      <c r="N41" s="73"/>
      <c r="O41" s="73"/>
      <c r="P41" s="73"/>
      <c r="Q41" s="73"/>
      <c r="R41" s="73"/>
      <c r="S41" s="73"/>
    </row>
    <row r="42" spans="1:19" ht="62.65" customHeight="1" x14ac:dyDescent="0.2">
      <c r="A42" s="236"/>
      <c r="B42" s="236"/>
      <c r="C42" s="236"/>
      <c r="D42" s="236"/>
      <c r="E42" s="236"/>
      <c r="F42" s="236"/>
      <c r="G42" s="73"/>
      <c r="H42" s="73"/>
      <c r="I42" s="73"/>
      <c r="J42" s="73"/>
      <c r="K42" s="73"/>
      <c r="L42" s="73"/>
      <c r="M42" s="73"/>
      <c r="N42" s="73"/>
      <c r="O42" s="73"/>
      <c r="P42" s="73"/>
      <c r="Q42" s="73"/>
      <c r="R42" s="73"/>
      <c r="S42" s="73"/>
    </row>
    <row r="43" spans="1:19" ht="67.150000000000006" customHeight="1" x14ac:dyDescent="0.2">
      <c r="A43" s="236"/>
      <c r="B43" s="236"/>
      <c r="C43" s="236"/>
      <c r="D43" s="236"/>
      <c r="E43" s="236"/>
      <c r="F43" s="236"/>
      <c r="G43" s="73"/>
      <c r="H43" s="73"/>
      <c r="I43" s="73"/>
      <c r="J43" s="73"/>
      <c r="K43" s="73"/>
      <c r="L43" s="73"/>
      <c r="M43" s="73"/>
      <c r="N43" s="73"/>
      <c r="O43" s="73"/>
      <c r="P43" s="73"/>
      <c r="Q43" s="73"/>
      <c r="R43" s="73"/>
      <c r="S43" s="73"/>
    </row>
    <row r="44" spans="1:19" ht="68.650000000000006" customHeight="1" x14ac:dyDescent="0.2">
      <c r="A44" s="236"/>
      <c r="B44" s="236"/>
      <c r="C44" s="236"/>
      <c r="D44" s="236"/>
      <c r="E44" s="236"/>
      <c r="F44" s="236"/>
      <c r="G44" s="73"/>
      <c r="H44" s="73"/>
      <c r="I44" s="73"/>
      <c r="J44" s="73"/>
      <c r="K44" s="73"/>
      <c r="L44" s="73"/>
      <c r="M44" s="73"/>
      <c r="N44" s="73"/>
      <c r="O44" s="73"/>
      <c r="P44" s="73"/>
      <c r="Q44" s="73"/>
      <c r="R44" s="73"/>
      <c r="S44" s="73"/>
    </row>
    <row r="45" spans="1:19" ht="65.650000000000006" customHeight="1" x14ac:dyDescent="0.2">
      <c r="A45" s="236"/>
      <c r="B45" s="236"/>
      <c r="C45" s="236"/>
      <c r="D45" s="236"/>
      <c r="E45" s="236"/>
      <c r="F45" s="236"/>
      <c r="G45" s="73"/>
      <c r="H45" s="73"/>
      <c r="I45" s="73"/>
      <c r="J45" s="73"/>
      <c r="K45" s="73"/>
      <c r="L45" s="73"/>
      <c r="M45" s="73"/>
      <c r="N45" s="73"/>
      <c r="O45" s="73"/>
      <c r="P45" s="73"/>
      <c r="Q45" s="73"/>
      <c r="R45" s="73"/>
      <c r="S45" s="73"/>
    </row>
    <row r="46" spans="1:19" ht="56.65" customHeight="1" x14ac:dyDescent="0.2">
      <c r="A46" s="236"/>
      <c r="B46" s="236"/>
      <c r="C46" s="236"/>
      <c r="D46" s="236"/>
      <c r="E46" s="236"/>
      <c r="F46" s="236"/>
      <c r="G46" s="73"/>
      <c r="H46" s="73"/>
      <c r="I46" s="73"/>
      <c r="J46" s="73"/>
      <c r="K46" s="73"/>
      <c r="L46" s="73"/>
      <c r="M46" s="73"/>
      <c r="N46" s="73"/>
      <c r="O46" s="73"/>
      <c r="P46" s="73"/>
      <c r="Q46" s="73"/>
      <c r="R46" s="73"/>
      <c r="S46" s="73"/>
    </row>
    <row r="47" spans="1:19" ht="48.6" customHeight="1" x14ac:dyDescent="0.2">
      <c r="A47" s="236"/>
      <c r="B47" s="236"/>
      <c r="C47" s="236"/>
      <c r="D47" s="236"/>
      <c r="E47" s="236"/>
      <c r="F47" s="236"/>
      <c r="G47" s="73"/>
      <c r="H47" s="73"/>
      <c r="I47" s="73"/>
      <c r="J47" s="73"/>
      <c r="K47" s="73"/>
      <c r="L47" s="73"/>
      <c r="M47" s="73"/>
      <c r="N47" s="73"/>
      <c r="O47" s="73"/>
      <c r="P47" s="73"/>
      <c r="Q47" s="73"/>
      <c r="R47" s="73"/>
      <c r="S47" s="73"/>
    </row>
    <row r="48" spans="1:19" x14ac:dyDescent="0.2">
      <c r="A48" s="236"/>
      <c r="B48" s="236"/>
      <c r="C48" s="236"/>
      <c r="D48" s="236"/>
      <c r="E48" s="236"/>
      <c r="F48" s="236"/>
      <c r="G48" s="73"/>
      <c r="H48" s="73"/>
      <c r="I48" s="73"/>
      <c r="J48" s="73"/>
      <c r="K48" s="73"/>
      <c r="L48" s="73"/>
      <c r="M48" s="73"/>
      <c r="N48" s="73"/>
      <c r="O48" s="73"/>
      <c r="P48" s="73"/>
      <c r="Q48" s="73"/>
      <c r="R48" s="73"/>
      <c r="S48" s="73"/>
    </row>
    <row r="49" spans="1:19" x14ac:dyDescent="0.2">
      <c r="A49" s="236"/>
      <c r="B49" s="236"/>
      <c r="C49" s="236"/>
      <c r="D49" s="236"/>
      <c r="E49" s="236"/>
      <c r="F49" s="236"/>
      <c r="G49" s="73"/>
      <c r="H49" s="73"/>
      <c r="I49" s="73"/>
      <c r="J49" s="73"/>
      <c r="K49" s="73"/>
      <c r="L49" s="73"/>
      <c r="M49" s="73"/>
      <c r="N49" s="73"/>
      <c r="O49" s="73"/>
      <c r="P49" s="73"/>
      <c r="Q49" s="73"/>
      <c r="R49" s="73"/>
      <c r="S49" s="73"/>
    </row>
    <row r="50" spans="1:19" x14ac:dyDescent="0.2">
      <c r="A50" s="236"/>
      <c r="B50" s="236"/>
      <c r="C50" s="236"/>
      <c r="D50" s="236"/>
      <c r="E50" s="236"/>
      <c r="F50" s="236"/>
      <c r="G50" s="73"/>
      <c r="H50" s="73"/>
      <c r="I50" s="73"/>
      <c r="J50" s="73"/>
      <c r="K50" s="73"/>
      <c r="L50" s="73"/>
      <c r="M50" s="73"/>
      <c r="N50" s="73"/>
      <c r="O50" s="73"/>
      <c r="P50" s="73"/>
      <c r="Q50" s="73"/>
      <c r="R50" s="73"/>
      <c r="S50" s="73"/>
    </row>
    <row r="51" spans="1:19" x14ac:dyDescent="0.2">
      <c r="A51" s="73"/>
      <c r="B51" s="73"/>
      <c r="C51" s="73"/>
      <c r="D51" s="73"/>
      <c r="E51" s="73"/>
      <c r="F51" s="73"/>
      <c r="G51" s="73"/>
      <c r="H51" s="73"/>
      <c r="I51" s="73"/>
      <c r="J51" s="73"/>
      <c r="K51" s="73"/>
      <c r="L51" s="73"/>
      <c r="M51" s="73"/>
      <c r="N51" s="73"/>
      <c r="O51" s="73"/>
      <c r="P51" s="73"/>
      <c r="Q51" s="73"/>
      <c r="R51" s="73"/>
      <c r="S51" s="73"/>
    </row>
    <row r="52" spans="1:19" x14ac:dyDescent="0.2">
      <c r="A52" s="73"/>
      <c r="B52" s="73"/>
      <c r="C52" s="73"/>
      <c r="D52" s="73"/>
      <c r="E52" s="73"/>
      <c r="F52" s="73"/>
      <c r="G52" s="73"/>
      <c r="H52" s="73"/>
      <c r="I52" s="73"/>
      <c r="J52" s="73"/>
      <c r="K52" s="73"/>
      <c r="L52" s="73"/>
      <c r="M52" s="73"/>
      <c r="N52" s="73"/>
      <c r="O52" s="73"/>
      <c r="P52" s="73"/>
      <c r="Q52" s="73"/>
      <c r="R52" s="73"/>
      <c r="S52" s="73"/>
    </row>
    <row r="53" spans="1:19" ht="15" x14ac:dyDescent="0.2">
      <c r="A53" s="73"/>
      <c r="B53" s="101"/>
      <c r="C53" s="101"/>
      <c r="D53" s="101"/>
      <c r="E53" s="101"/>
      <c r="F53" s="101"/>
      <c r="G53" s="73"/>
      <c r="H53" s="73"/>
      <c r="I53" s="73"/>
      <c r="J53" s="73"/>
      <c r="K53" s="73"/>
      <c r="L53" s="73"/>
      <c r="M53" s="73"/>
      <c r="N53" s="73"/>
      <c r="O53" s="73"/>
      <c r="P53" s="73"/>
      <c r="Q53" s="73"/>
      <c r="R53" s="73"/>
      <c r="S53" s="73"/>
    </row>
    <row r="54" spans="1:19" ht="15" x14ac:dyDescent="0.2">
      <c r="B54" s="72"/>
      <c r="C54" s="72"/>
      <c r="D54" s="72"/>
      <c r="E54" s="72"/>
      <c r="F54" s="72"/>
    </row>
  </sheetData>
  <mergeCells count="5">
    <mergeCell ref="A1:F2"/>
    <mergeCell ref="A5:A6"/>
    <mergeCell ref="C5:C6"/>
    <mergeCell ref="A37:F38"/>
    <mergeCell ref="A40:F50"/>
  </mergeCells>
  <conditionalFormatting sqref="A3">
    <cfRule type="expression" dxfId="9" priority="2">
      <formula>LEN(TRIM(#REF!))&gt;0</formula>
    </cfRule>
  </conditionalFormatting>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4B5DE-44D3-47D9-9104-EB9374D1DC7F}">
  <dimension ref="A1:S54"/>
  <sheetViews>
    <sheetView zoomScaleNormal="100" workbookViewId="0">
      <selection activeCell="F4" sqref="F4"/>
    </sheetView>
  </sheetViews>
  <sheetFormatPr baseColWidth="10" defaultColWidth="9.140625" defaultRowHeight="12.75" x14ac:dyDescent="0.2"/>
  <cols>
    <col min="1" max="1" width="15.5703125" customWidth="1"/>
    <col min="2" max="2" width="10.85546875" bestFit="1" customWidth="1"/>
    <col min="3" max="3" width="19" customWidth="1"/>
    <col min="4" max="4" width="19.140625" customWidth="1"/>
    <col min="5" max="5" width="33.85546875" customWidth="1"/>
    <col min="6" max="6" width="18.7109375" customWidth="1"/>
    <col min="7" max="7" width="16.28515625" customWidth="1"/>
    <col min="8" max="1025" width="14.42578125" customWidth="1"/>
  </cols>
  <sheetData>
    <row r="1" spans="1:19" ht="15.75" customHeight="1" x14ac:dyDescent="0.2">
      <c r="A1" s="232" t="s">
        <v>118</v>
      </c>
      <c r="B1" s="232"/>
      <c r="C1" s="232"/>
      <c r="D1" s="232"/>
      <c r="E1" s="232"/>
      <c r="F1" s="232"/>
      <c r="G1" s="73"/>
      <c r="H1" s="73"/>
      <c r="I1" s="73"/>
      <c r="J1" s="73"/>
      <c r="K1" s="73"/>
      <c r="L1" s="73"/>
      <c r="M1" s="73"/>
      <c r="N1" s="73"/>
      <c r="O1" s="73"/>
      <c r="P1" s="73"/>
      <c r="Q1" s="73"/>
      <c r="R1" s="73"/>
      <c r="S1" s="73"/>
    </row>
    <row r="2" spans="1:19" ht="15.75" customHeight="1" x14ac:dyDescent="0.2">
      <c r="A2" s="232"/>
      <c r="B2" s="232"/>
      <c r="C2" s="232"/>
      <c r="D2" s="232"/>
      <c r="E2" s="232"/>
      <c r="F2" s="232"/>
      <c r="G2" s="73"/>
      <c r="H2" s="73"/>
      <c r="I2" s="73"/>
      <c r="J2" s="73"/>
      <c r="K2" s="73"/>
      <c r="L2" s="73"/>
      <c r="M2" s="73"/>
      <c r="N2" s="73"/>
      <c r="O2" s="73"/>
      <c r="P2" s="73"/>
      <c r="Q2" s="73"/>
      <c r="R2" s="73"/>
      <c r="S2" s="73"/>
    </row>
    <row r="3" spans="1:19" ht="15.75" customHeight="1" x14ac:dyDescent="0.25">
      <c r="A3" s="74" t="s">
        <v>1</v>
      </c>
      <c r="B3" s="73"/>
      <c r="C3" s="74" t="s">
        <v>2</v>
      </c>
      <c r="D3" s="75" t="s">
        <v>3</v>
      </c>
      <c r="E3" s="74" t="s">
        <v>4</v>
      </c>
      <c r="F3" s="74" t="s">
        <v>5</v>
      </c>
      <c r="G3" s="73"/>
      <c r="H3" s="73"/>
      <c r="I3" s="73"/>
      <c r="J3" s="73"/>
      <c r="K3" s="73"/>
      <c r="L3" s="73"/>
      <c r="M3" s="73"/>
      <c r="N3" s="73"/>
      <c r="O3" s="73"/>
      <c r="P3" s="73"/>
      <c r="Q3" s="73"/>
      <c r="R3" s="73"/>
      <c r="S3" s="73"/>
    </row>
    <row r="4" spans="1:19" ht="15.75" customHeight="1" x14ac:dyDescent="0.25">
      <c r="A4" s="132">
        <v>43906</v>
      </c>
      <c r="B4" s="133"/>
      <c r="C4" s="134">
        <v>43912</v>
      </c>
      <c r="D4" s="78" t="s">
        <v>6</v>
      </c>
      <c r="E4" s="79">
        <v>0</v>
      </c>
      <c r="F4" s="80">
        <f>'Uke11'!F4 + E4</f>
        <v>1.09375</v>
      </c>
      <c r="G4" s="73"/>
      <c r="H4" s="153"/>
      <c r="I4" s="124">
        <f>B11-B11</f>
        <v>0</v>
      </c>
      <c r="J4" s="102"/>
      <c r="K4" s="73"/>
      <c r="L4" s="73"/>
      <c r="M4" s="73"/>
      <c r="N4" s="73"/>
      <c r="O4" s="73"/>
      <c r="P4" s="73"/>
      <c r="Q4" s="73"/>
      <c r="R4" s="73"/>
      <c r="S4" s="73"/>
    </row>
    <row r="5" spans="1:19" ht="15" customHeight="1" x14ac:dyDescent="0.25">
      <c r="A5" s="233" t="s">
        <v>7</v>
      </c>
      <c r="B5" s="73"/>
      <c r="C5" s="233" t="s">
        <v>8</v>
      </c>
      <c r="D5" s="82" t="s">
        <v>9</v>
      </c>
      <c r="E5" s="79">
        <f>D14+D16</f>
        <v>0.125</v>
      </c>
      <c r="F5" s="80">
        <f>'Uke11'!F5 + E5</f>
        <v>0.7569444444444462</v>
      </c>
      <c r="G5" s="73"/>
      <c r="H5" s="153"/>
      <c r="I5" s="73"/>
      <c r="J5" s="73"/>
      <c r="K5" s="73"/>
      <c r="L5" s="73"/>
      <c r="M5" s="73"/>
      <c r="N5" s="73"/>
      <c r="O5" s="73"/>
      <c r="P5" s="73"/>
      <c r="Q5" s="73"/>
      <c r="R5" s="73"/>
      <c r="S5" s="73"/>
    </row>
    <row r="6" spans="1:19" ht="15.75" customHeight="1" x14ac:dyDescent="0.25">
      <c r="A6" s="233"/>
      <c r="B6" s="73"/>
      <c r="C6" s="233"/>
      <c r="D6" s="83" t="s">
        <v>10</v>
      </c>
      <c r="E6" s="80">
        <f>D11+D12+D13+D15</f>
        <v>0.18402777777777773</v>
      </c>
      <c r="F6" s="80">
        <f>'Uke11'!F6 + E6</f>
        <v>1.1597222222222223</v>
      </c>
      <c r="G6" s="73"/>
      <c r="H6" s="153"/>
      <c r="I6" s="153"/>
      <c r="J6" s="102"/>
      <c r="K6" s="73"/>
      <c r="L6" s="73"/>
      <c r="M6" s="73"/>
      <c r="N6" s="73"/>
      <c r="O6" s="73"/>
      <c r="P6" s="73"/>
      <c r="Q6" s="73"/>
      <c r="R6" s="73"/>
      <c r="S6" s="73"/>
    </row>
    <row r="7" spans="1:19" ht="15.75" x14ac:dyDescent="0.25">
      <c r="A7" s="135">
        <f>SUM(E4:E7)</f>
        <v>0.34374999999999994</v>
      </c>
      <c r="B7" s="133"/>
      <c r="C7" s="135">
        <f>SUM(F4:F7)</f>
        <v>4.1979166666666696</v>
      </c>
      <c r="D7" s="85" t="s">
        <v>46</v>
      </c>
      <c r="E7" s="86">
        <f>D17</f>
        <v>3.472222222222221E-2</v>
      </c>
      <c r="F7" s="84">
        <f>'Uke11'!F7 + E7</f>
        <v>1.1875000000000009</v>
      </c>
      <c r="G7" s="73"/>
      <c r="H7" s="153"/>
      <c r="I7" s="153"/>
      <c r="J7" s="102"/>
      <c r="K7" s="73"/>
      <c r="L7" s="73"/>
      <c r="M7" s="73"/>
      <c r="N7" s="73"/>
      <c r="O7" s="73"/>
      <c r="P7" s="73"/>
      <c r="Q7" s="73"/>
      <c r="R7" s="73"/>
      <c r="S7" s="73"/>
    </row>
    <row r="8" spans="1:19" x14ac:dyDescent="0.2">
      <c r="A8" s="73"/>
      <c r="B8" s="73"/>
      <c r="C8" s="73"/>
      <c r="D8" s="73"/>
      <c r="E8" s="73"/>
      <c r="F8" s="73"/>
      <c r="G8" s="73"/>
      <c r="H8" s="73"/>
      <c r="I8" s="73"/>
      <c r="J8" s="73"/>
      <c r="K8" s="73"/>
      <c r="L8" s="73"/>
      <c r="M8" s="73"/>
      <c r="N8" s="73"/>
      <c r="O8" s="73"/>
      <c r="P8" s="73"/>
      <c r="Q8" s="73"/>
      <c r="R8" s="73"/>
      <c r="S8" s="73"/>
    </row>
    <row r="9" spans="1:19" x14ac:dyDescent="0.2">
      <c r="A9" s="73"/>
      <c r="B9" s="73"/>
      <c r="C9" s="73"/>
      <c r="D9" s="73"/>
      <c r="E9" s="73"/>
      <c r="F9" s="73"/>
      <c r="G9" s="73"/>
      <c r="H9" s="73"/>
      <c r="I9" s="73"/>
      <c r="J9" s="73"/>
      <c r="K9" s="73"/>
      <c r="L9" s="73"/>
      <c r="M9" s="73"/>
      <c r="N9" s="73"/>
      <c r="O9" s="73"/>
      <c r="P9" s="73"/>
      <c r="Q9" s="73"/>
      <c r="R9" s="73"/>
      <c r="S9" s="73"/>
    </row>
    <row r="10" spans="1:19" ht="15.75" x14ac:dyDescent="0.25">
      <c r="A10" s="74" t="s">
        <v>12</v>
      </c>
      <c r="B10" s="74" t="s">
        <v>57</v>
      </c>
      <c r="C10" s="74" t="s">
        <v>58</v>
      </c>
      <c r="D10" s="74" t="s">
        <v>59</v>
      </c>
      <c r="E10" s="74" t="s">
        <v>47</v>
      </c>
      <c r="F10" s="74" t="s">
        <v>39</v>
      </c>
      <c r="G10" s="73"/>
      <c r="H10" s="73"/>
      <c r="I10" s="73"/>
      <c r="J10" s="73"/>
      <c r="K10" s="73"/>
      <c r="L10" s="73"/>
      <c r="M10" s="73"/>
      <c r="N10" s="73"/>
      <c r="O10" s="73"/>
      <c r="P10" s="73"/>
      <c r="Q10" s="73"/>
      <c r="R10" s="73"/>
      <c r="S10" s="73"/>
    </row>
    <row r="11" spans="1:19" ht="15.75" x14ac:dyDescent="0.25">
      <c r="A11" s="145">
        <v>43906</v>
      </c>
      <c r="B11" s="146">
        <v>0.58333333333333337</v>
      </c>
      <c r="C11" s="146">
        <v>0.60763888888888895</v>
      </c>
      <c r="D11" s="146">
        <f t="shared" ref="D11:D12" si="0">C11-B11</f>
        <v>2.430555555555558E-2</v>
      </c>
      <c r="E11" s="164" t="s">
        <v>119</v>
      </c>
      <c r="F11" s="112"/>
      <c r="G11" s="73"/>
      <c r="H11" s="73"/>
      <c r="I11" s="73"/>
      <c r="J11" s="73"/>
      <c r="K11" s="73"/>
      <c r="L11" s="73"/>
      <c r="M11" s="73"/>
      <c r="N11" s="73"/>
      <c r="O11" s="73"/>
      <c r="P11" s="73"/>
      <c r="Q11" s="73"/>
      <c r="R11" s="73"/>
      <c r="S11" s="73"/>
    </row>
    <row r="12" spans="1:19" ht="15.75" x14ac:dyDescent="0.25">
      <c r="A12" s="145">
        <v>43908</v>
      </c>
      <c r="B12" s="146">
        <v>0.48958333333333331</v>
      </c>
      <c r="C12" s="146">
        <v>0.50694444444444442</v>
      </c>
      <c r="D12" s="146">
        <f t="shared" si="0"/>
        <v>1.7361111111111105E-2</v>
      </c>
      <c r="E12" s="164" t="s">
        <v>48</v>
      </c>
      <c r="F12" s="125"/>
      <c r="G12" s="73"/>
      <c r="H12" s="73"/>
      <c r="I12" s="73"/>
      <c r="J12" s="73"/>
      <c r="K12" s="73"/>
      <c r="L12" s="73"/>
      <c r="M12" s="73"/>
      <c r="N12" s="73"/>
      <c r="O12" s="73"/>
      <c r="P12" s="73"/>
      <c r="Q12" s="73"/>
      <c r="R12" s="73"/>
      <c r="S12" s="73"/>
    </row>
    <row r="13" spans="1:19" ht="27" customHeight="1" x14ac:dyDescent="0.25">
      <c r="A13" s="145">
        <v>43911</v>
      </c>
      <c r="B13" s="146">
        <v>0.54166666666666663</v>
      </c>
      <c r="C13" s="146">
        <v>0.57986111111111105</v>
      </c>
      <c r="D13" s="146">
        <f>C13-B13</f>
        <v>3.819444444444442E-2</v>
      </c>
      <c r="E13" s="164" t="s">
        <v>120</v>
      </c>
      <c r="F13" s="114"/>
      <c r="G13" s="73"/>
      <c r="H13" s="73"/>
      <c r="I13" s="73"/>
      <c r="J13" s="73"/>
      <c r="K13" s="73"/>
      <c r="L13" s="73"/>
      <c r="M13" s="73"/>
      <c r="N13" s="73"/>
      <c r="O13" s="73"/>
      <c r="P13" s="73"/>
      <c r="Q13" s="73"/>
      <c r="R13" s="73"/>
      <c r="S13" s="73"/>
    </row>
    <row r="14" spans="1:19" ht="31.5" x14ac:dyDescent="0.25">
      <c r="A14" s="178">
        <v>43912</v>
      </c>
      <c r="B14" s="179">
        <v>0.60416666666666663</v>
      </c>
      <c r="C14" s="179">
        <v>0.66666666666666663</v>
      </c>
      <c r="D14" s="179">
        <f>C14-B14</f>
        <v>6.25E-2</v>
      </c>
      <c r="E14" s="180" t="s">
        <v>121</v>
      </c>
      <c r="F14" s="122" t="s">
        <v>122</v>
      </c>
      <c r="G14" s="73"/>
      <c r="H14" s="73"/>
      <c r="I14" s="73"/>
      <c r="J14" s="73"/>
      <c r="K14" s="73"/>
      <c r="L14" s="73"/>
      <c r="M14" s="73"/>
      <c r="N14" s="73"/>
      <c r="O14" s="73"/>
      <c r="P14" s="73"/>
      <c r="Q14" s="73"/>
      <c r="R14" s="73"/>
      <c r="S14" s="73"/>
    </row>
    <row r="15" spans="1:19" ht="47.25" customHeight="1" x14ac:dyDescent="0.25">
      <c r="A15" s="145">
        <v>43912</v>
      </c>
      <c r="B15" s="146">
        <v>0.6875</v>
      </c>
      <c r="C15" s="146">
        <v>0.79166666666666663</v>
      </c>
      <c r="D15" s="146">
        <f>C15-B15</f>
        <v>0.10416666666666663</v>
      </c>
      <c r="E15" s="164" t="s">
        <v>123</v>
      </c>
      <c r="F15" s="122"/>
      <c r="G15" s="73"/>
      <c r="H15" s="73"/>
      <c r="I15" s="73"/>
      <c r="J15" s="73"/>
      <c r="K15" s="73"/>
      <c r="L15" s="73"/>
      <c r="M15" s="73"/>
      <c r="N15" s="73"/>
      <c r="O15" s="73"/>
      <c r="P15" s="73"/>
      <c r="Q15" s="73"/>
      <c r="R15" s="73"/>
      <c r="S15" s="73"/>
    </row>
    <row r="16" spans="1:19" ht="32.25" thickBot="1" x14ac:dyDescent="0.3">
      <c r="A16" s="178">
        <v>43912</v>
      </c>
      <c r="B16" s="179">
        <v>0.83333333333333337</v>
      </c>
      <c r="C16" s="179">
        <v>0.89583333333333337</v>
      </c>
      <c r="D16" s="179">
        <f>C16-B16</f>
        <v>6.25E-2</v>
      </c>
      <c r="E16" s="180" t="s">
        <v>121</v>
      </c>
      <c r="F16" s="122" t="s">
        <v>122</v>
      </c>
      <c r="G16" s="73"/>
      <c r="H16" s="73"/>
      <c r="I16" s="73"/>
      <c r="J16" s="73"/>
      <c r="K16" s="73"/>
      <c r="L16" s="73"/>
      <c r="M16" s="73"/>
      <c r="N16" s="73"/>
      <c r="O16" s="73"/>
      <c r="P16" s="73"/>
      <c r="Q16" s="73"/>
      <c r="R16" s="73"/>
      <c r="S16" s="73"/>
    </row>
    <row r="17" spans="1:19" ht="16.5" thickBot="1" x14ac:dyDescent="0.3">
      <c r="A17" s="181">
        <v>43912</v>
      </c>
      <c r="B17" s="182">
        <v>0.90277777777777779</v>
      </c>
      <c r="C17" s="182">
        <v>0.9375</v>
      </c>
      <c r="D17" s="182">
        <f>C17-B17</f>
        <v>3.472222222222221E-2</v>
      </c>
      <c r="E17" s="183" t="s">
        <v>124</v>
      </c>
      <c r="F17" s="139"/>
      <c r="G17" s="73"/>
      <c r="H17" s="73"/>
      <c r="I17" s="73"/>
      <c r="J17" s="73"/>
      <c r="K17" s="73"/>
      <c r="L17" s="73"/>
      <c r="M17" s="73"/>
      <c r="N17" s="73"/>
      <c r="O17" s="73"/>
      <c r="P17" s="73"/>
      <c r="Q17" s="73"/>
      <c r="R17" s="73"/>
      <c r="S17" s="73"/>
    </row>
    <row r="18" spans="1:19" ht="15.75" x14ac:dyDescent="0.25">
      <c r="A18" s="184"/>
      <c r="B18" s="185"/>
      <c r="C18" s="185"/>
      <c r="D18" s="185"/>
      <c r="E18" s="186"/>
      <c r="F18" s="130"/>
      <c r="G18" s="81"/>
      <c r="H18" s="73"/>
      <c r="I18" s="73"/>
      <c r="J18" s="73"/>
      <c r="K18" s="73"/>
      <c r="L18" s="73"/>
      <c r="M18" s="73"/>
      <c r="N18" s="73"/>
      <c r="O18" s="73"/>
      <c r="P18" s="73"/>
      <c r="Q18" s="73"/>
      <c r="R18" s="73"/>
      <c r="S18" s="73"/>
    </row>
    <row r="19" spans="1:19" ht="15.75" x14ac:dyDescent="0.25">
      <c r="A19" s="187"/>
      <c r="B19" s="188"/>
      <c r="C19" s="188"/>
      <c r="D19" s="188"/>
      <c r="E19" s="186"/>
      <c r="F19" s="130"/>
      <c r="G19" s="81"/>
      <c r="H19" s="73"/>
      <c r="I19" s="73"/>
      <c r="J19" s="73"/>
      <c r="K19" s="73"/>
      <c r="L19" s="73"/>
      <c r="M19" s="73"/>
      <c r="N19" s="73"/>
      <c r="O19" s="73"/>
      <c r="P19" s="73"/>
      <c r="Q19" s="73"/>
      <c r="R19" s="73"/>
      <c r="S19" s="73"/>
    </row>
    <row r="20" spans="1:19" ht="15.75" x14ac:dyDescent="0.25">
      <c r="A20" s="187"/>
      <c r="B20" s="188"/>
      <c r="C20" s="188"/>
      <c r="D20" s="188"/>
      <c r="E20" s="186"/>
      <c r="F20" s="131"/>
      <c r="G20" s="81"/>
      <c r="H20" s="73"/>
      <c r="I20" s="73"/>
      <c r="J20" s="73"/>
      <c r="K20" s="73"/>
      <c r="L20" s="73"/>
      <c r="M20" s="73"/>
      <c r="N20" s="73"/>
      <c r="O20" s="73"/>
      <c r="P20" s="73"/>
      <c r="Q20" s="73"/>
      <c r="R20" s="73"/>
      <c r="S20" s="73"/>
    </row>
    <row r="21" spans="1:19" x14ac:dyDescent="0.2">
      <c r="A21" s="238" t="s">
        <v>23</v>
      </c>
      <c r="B21" s="238"/>
      <c r="C21" s="238"/>
      <c r="D21" s="238"/>
      <c r="E21" s="238"/>
      <c r="F21" s="238"/>
      <c r="G21" s="73"/>
      <c r="H21" s="73"/>
      <c r="I21" s="73"/>
      <c r="J21" s="73"/>
      <c r="K21" s="73"/>
      <c r="L21" s="73"/>
      <c r="M21" s="73"/>
      <c r="N21" s="73"/>
      <c r="O21" s="73"/>
      <c r="P21" s="73"/>
      <c r="Q21" s="73"/>
      <c r="R21" s="73"/>
      <c r="S21" s="73"/>
    </row>
    <row r="22" spans="1:19" x14ac:dyDescent="0.2">
      <c r="A22" s="238"/>
      <c r="B22" s="238"/>
      <c r="C22" s="238"/>
      <c r="D22" s="238"/>
      <c r="E22" s="238"/>
      <c r="F22" s="238"/>
      <c r="G22" s="73"/>
      <c r="H22" s="73"/>
      <c r="I22" s="73"/>
      <c r="J22" s="73"/>
      <c r="K22" s="73"/>
      <c r="L22" s="73"/>
      <c r="M22" s="73"/>
      <c r="N22" s="73"/>
      <c r="O22" s="73"/>
      <c r="P22" s="73"/>
      <c r="Q22" s="73"/>
      <c r="R22" s="73"/>
      <c r="S22" s="73"/>
    </row>
    <row r="23" spans="1:19" ht="13.5" thickBot="1" x14ac:dyDescent="0.25">
      <c r="A23" s="73"/>
      <c r="B23" s="73"/>
      <c r="C23" s="73"/>
      <c r="D23" s="73"/>
      <c r="E23" s="73"/>
      <c r="F23" s="73"/>
      <c r="G23" s="73"/>
      <c r="H23" s="73"/>
      <c r="I23" s="73"/>
      <c r="J23" s="73"/>
      <c r="K23" s="73"/>
      <c r="L23" s="73"/>
      <c r="M23" s="73"/>
      <c r="N23" s="73"/>
      <c r="O23" s="73"/>
      <c r="P23" s="73"/>
      <c r="Q23" s="73"/>
      <c r="R23" s="73"/>
      <c r="S23" s="73"/>
    </row>
    <row r="24" spans="1:19" x14ac:dyDescent="0.2">
      <c r="A24" s="236" t="s">
        <v>125</v>
      </c>
      <c r="B24" s="236"/>
      <c r="C24" s="236"/>
      <c r="D24" s="236"/>
      <c r="E24" s="236"/>
      <c r="F24" s="236"/>
      <c r="G24" s="73"/>
      <c r="H24" s="73"/>
      <c r="I24" s="73"/>
      <c r="J24" s="73"/>
      <c r="K24" s="73"/>
      <c r="L24" s="73"/>
      <c r="M24" s="73"/>
      <c r="N24" s="73"/>
      <c r="O24" s="73"/>
      <c r="P24" s="73"/>
      <c r="Q24" s="73"/>
      <c r="R24" s="73"/>
      <c r="S24" s="73"/>
    </row>
    <row r="25" spans="1:19" ht="15.75" customHeight="1" x14ac:dyDescent="0.2">
      <c r="A25" s="236"/>
      <c r="B25" s="236"/>
      <c r="C25" s="236"/>
      <c r="D25" s="236"/>
      <c r="E25" s="236"/>
      <c r="F25" s="236"/>
      <c r="G25" s="73"/>
      <c r="H25" s="73"/>
      <c r="I25" s="73"/>
      <c r="J25" s="73"/>
      <c r="K25" s="73"/>
      <c r="L25" s="73"/>
      <c r="M25" s="73"/>
      <c r="N25" s="73"/>
      <c r="O25" s="73"/>
      <c r="P25" s="73"/>
      <c r="Q25" s="73"/>
      <c r="R25" s="73"/>
      <c r="S25" s="73"/>
    </row>
    <row r="26" spans="1:19" ht="117" customHeight="1" x14ac:dyDescent="0.2">
      <c r="A26" s="236"/>
      <c r="B26" s="236"/>
      <c r="C26" s="236"/>
      <c r="D26" s="236"/>
      <c r="E26" s="236"/>
      <c r="F26" s="236"/>
      <c r="G26" s="73"/>
      <c r="H26" s="73"/>
      <c r="I26" s="73"/>
      <c r="J26" s="73"/>
      <c r="K26" s="73"/>
      <c r="L26" s="73"/>
      <c r="M26" s="73"/>
      <c r="N26" s="73"/>
      <c r="O26" s="73"/>
      <c r="P26" s="73"/>
      <c r="Q26" s="73"/>
      <c r="R26" s="73"/>
      <c r="S26" s="73"/>
    </row>
    <row r="27" spans="1:19" x14ac:dyDescent="0.2">
      <c r="A27" s="236"/>
      <c r="B27" s="236"/>
      <c r="C27" s="236"/>
      <c r="D27" s="236"/>
      <c r="E27" s="236"/>
      <c r="F27" s="236"/>
      <c r="G27" s="73"/>
      <c r="H27" s="73"/>
      <c r="I27" s="73"/>
      <c r="J27" s="73"/>
      <c r="K27" s="73"/>
      <c r="L27" s="73"/>
      <c r="M27" s="73"/>
      <c r="N27" s="73"/>
      <c r="O27" s="73"/>
      <c r="P27" s="73"/>
      <c r="Q27" s="73"/>
      <c r="R27" s="73"/>
      <c r="S27" s="73"/>
    </row>
    <row r="28" spans="1:19" x14ac:dyDescent="0.2">
      <c r="A28" s="236"/>
      <c r="B28" s="236"/>
      <c r="C28" s="236"/>
      <c r="D28" s="236"/>
      <c r="E28" s="236"/>
      <c r="F28" s="236"/>
      <c r="G28" s="73"/>
      <c r="H28" s="73"/>
      <c r="I28" s="73"/>
      <c r="J28" s="73"/>
      <c r="K28" s="73"/>
      <c r="L28" s="73"/>
      <c r="M28" s="73"/>
      <c r="N28" s="73"/>
      <c r="O28" s="73"/>
      <c r="P28" s="73"/>
      <c r="Q28" s="73"/>
      <c r="R28" s="73"/>
      <c r="S28" s="73"/>
    </row>
    <row r="29" spans="1:19" x14ac:dyDescent="0.2">
      <c r="A29" s="236"/>
      <c r="B29" s="236"/>
      <c r="C29" s="236"/>
      <c r="D29" s="236"/>
      <c r="E29" s="236"/>
      <c r="F29" s="236"/>
      <c r="G29" s="73"/>
      <c r="H29" s="73"/>
      <c r="I29" s="73"/>
      <c r="J29" s="73"/>
      <c r="K29" s="73"/>
      <c r="L29" s="73"/>
      <c r="M29" s="73"/>
      <c r="N29" s="73"/>
      <c r="O29" s="73"/>
      <c r="P29" s="73"/>
      <c r="Q29" s="73"/>
      <c r="R29" s="73"/>
      <c r="S29" s="73"/>
    </row>
    <row r="30" spans="1:19" x14ac:dyDescent="0.2">
      <c r="A30" s="236"/>
      <c r="B30" s="236"/>
      <c r="C30" s="236"/>
      <c r="D30" s="236"/>
      <c r="E30" s="236"/>
      <c r="F30" s="236"/>
      <c r="G30" s="73"/>
      <c r="H30" s="73"/>
      <c r="I30" s="73"/>
      <c r="J30" s="73"/>
      <c r="K30" s="73"/>
      <c r="L30" s="73"/>
      <c r="M30" s="73"/>
      <c r="N30" s="73"/>
      <c r="O30" s="73"/>
      <c r="P30" s="73"/>
      <c r="Q30" s="73"/>
      <c r="R30" s="73"/>
      <c r="S30" s="73"/>
    </row>
    <row r="31" spans="1:19" x14ac:dyDescent="0.2">
      <c r="A31" s="236"/>
      <c r="B31" s="236"/>
      <c r="C31" s="236"/>
      <c r="D31" s="236"/>
      <c r="E31" s="236"/>
      <c r="F31" s="236"/>
      <c r="G31" s="73"/>
      <c r="H31" s="73"/>
      <c r="I31" s="73"/>
      <c r="J31" s="73"/>
      <c r="K31" s="73"/>
      <c r="L31" s="73"/>
      <c r="M31" s="73"/>
      <c r="N31" s="73"/>
      <c r="O31" s="73"/>
      <c r="P31" s="73"/>
      <c r="Q31" s="73"/>
      <c r="R31" s="73"/>
      <c r="S31" s="73"/>
    </row>
    <row r="32" spans="1:19" x14ac:dyDescent="0.2">
      <c r="A32" s="236"/>
      <c r="B32" s="236"/>
      <c r="C32" s="236"/>
      <c r="D32" s="236"/>
      <c r="E32" s="236"/>
      <c r="F32" s="236"/>
      <c r="G32" s="73"/>
      <c r="H32" s="73"/>
      <c r="I32" s="73"/>
      <c r="J32" s="73"/>
      <c r="K32" s="73"/>
      <c r="L32" s="73"/>
      <c r="M32" s="73"/>
      <c r="N32" s="73"/>
      <c r="O32" s="73"/>
      <c r="P32" s="73"/>
      <c r="Q32" s="73"/>
      <c r="R32" s="73"/>
      <c r="S32" s="73"/>
    </row>
    <row r="33" spans="1:19" x14ac:dyDescent="0.2">
      <c r="A33" s="236"/>
      <c r="B33" s="236"/>
      <c r="C33" s="236"/>
      <c r="D33" s="236"/>
      <c r="E33" s="236"/>
      <c r="F33" s="236"/>
      <c r="G33" s="73"/>
      <c r="H33" s="73"/>
      <c r="I33" s="73"/>
      <c r="J33" s="73"/>
      <c r="K33" s="73"/>
      <c r="L33" s="73"/>
      <c r="M33" s="73"/>
      <c r="N33" s="73"/>
      <c r="O33" s="73"/>
      <c r="P33" s="73"/>
      <c r="Q33" s="73"/>
      <c r="R33" s="73"/>
      <c r="S33" s="73"/>
    </row>
    <row r="34" spans="1:19" x14ac:dyDescent="0.2">
      <c r="A34" s="236"/>
      <c r="B34" s="236"/>
      <c r="C34" s="236"/>
      <c r="D34" s="236"/>
      <c r="E34" s="236"/>
      <c r="F34" s="236"/>
      <c r="G34" s="73"/>
      <c r="H34" s="73"/>
      <c r="I34" s="73"/>
      <c r="J34" s="73"/>
      <c r="K34" s="73"/>
      <c r="L34" s="73"/>
      <c r="M34" s="73"/>
      <c r="N34" s="73"/>
      <c r="O34" s="73"/>
      <c r="P34" s="73"/>
      <c r="Q34" s="73"/>
      <c r="R34" s="73"/>
      <c r="S34" s="73"/>
    </row>
    <row r="35" spans="1:19" x14ac:dyDescent="0.2">
      <c r="A35" s="73"/>
      <c r="B35" s="73"/>
      <c r="C35" s="73"/>
      <c r="D35" s="73"/>
      <c r="E35" s="73"/>
      <c r="F35" s="73"/>
      <c r="G35" s="73"/>
      <c r="H35" s="73"/>
      <c r="I35" s="73"/>
      <c r="J35" s="73"/>
      <c r="K35" s="73"/>
      <c r="L35" s="73"/>
      <c r="M35" s="73"/>
      <c r="N35" s="73"/>
      <c r="O35" s="73"/>
      <c r="P35" s="73"/>
      <c r="Q35" s="73"/>
      <c r="R35" s="73"/>
      <c r="S35" s="73"/>
    </row>
    <row r="36" spans="1:19" x14ac:dyDescent="0.2">
      <c r="A36" s="143"/>
      <c r="B36" s="143"/>
      <c r="C36" s="143"/>
      <c r="D36" s="143"/>
      <c r="E36" s="143"/>
      <c r="F36" s="143"/>
      <c r="G36" s="143"/>
      <c r="H36" s="143"/>
      <c r="I36" s="73"/>
      <c r="J36" s="73"/>
      <c r="K36" s="73"/>
      <c r="L36" s="73"/>
      <c r="M36" s="73"/>
      <c r="N36" s="73"/>
      <c r="O36" s="73"/>
      <c r="P36" s="73"/>
      <c r="Q36" s="73"/>
      <c r="R36" s="73"/>
      <c r="S36" s="73"/>
    </row>
    <row r="37" spans="1:19" x14ac:dyDescent="0.2">
      <c r="A37" s="143"/>
      <c r="B37" s="143"/>
      <c r="C37" s="143"/>
      <c r="D37" s="143"/>
      <c r="E37" s="143"/>
      <c r="F37" s="143"/>
      <c r="G37" s="143"/>
      <c r="H37" s="143"/>
      <c r="I37" s="73"/>
      <c r="J37" s="73"/>
      <c r="K37" s="73"/>
      <c r="L37" s="73"/>
      <c r="M37" s="73"/>
      <c r="N37" s="73"/>
      <c r="O37" s="73"/>
      <c r="P37" s="73"/>
      <c r="Q37" s="73"/>
      <c r="R37" s="73"/>
      <c r="S37" s="73"/>
    </row>
    <row r="38" spans="1:19" x14ac:dyDescent="0.2">
      <c r="A38" s="143"/>
      <c r="B38" s="143"/>
      <c r="C38" s="143"/>
      <c r="D38" s="143"/>
      <c r="E38" s="143"/>
      <c r="F38" s="143"/>
      <c r="G38" s="143"/>
      <c r="H38" s="143"/>
      <c r="I38" s="73"/>
      <c r="J38" s="73"/>
      <c r="K38" s="73"/>
      <c r="L38" s="73"/>
      <c r="M38" s="73"/>
      <c r="N38" s="73"/>
      <c r="O38" s="73"/>
      <c r="P38" s="73"/>
      <c r="Q38" s="73"/>
      <c r="R38" s="73"/>
      <c r="S38" s="73"/>
    </row>
    <row r="39" spans="1:19" x14ac:dyDescent="0.2">
      <c r="A39" s="143"/>
      <c r="B39" s="143"/>
      <c r="C39" s="143"/>
      <c r="D39" s="143"/>
      <c r="E39" s="143"/>
      <c r="F39" s="143"/>
      <c r="G39" s="143"/>
      <c r="H39" s="143"/>
      <c r="I39" s="73"/>
      <c r="J39" s="73"/>
      <c r="K39" s="73"/>
      <c r="L39" s="73"/>
      <c r="M39" s="73"/>
      <c r="N39" s="73"/>
      <c r="O39" s="73"/>
      <c r="P39" s="73"/>
      <c r="Q39" s="73"/>
      <c r="R39" s="73"/>
      <c r="S39" s="73"/>
    </row>
    <row r="40" spans="1:19" ht="111.75" customHeight="1" x14ac:dyDescent="0.2">
      <c r="A40" s="143"/>
      <c r="B40" s="143"/>
      <c r="C40" s="143"/>
      <c r="D40" s="143"/>
      <c r="E40" s="143"/>
      <c r="F40" s="143"/>
      <c r="G40" s="143"/>
      <c r="H40" s="143"/>
      <c r="I40" s="73"/>
      <c r="J40" s="73"/>
      <c r="K40" s="73"/>
      <c r="L40" s="73"/>
      <c r="M40" s="73"/>
      <c r="N40" s="73"/>
      <c r="O40" s="73"/>
      <c r="P40" s="73"/>
      <c r="Q40" s="73"/>
      <c r="R40" s="73"/>
      <c r="S40" s="73"/>
    </row>
    <row r="41" spans="1:19" x14ac:dyDescent="0.2">
      <c r="A41" s="143"/>
      <c r="B41" s="143"/>
      <c r="C41" s="143"/>
      <c r="D41" s="143"/>
      <c r="E41" s="143"/>
      <c r="F41" s="143"/>
      <c r="G41" s="143"/>
      <c r="H41" s="143"/>
      <c r="I41" s="73"/>
      <c r="J41" s="73"/>
      <c r="K41" s="73"/>
      <c r="L41" s="73"/>
      <c r="M41" s="73"/>
      <c r="N41" s="73"/>
      <c r="O41" s="73"/>
      <c r="P41" s="73"/>
      <c r="Q41" s="73"/>
      <c r="R41" s="73"/>
      <c r="S41" s="73"/>
    </row>
    <row r="42" spans="1:19" x14ac:dyDescent="0.2">
      <c r="A42" s="143"/>
      <c r="B42" s="143"/>
      <c r="C42" s="143"/>
      <c r="D42" s="143"/>
      <c r="E42" s="143"/>
      <c r="F42" s="143"/>
      <c r="G42" s="143"/>
      <c r="H42" s="143"/>
      <c r="I42" s="73"/>
      <c r="J42" s="73"/>
      <c r="K42" s="73"/>
      <c r="L42" s="73"/>
      <c r="M42" s="73"/>
      <c r="N42" s="73"/>
      <c r="O42" s="73"/>
      <c r="P42" s="73"/>
      <c r="Q42" s="73"/>
      <c r="R42" s="73"/>
      <c r="S42" s="73"/>
    </row>
    <row r="43" spans="1:19" x14ac:dyDescent="0.2">
      <c r="A43" s="143"/>
      <c r="B43" s="143"/>
      <c r="C43" s="143"/>
      <c r="D43" s="143"/>
      <c r="E43" s="143"/>
      <c r="F43" s="143"/>
      <c r="G43" s="143"/>
      <c r="H43" s="143"/>
      <c r="I43" s="73"/>
      <c r="J43" s="73"/>
      <c r="K43" s="73"/>
      <c r="L43" s="73"/>
      <c r="M43" s="73"/>
      <c r="N43" s="73"/>
      <c r="O43" s="73"/>
      <c r="P43" s="73"/>
      <c r="Q43" s="73"/>
      <c r="R43" s="73"/>
      <c r="S43" s="73"/>
    </row>
    <row r="44" spans="1:19" x14ac:dyDescent="0.2">
      <c r="A44" s="143"/>
      <c r="B44" s="143"/>
      <c r="C44" s="143"/>
      <c r="D44" s="143"/>
      <c r="E44" s="143"/>
      <c r="F44" s="143"/>
      <c r="G44" s="143"/>
      <c r="H44" s="143"/>
      <c r="I44" s="73"/>
      <c r="J44" s="73"/>
      <c r="K44" s="73"/>
      <c r="L44" s="73"/>
      <c r="M44" s="73"/>
      <c r="N44" s="73"/>
      <c r="O44" s="73"/>
      <c r="P44" s="73"/>
      <c r="Q44" s="73"/>
      <c r="R44" s="73"/>
      <c r="S44" s="73"/>
    </row>
    <row r="45" spans="1:19" x14ac:dyDescent="0.2">
      <c r="A45" s="143"/>
      <c r="B45" s="143"/>
      <c r="C45" s="143"/>
      <c r="D45" s="143"/>
      <c r="E45" s="143"/>
      <c r="F45" s="143"/>
      <c r="G45" s="143"/>
      <c r="H45" s="143"/>
      <c r="I45" s="73"/>
      <c r="J45" s="73"/>
      <c r="K45" s="73"/>
      <c r="L45" s="73"/>
      <c r="M45" s="73"/>
      <c r="N45" s="73"/>
      <c r="O45" s="73"/>
      <c r="P45" s="73"/>
      <c r="Q45" s="73"/>
      <c r="R45" s="73"/>
      <c r="S45" s="73"/>
    </row>
    <row r="46" spans="1:19" x14ac:dyDescent="0.2">
      <c r="A46" s="143"/>
      <c r="B46" s="143"/>
      <c r="C46" s="143"/>
      <c r="D46" s="143"/>
      <c r="E46" s="143"/>
      <c r="F46" s="143"/>
      <c r="G46" s="143"/>
      <c r="H46" s="143"/>
      <c r="I46" s="73"/>
      <c r="J46" s="73"/>
      <c r="K46" s="73"/>
      <c r="L46" s="73"/>
      <c r="M46" s="73"/>
      <c r="N46" s="73"/>
      <c r="O46" s="73"/>
      <c r="P46" s="73"/>
      <c r="Q46" s="73"/>
      <c r="R46" s="73"/>
      <c r="S46" s="73"/>
    </row>
    <row r="47" spans="1:19" x14ac:dyDescent="0.2">
      <c r="A47" s="143"/>
      <c r="B47" s="143"/>
      <c r="C47" s="143"/>
      <c r="D47" s="143"/>
      <c r="E47" s="143"/>
      <c r="F47" s="143"/>
      <c r="G47" s="143"/>
      <c r="H47" s="143"/>
      <c r="I47" s="73"/>
      <c r="J47" s="73"/>
      <c r="K47" s="73"/>
      <c r="L47" s="73"/>
      <c r="M47" s="73"/>
      <c r="N47" s="73"/>
      <c r="O47" s="73"/>
      <c r="P47" s="73"/>
      <c r="Q47" s="73"/>
      <c r="R47" s="73"/>
      <c r="S47" s="73"/>
    </row>
    <row r="48" spans="1:19" x14ac:dyDescent="0.2">
      <c r="A48" s="143"/>
      <c r="B48" s="143"/>
      <c r="C48" s="143"/>
      <c r="D48" s="143"/>
      <c r="E48" s="143"/>
      <c r="F48" s="143"/>
      <c r="G48" s="143"/>
      <c r="H48" s="143"/>
      <c r="I48" s="73"/>
      <c r="J48" s="73"/>
      <c r="K48" s="73"/>
      <c r="L48" s="73"/>
      <c r="M48" s="73"/>
      <c r="N48" s="73"/>
      <c r="O48" s="73"/>
      <c r="P48" s="73"/>
      <c r="Q48" s="73"/>
      <c r="R48" s="73"/>
      <c r="S48" s="73"/>
    </row>
    <row r="49" spans="1:19" x14ac:dyDescent="0.2">
      <c r="A49" s="143"/>
      <c r="B49" s="143"/>
      <c r="C49" s="143"/>
      <c r="D49" s="143"/>
      <c r="E49" s="143"/>
      <c r="F49" s="143"/>
      <c r="G49" s="143"/>
      <c r="H49" s="143"/>
      <c r="I49" s="73"/>
      <c r="J49" s="73"/>
      <c r="K49" s="73"/>
      <c r="L49" s="73"/>
      <c r="M49" s="73"/>
      <c r="N49" s="73"/>
      <c r="O49" s="73"/>
      <c r="P49" s="73"/>
      <c r="Q49" s="73"/>
      <c r="R49" s="73"/>
      <c r="S49" s="73"/>
    </row>
    <row r="50" spans="1:19" x14ac:dyDescent="0.2">
      <c r="A50" s="143"/>
      <c r="B50" s="143"/>
      <c r="C50" s="143"/>
      <c r="D50" s="143"/>
      <c r="E50" s="143"/>
      <c r="F50" s="143"/>
      <c r="G50" s="143"/>
      <c r="H50" s="143"/>
      <c r="I50" s="73"/>
      <c r="J50" s="73"/>
      <c r="K50" s="73"/>
      <c r="L50" s="73"/>
      <c r="M50" s="73"/>
      <c r="N50" s="73"/>
      <c r="O50" s="73"/>
      <c r="P50" s="73"/>
      <c r="Q50" s="73"/>
      <c r="R50" s="73"/>
      <c r="S50" s="73"/>
    </row>
    <row r="51" spans="1:19" x14ac:dyDescent="0.2">
      <c r="A51" s="143"/>
      <c r="B51" s="143"/>
      <c r="C51" s="143"/>
      <c r="D51" s="143"/>
      <c r="E51" s="143"/>
      <c r="F51" s="143"/>
      <c r="G51" s="143"/>
      <c r="H51" s="143"/>
      <c r="I51" s="73"/>
      <c r="J51" s="73"/>
      <c r="K51" s="73"/>
      <c r="L51" s="73"/>
      <c r="M51" s="73"/>
      <c r="N51" s="73"/>
      <c r="O51" s="73"/>
      <c r="P51" s="73"/>
      <c r="Q51" s="73"/>
      <c r="R51" s="73"/>
      <c r="S51" s="73"/>
    </row>
    <row r="52" spans="1:19" x14ac:dyDescent="0.2">
      <c r="A52" s="143"/>
      <c r="B52" s="143"/>
      <c r="C52" s="143"/>
      <c r="D52" s="143"/>
      <c r="E52" s="143"/>
      <c r="F52" s="143"/>
      <c r="G52" s="143"/>
      <c r="H52" s="143"/>
      <c r="I52" s="73"/>
      <c r="J52" s="73"/>
      <c r="K52" s="73"/>
      <c r="L52" s="73"/>
      <c r="M52" s="73"/>
      <c r="N52" s="73"/>
      <c r="O52" s="73"/>
      <c r="P52" s="73"/>
      <c r="Q52" s="73"/>
      <c r="R52" s="73"/>
      <c r="S52" s="73"/>
    </row>
    <row r="53" spans="1:19" ht="15" x14ac:dyDescent="0.2">
      <c r="A53" s="73"/>
      <c r="B53" s="101"/>
      <c r="C53" s="101"/>
      <c r="D53" s="101"/>
      <c r="E53" s="101"/>
      <c r="F53" s="101"/>
      <c r="G53" s="73"/>
      <c r="H53" s="73"/>
      <c r="I53" s="73"/>
      <c r="J53" s="73"/>
      <c r="K53" s="73"/>
      <c r="L53" s="73"/>
      <c r="M53" s="73"/>
      <c r="N53" s="73"/>
      <c r="O53" s="73"/>
      <c r="P53" s="73"/>
      <c r="Q53" s="73"/>
      <c r="R53" s="73"/>
      <c r="S53" s="73"/>
    </row>
    <row r="54" spans="1:19" ht="15" x14ac:dyDescent="0.2">
      <c r="B54" s="72"/>
      <c r="C54" s="72"/>
      <c r="D54" s="72"/>
      <c r="E54" s="72"/>
      <c r="F54" s="72"/>
    </row>
  </sheetData>
  <mergeCells count="5">
    <mergeCell ref="A1:F2"/>
    <mergeCell ref="A5:A6"/>
    <mergeCell ref="C5:C6"/>
    <mergeCell ref="A21:F22"/>
    <mergeCell ref="A24:F34"/>
  </mergeCells>
  <conditionalFormatting sqref="A3">
    <cfRule type="expression" dxfId="8" priority="1">
      <formula>LEN(TRIM(#REF!))&gt;0</formula>
    </cfRule>
  </conditionalFormatting>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C93D8-48F2-43EC-BA49-C54436467656}">
  <dimension ref="A1:S54"/>
  <sheetViews>
    <sheetView zoomScaleNormal="100" workbookViewId="0">
      <selection activeCell="E6" sqref="E6"/>
    </sheetView>
  </sheetViews>
  <sheetFormatPr baseColWidth="10" defaultColWidth="9.140625" defaultRowHeight="12.75" x14ac:dyDescent="0.2"/>
  <cols>
    <col min="1" max="1" width="15.5703125" customWidth="1"/>
    <col min="2" max="2" width="10.85546875" bestFit="1" customWidth="1"/>
    <col min="3" max="3" width="19" customWidth="1"/>
    <col min="4" max="4" width="19.140625" customWidth="1"/>
    <col min="5" max="5" width="33.85546875" customWidth="1"/>
    <col min="6" max="6" width="18.7109375" customWidth="1"/>
    <col min="7" max="7" width="16.28515625" customWidth="1"/>
    <col min="8" max="1025" width="14.42578125" customWidth="1"/>
  </cols>
  <sheetData>
    <row r="1" spans="1:19" ht="15.75" customHeight="1" x14ac:dyDescent="0.2">
      <c r="A1" s="232" t="s">
        <v>126</v>
      </c>
      <c r="B1" s="232"/>
      <c r="C1" s="232"/>
      <c r="D1" s="232"/>
      <c r="E1" s="232"/>
      <c r="F1" s="232"/>
      <c r="G1" s="73"/>
      <c r="H1" s="73"/>
      <c r="I1" s="73"/>
      <c r="J1" s="73"/>
      <c r="K1" s="73"/>
      <c r="L1" s="73"/>
      <c r="M1" s="73"/>
      <c r="N1" s="73"/>
      <c r="O1" s="73"/>
      <c r="P1" s="73"/>
      <c r="Q1" s="73"/>
      <c r="R1" s="73"/>
      <c r="S1" s="73"/>
    </row>
    <row r="2" spans="1:19" ht="15.75" customHeight="1" x14ac:dyDescent="0.2">
      <c r="A2" s="232"/>
      <c r="B2" s="232"/>
      <c r="C2" s="232"/>
      <c r="D2" s="232"/>
      <c r="E2" s="232"/>
      <c r="F2" s="232"/>
      <c r="G2" s="73"/>
      <c r="H2" s="73"/>
      <c r="I2" s="73"/>
      <c r="J2" s="73"/>
      <c r="K2" s="73"/>
      <c r="L2" s="73"/>
      <c r="M2" s="73"/>
      <c r="N2" s="73"/>
      <c r="O2" s="73"/>
      <c r="P2" s="73"/>
      <c r="Q2" s="73"/>
      <c r="R2" s="73"/>
      <c r="S2" s="73"/>
    </row>
    <row r="3" spans="1:19" ht="15.75" customHeight="1" x14ac:dyDescent="0.25">
      <c r="A3" s="140" t="s">
        <v>1</v>
      </c>
      <c r="B3" s="73"/>
      <c r="C3" s="140" t="s">
        <v>2</v>
      </c>
      <c r="D3" s="75" t="s">
        <v>3</v>
      </c>
      <c r="E3" s="140" t="s">
        <v>4</v>
      </c>
      <c r="F3" s="140" t="s">
        <v>5</v>
      </c>
      <c r="G3" s="73"/>
      <c r="H3" s="73"/>
      <c r="I3" s="73"/>
      <c r="J3" s="73"/>
      <c r="K3" s="73"/>
      <c r="L3" s="73"/>
      <c r="M3" s="73"/>
      <c r="N3" s="73"/>
      <c r="O3" s="73"/>
      <c r="P3" s="73"/>
      <c r="Q3" s="73"/>
      <c r="R3" s="73"/>
      <c r="S3" s="73"/>
    </row>
    <row r="4" spans="1:19" ht="15.75" customHeight="1" thickBot="1" x14ac:dyDescent="0.3">
      <c r="A4" s="141">
        <v>43913</v>
      </c>
      <c r="B4" s="133"/>
      <c r="C4" s="134">
        <v>43919</v>
      </c>
      <c r="D4" s="78" t="s">
        <v>6</v>
      </c>
      <c r="E4" s="79">
        <f>D24</f>
        <v>6.25E-2</v>
      </c>
      <c r="F4" s="80">
        <f>'Uke12'!F4 + E4</f>
        <v>1.15625</v>
      </c>
      <c r="G4" s="73"/>
      <c r="H4" s="189"/>
      <c r="I4" s="142">
        <f>B11-B11</f>
        <v>0</v>
      </c>
      <c r="J4" s="102"/>
      <c r="K4" s="73"/>
      <c r="L4" s="73"/>
      <c r="M4" s="73"/>
      <c r="N4" s="73"/>
      <c r="O4" s="73"/>
      <c r="P4" s="73"/>
      <c r="Q4" s="73"/>
      <c r="R4" s="73"/>
      <c r="S4" s="73"/>
    </row>
    <row r="5" spans="1:19" ht="15" customHeight="1" x14ac:dyDescent="0.25">
      <c r="A5" s="239" t="s">
        <v>7</v>
      </c>
      <c r="B5" s="73"/>
      <c r="C5" s="239" t="s">
        <v>8</v>
      </c>
      <c r="D5" s="82" t="s">
        <v>9</v>
      </c>
      <c r="E5" s="79">
        <f>D13+D14+D15+D18+D19+D22</f>
        <v>0.20486111111111105</v>
      </c>
      <c r="F5" s="80">
        <f>'Uke12'!F5 + E5</f>
        <v>0.96180555555555725</v>
      </c>
      <c r="G5" s="73"/>
      <c r="H5" s="189"/>
      <c r="I5" s="73"/>
      <c r="J5" s="73"/>
      <c r="K5" s="73"/>
      <c r="L5" s="73"/>
      <c r="M5" s="73"/>
      <c r="N5" s="73"/>
      <c r="O5" s="73"/>
      <c r="P5" s="73"/>
      <c r="Q5" s="73"/>
      <c r="R5" s="73"/>
      <c r="S5" s="73"/>
    </row>
    <row r="6" spans="1:19" ht="15.75" customHeight="1" x14ac:dyDescent="0.25">
      <c r="A6" s="239"/>
      <c r="B6" s="73"/>
      <c r="C6" s="239"/>
      <c r="D6" s="83" t="s">
        <v>10</v>
      </c>
      <c r="E6" s="80">
        <f>D11+D12+D17+D20+D23</f>
        <v>0.15277777777777779</v>
      </c>
      <c r="F6" s="80">
        <f>'Uke12'!F6 + E6</f>
        <v>1.3125</v>
      </c>
      <c r="G6" s="73"/>
      <c r="H6" s="189"/>
      <c r="I6" s="189"/>
      <c r="J6" s="102"/>
      <c r="K6" s="73"/>
      <c r="L6" s="73"/>
      <c r="M6" s="73"/>
      <c r="N6" s="73"/>
      <c r="O6" s="73"/>
      <c r="P6" s="73"/>
      <c r="Q6" s="73"/>
      <c r="R6" s="73"/>
      <c r="S6" s="73"/>
    </row>
    <row r="7" spans="1:19" ht="16.5" thickBot="1" x14ac:dyDescent="0.3">
      <c r="A7" s="135">
        <f>SUM(E4:E7)</f>
        <v>0.54513888888888873</v>
      </c>
      <c r="B7" s="133"/>
      <c r="C7" s="135">
        <f>SUM(F4:F7)</f>
        <v>4.743055555555558</v>
      </c>
      <c r="D7" s="85" t="s">
        <v>46</v>
      </c>
      <c r="E7" s="86">
        <f>D16+D21+D25+D26</f>
        <v>0.12499999999999989</v>
      </c>
      <c r="F7" s="84">
        <f>'Uke12'!F7 + E7</f>
        <v>1.3125000000000009</v>
      </c>
      <c r="G7" s="73"/>
      <c r="H7" s="189"/>
      <c r="I7" s="189"/>
      <c r="J7" s="102"/>
      <c r="K7" s="73"/>
      <c r="L7" s="73"/>
      <c r="M7" s="73"/>
      <c r="N7" s="73"/>
      <c r="O7" s="73"/>
      <c r="P7" s="73"/>
      <c r="Q7" s="73"/>
      <c r="R7" s="73"/>
      <c r="S7" s="73"/>
    </row>
    <row r="8" spans="1:19" x14ac:dyDescent="0.2">
      <c r="A8" s="73"/>
      <c r="B8" s="73"/>
      <c r="C8" s="73"/>
      <c r="D8" s="73"/>
      <c r="E8" s="73"/>
      <c r="F8" s="73"/>
      <c r="G8" s="73"/>
      <c r="H8" s="73"/>
      <c r="I8" s="73"/>
      <c r="J8" s="73"/>
      <c r="K8" s="73"/>
      <c r="L8" s="73"/>
      <c r="M8" s="73"/>
      <c r="N8" s="73"/>
      <c r="O8" s="73"/>
      <c r="P8" s="73"/>
      <c r="Q8" s="73"/>
      <c r="R8" s="73"/>
      <c r="S8" s="73"/>
    </row>
    <row r="9" spans="1:19" x14ac:dyDescent="0.2">
      <c r="A9" s="73"/>
      <c r="B9" s="73"/>
      <c r="C9" s="73"/>
      <c r="D9" s="73"/>
      <c r="E9" s="73"/>
      <c r="F9" s="73"/>
      <c r="G9" s="73"/>
      <c r="H9" s="73"/>
      <c r="I9" s="73"/>
      <c r="J9" s="73"/>
      <c r="K9" s="73"/>
      <c r="L9" s="73"/>
      <c r="M9" s="73"/>
      <c r="N9" s="73"/>
      <c r="O9" s="73"/>
      <c r="P9" s="73"/>
      <c r="Q9" s="73"/>
      <c r="R9" s="73"/>
      <c r="S9" s="73"/>
    </row>
    <row r="10" spans="1:19" ht="16.5" thickBot="1" x14ac:dyDescent="0.3">
      <c r="A10" s="140" t="s">
        <v>12</v>
      </c>
      <c r="B10" s="140" t="s">
        <v>57</v>
      </c>
      <c r="C10" s="140" t="s">
        <v>58</v>
      </c>
      <c r="D10" s="140" t="s">
        <v>59</v>
      </c>
      <c r="E10" s="140" t="s">
        <v>47</v>
      </c>
      <c r="F10" s="140" t="s">
        <v>39</v>
      </c>
      <c r="G10" s="73"/>
      <c r="H10" s="73"/>
      <c r="I10" s="73"/>
      <c r="J10" s="73"/>
      <c r="K10" s="73"/>
      <c r="L10" s="73"/>
      <c r="M10" s="73"/>
      <c r="N10" s="73"/>
      <c r="O10" s="73"/>
      <c r="P10" s="73"/>
      <c r="Q10" s="73"/>
      <c r="R10" s="73"/>
      <c r="S10" s="73"/>
    </row>
    <row r="11" spans="1:19" ht="15.75" x14ac:dyDescent="0.25">
      <c r="A11" s="145">
        <v>43913</v>
      </c>
      <c r="B11" s="146">
        <v>0.58333333333333337</v>
      </c>
      <c r="C11" s="146">
        <v>0.60763888888888895</v>
      </c>
      <c r="D11" s="146">
        <f t="shared" ref="D11:D22" si="0">C11-B11</f>
        <v>2.430555555555558E-2</v>
      </c>
      <c r="E11" s="164" t="s">
        <v>48</v>
      </c>
      <c r="F11" s="112"/>
      <c r="G11" s="73"/>
      <c r="H11" s="73"/>
      <c r="I11" s="73"/>
      <c r="J11" s="73"/>
      <c r="K11" s="73"/>
      <c r="L11" s="73"/>
      <c r="M11" s="73"/>
      <c r="N11" s="73"/>
      <c r="O11" s="73"/>
      <c r="P11" s="73"/>
      <c r="Q11" s="73"/>
      <c r="R11" s="73"/>
      <c r="S11" s="73"/>
    </row>
    <row r="12" spans="1:19" ht="15.75" x14ac:dyDescent="0.25">
      <c r="A12" s="145">
        <v>43915</v>
      </c>
      <c r="B12" s="146">
        <v>0.5</v>
      </c>
      <c r="C12" s="146">
        <v>0.51041666666666663</v>
      </c>
      <c r="D12" s="146">
        <f t="shared" si="0"/>
        <v>1.041666666666663E-2</v>
      </c>
      <c r="E12" s="164" t="s">
        <v>70</v>
      </c>
      <c r="F12" s="125"/>
      <c r="G12" s="73"/>
      <c r="H12" s="73"/>
      <c r="I12" s="73"/>
      <c r="J12" s="73"/>
      <c r="K12" s="73"/>
      <c r="L12" s="73"/>
      <c r="M12" s="73"/>
      <c r="N12" s="73"/>
      <c r="O12" s="73"/>
      <c r="P12" s="73"/>
      <c r="Q12" s="73"/>
      <c r="R12" s="73"/>
      <c r="S12" s="73"/>
    </row>
    <row r="13" spans="1:19" ht="27" customHeight="1" x14ac:dyDescent="0.25">
      <c r="A13" s="178">
        <v>43915</v>
      </c>
      <c r="B13" s="179">
        <v>0.6875</v>
      </c>
      <c r="C13" s="179">
        <v>0.75</v>
      </c>
      <c r="D13" s="179">
        <f t="shared" si="0"/>
        <v>6.25E-2</v>
      </c>
      <c r="E13" s="180" t="s">
        <v>127</v>
      </c>
      <c r="F13" s="122" t="s">
        <v>122</v>
      </c>
      <c r="G13" s="73"/>
      <c r="H13" s="73"/>
      <c r="I13" s="73"/>
      <c r="J13" s="73"/>
      <c r="K13" s="73"/>
      <c r="L13" s="73"/>
      <c r="M13" s="73"/>
      <c r="N13" s="73"/>
      <c r="O13" s="73"/>
      <c r="P13" s="73"/>
      <c r="Q13" s="73"/>
      <c r="R13" s="73"/>
      <c r="S13" s="73"/>
    </row>
    <row r="14" spans="1:19" ht="31.5" x14ac:dyDescent="0.25">
      <c r="A14" s="178">
        <v>43915</v>
      </c>
      <c r="B14" s="179">
        <v>0.82291666666666663</v>
      </c>
      <c r="C14" s="179">
        <v>0.83333333333333337</v>
      </c>
      <c r="D14" s="179">
        <f t="shared" si="0"/>
        <v>1.0416666666666741E-2</v>
      </c>
      <c r="E14" s="180" t="s">
        <v>127</v>
      </c>
      <c r="F14" s="122" t="s">
        <v>122</v>
      </c>
      <c r="G14" s="73"/>
      <c r="H14" s="73"/>
      <c r="I14" s="73"/>
      <c r="J14" s="73"/>
      <c r="K14" s="73"/>
      <c r="L14" s="73"/>
      <c r="M14" s="73"/>
      <c r="N14" s="73"/>
      <c r="O14" s="73"/>
      <c r="P14" s="73"/>
      <c r="Q14" s="73"/>
      <c r="R14" s="73"/>
      <c r="S14" s="73"/>
    </row>
    <row r="15" spans="1:19" ht="31.5" x14ac:dyDescent="0.25">
      <c r="A15" s="178">
        <v>43915</v>
      </c>
      <c r="B15" s="179">
        <v>0.83333333333333337</v>
      </c>
      <c r="C15" s="179">
        <v>0.85416666666666663</v>
      </c>
      <c r="D15" s="179">
        <f t="shared" si="0"/>
        <v>2.0833333333333259E-2</v>
      </c>
      <c r="E15" s="180" t="s">
        <v>128</v>
      </c>
      <c r="F15" s="122" t="s">
        <v>129</v>
      </c>
      <c r="G15" s="73"/>
      <c r="H15" s="73"/>
      <c r="I15" s="73"/>
      <c r="J15" s="73"/>
      <c r="K15" s="73"/>
      <c r="L15" s="73"/>
      <c r="M15" s="73"/>
      <c r="N15" s="73"/>
      <c r="O15" s="73"/>
      <c r="P15" s="73"/>
      <c r="Q15" s="73"/>
      <c r="R15" s="73"/>
      <c r="S15" s="73"/>
    </row>
    <row r="16" spans="1:19" ht="15.75" x14ac:dyDescent="0.25">
      <c r="A16" s="190">
        <v>43915</v>
      </c>
      <c r="B16" s="191">
        <v>0.89583333333333337</v>
      </c>
      <c r="C16" s="191">
        <v>0.90625</v>
      </c>
      <c r="D16" s="191">
        <f t="shared" si="0"/>
        <v>1.041666666666663E-2</v>
      </c>
      <c r="E16" s="192" t="s">
        <v>130</v>
      </c>
      <c r="F16" s="122"/>
      <c r="G16" s="73"/>
      <c r="H16" s="73"/>
      <c r="I16" s="73"/>
      <c r="J16" s="73"/>
      <c r="K16" s="73"/>
      <c r="L16" s="73"/>
      <c r="M16" s="73"/>
      <c r="N16" s="73"/>
      <c r="O16" s="73"/>
      <c r="P16" s="73"/>
      <c r="Q16" s="73"/>
      <c r="R16" s="73"/>
      <c r="S16" s="73"/>
    </row>
    <row r="17" spans="1:19" ht="15.75" x14ac:dyDescent="0.25">
      <c r="A17" s="145">
        <v>43916</v>
      </c>
      <c r="B17" s="146">
        <v>0.52777777777777779</v>
      </c>
      <c r="C17" s="146">
        <v>0.54166666666666663</v>
      </c>
      <c r="D17" s="146">
        <f t="shared" si="0"/>
        <v>1.388888888888884E-2</v>
      </c>
      <c r="E17" s="164" t="s">
        <v>131</v>
      </c>
      <c r="F17" s="122"/>
      <c r="G17" s="73"/>
      <c r="H17" s="73"/>
      <c r="I17" s="73"/>
      <c r="J17" s="73"/>
      <c r="K17" s="73"/>
      <c r="L17" s="73"/>
      <c r="M17" s="73"/>
      <c r="N17" s="73"/>
      <c r="O17" s="73"/>
      <c r="P17" s="73"/>
      <c r="Q17" s="73"/>
      <c r="R17" s="73"/>
      <c r="S17" s="73"/>
    </row>
    <row r="18" spans="1:19" ht="47.25" x14ac:dyDescent="0.25">
      <c r="A18" s="178">
        <v>43916</v>
      </c>
      <c r="B18" s="179">
        <v>0.66666666666666663</v>
      </c>
      <c r="C18" s="179">
        <v>0.6875</v>
      </c>
      <c r="D18" s="179">
        <f t="shared" si="0"/>
        <v>2.083333333333337E-2</v>
      </c>
      <c r="E18" s="180" t="s">
        <v>132</v>
      </c>
      <c r="F18" s="137"/>
      <c r="G18" s="73"/>
      <c r="H18" s="73"/>
      <c r="I18" s="73"/>
      <c r="J18" s="73"/>
      <c r="K18" s="73"/>
      <c r="L18" s="73"/>
      <c r="M18" s="73"/>
      <c r="N18" s="73"/>
      <c r="O18" s="73"/>
      <c r="P18" s="73"/>
      <c r="Q18" s="73"/>
      <c r="R18" s="73"/>
      <c r="S18" s="73"/>
    </row>
    <row r="19" spans="1:19" ht="47.25" x14ac:dyDescent="0.25">
      <c r="A19" s="178">
        <v>43916</v>
      </c>
      <c r="B19" s="179">
        <v>0.79166666666666663</v>
      </c>
      <c r="C19" s="179">
        <v>0.85416666666666663</v>
      </c>
      <c r="D19" s="179">
        <f t="shared" si="0"/>
        <v>6.25E-2</v>
      </c>
      <c r="E19" s="180" t="s">
        <v>132</v>
      </c>
      <c r="F19" s="137"/>
      <c r="G19" s="73"/>
      <c r="H19" s="73"/>
      <c r="I19" s="73"/>
      <c r="J19" s="73"/>
      <c r="K19" s="73"/>
      <c r="L19" s="73"/>
      <c r="M19" s="73"/>
      <c r="N19" s="73"/>
      <c r="O19" s="73"/>
      <c r="P19" s="73"/>
      <c r="Q19" s="73"/>
      <c r="R19" s="73"/>
      <c r="S19" s="73"/>
    </row>
    <row r="20" spans="1:19" ht="15.75" x14ac:dyDescent="0.25">
      <c r="A20" s="145">
        <v>43917</v>
      </c>
      <c r="B20" s="146">
        <v>0.5</v>
      </c>
      <c r="C20" s="146">
        <v>0.52083333333333337</v>
      </c>
      <c r="D20" s="146">
        <f t="shared" si="0"/>
        <v>2.083333333333337E-2</v>
      </c>
      <c r="E20" s="164" t="s">
        <v>70</v>
      </c>
      <c r="F20" s="138"/>
      <c r="G20" s="73"/>
      <c r="H20" s="73"/>
      <c r="I20" s="73"/>
      <c r="J20" s="73"/>
      <c r="K20" s="73"/>
      <c r="L20" s="73"/>
      <c r="M20" s="73"/>
      <c r="N20" s="73"/>
      <c r="O20" s="73"/>
      <c r="P20" s="73"/>
      <c r="Q20" s="73"/>
      <c r="R20" s="73"/>
      <c r="S20" s="73"/>
    </row>
    <row r="21" spans="1:19" ht="15.75" x14ac:dyDescent="0.25">
      <c r="A21" s="190">
        <v>43918</v>
      </c>
      <c r="B21" s="191">
        <v>0.58333333333333337</v>
      </c>
      <c r="C21" s="191">
        <v>0.625</v>
      </c>
      <c r="D21" s="191">
        <f t="shared" si="0"/>
        <v>4.166666666666663E-2</v>
      </c>
      <c r="E21" s="192" t="s">
        <v>84</v>
      </c>
      <c r="F21" s="138"/>
      <c r="G21" s="73"/>
      <c r="H21" s="73"/>
      <c r="I21" s="73"/>
      <c r="J21" s="73"/>
      <c r="K21" s="73"/>
      <c r="L21" s="73"/>
      <c r="M21" s="73"/>
      <c r="N21" s="73"/>
      <c r="O21" s="73"/>
      <c r="P21" s="73"/>
      <c r="Q21" s="73"/>
      <c r="R21" s="73"/>
      <c r="S21" s="73"/>
    </row>
    <row r="22" spans="1:19" ht="31.5" x14ac:dyDescent="0.25">
      <c r="A22" s="178">
        <v>43918</v>
      </c>
      <c r="B22" s="179">
        <v>0.65277777777777779</v>
      </c>
      <c r="C22" s="179">
        <v>0.68055555555555547</v>
      </c>
      <c r="D22" s="179">
        <f t="shared" si="0"/>
        <v>2.7777777777777679E-2</v>
      </c>
      <c r="E22" s="180" t="s">
        <v>133</v>
      </c>
      <c r="F22" s="137"/>
      <c r="G22" s="73"/>
      <c r="H22" s="73"/>
      <c r="I22" s="73"/>
      <c r="J22" s="73"/>
      <c r="K22" s="73"/>
      <c r="L22" s="73"/>
      <c r="M22" s="73"/>
      <c r="N22" s="73"/>
      <c r="O22" s="73"/>
      <c r="P22" s="73"/>
      <c r="Q22" s="73"/>
      <c r="R22" s="73"/>
      <c r="S22" s="73"/>
    </row>
    <row r="23" spans="1:19" ht="63.75" thickBot="1" x14ac:dyDescent="0.3">
      <c r="A23" s="145">
        <v>43918</v>
      </c>
      <c r="B23" s="146">
        <v>0.75</v>
      </c>
      <c r="C23" s="146">
        <v>0.83333333333333337</v>
      </c>
      <c r="D23" s="146">
        <f>C23-B23</f>
        <v>8.333333333333337E-2</v>
      </c>
      <c r="E23" s="164" t="s">
        <v>134</v>
      </c>
      <c r="F23" s="137"/>
      <c r="G23" s="73"/>
      <c r="H23" s="73"/>
      <c r="I23" s="73"/>
      <c r="J23" s="73"/>
      <c r="K23" s="73"/>
      <c r="L23" s="73"/>
      <c r="M23" s="73"/>
      <c r="N23" s="73"/>
      <c r="O23" s="73"/>
      <c r="P23" s="73"/>
      <c r="Q23" s="73"/>
      <c r="R23" s="73"/>
      <c r="S23" s="73"/>
    </row>
    <row r="24" spans="1:19" ht="48" thickBot="1" x14ac:dyDescent="0.3">
      <c r="A24" s="44">
        <v>43919</v>
      </c>
      <c r="B24" s="159">
        <v>0.66666666666666663</v>
      </c>
      <c r="C24" s="159">
        <v>0.72916666666666663</v>
      </c>
      <c r="D24" s="159">
        <f>C24-B24</f>
        <v>6.25E-2</v>
      </c>
      <c r="E24" s="174" t="s">
        <v>135</v>
      </c>
      <c r="F24" s="137"/>
      <c r="G24" s="73"/>
      <c r="H24" s="73"/>
      <c r="I24" s="73"/>
      <c r="J24" s="73"/>
      <c r="K24" s="73"/>
      <c r="L24" s="73"/>
      <c r="M24" s="73"/>
      <c r="N24" s="73"/>
      <c r="O24" s="73"/>
      <c r="P24" s="73"/>
      <c r="Q24" s="73"/>
      <c r="R24" s="73"/>
      <c r="S24" s="73"/>
    </row>
    <row r="25" spans="1:19" ht="27.75" customHeight="1" thickBot="1" x14ac:dyDescent="0.3">
      <c r="A25" s="181">
        <v>43919</v>
      </c>
      <c r="B25" s="182">
        <v>0.88541666666666663</v>
      </c>
      <c r="C25" s="182">
        <v>0.91666666666666663</v>
      </c>
      <c r="D25" s="182">
        <f>C25-B25</f>
        <v>3.125E-2</v>
      </c>
      <c r="E25" s="183" t="s">
        <v>136</v>
      </c>
      <c r="F25" s="139"/>
      <c r="G25" s="73"/>
      <c r="H25" s="73"/>
      <c r="I25" s="73"/>
      <c r="J25" s="73"/>
      <c r="K25" s="73"/>
      <c r="L25" s="73"/>
      <c r="M25" s="73"/>
      <c r="N25" s="73"/>
      <c r="O25" s="73"/>
      <c r="P25" s="73"/>
      <c r="Q25" s="73"/>
      <c r="R25" s="73"/>
      <c r="S25" s="73"/>
    </row>
    <row r="26" spans="1:19" ht="48" thickBot="1" x14ac:dyDescent="0.3">
      <c r="A26" s="181">
        <v>43919</v>
      </c>
      <c r="B26" s="182">
        <v>0.9375</v>
      </c>
      <c r="C26" s="182">
        <v>0.97916666666666663</v>
      </c>
      <c r="D26" s="182">
        <f>C26-B26</f>
        <v>4.166666666666663E-2</v>
      </c>
      <c r="E26" s="183" t="s">
        <v>137</v>
      </c>
      <c r="F26" s="139"/>
      <c r="G26" s="73"/>
      <c r="H26" s="73"/>
      <c r="I26" s="73"/>
      <c r="J26" s="73"/>
      <c r="K26" s="73"/>
      <c r="L26" s="73"/>
      <c r="M26" s="73"/>
      <c r="N26" s="73"/>
      <c r="O26" s="73"/>
      <c r="P26" s="73"/>
      <c r="Q26" s="73"/>
      <c r="R26" s="73"/>
      <c r="S26" s="73"/>
    </row>
    <row r="27" spans="1:19" ht="15.75" x14ac:dyDescent="0.25">
      <c r="A27" s="187"/>
      <c r="B27" s="188"/>
      <c r="C27" s="188"/>
      <c r="D27" s="188"/>
      <c r="E27" s="186"/>
      <c r="F27" s="130"/>
      <c r="G27" s="73"/>
      <c r="H27" s="73"/>
      <c r="I27" s="73"/>
      <c r="J27" s="73"/>
      <c r="K27" s="73"/>
      <c r="L27" s="73"/>
      <c r="M27" s="73"/>
      <c r="N27" s="73"/>
      <c r="O27" s="73"/>
      <c r="P27" s="73"/>
      <c r="Q27" s="73"/>
      <c r="R27" s="73"/>
      <c r="S27" s="73"/>
    </row>
    <row r="28" spans="1:19" x14ac:dyDescent="0.2">
      <c r="A28" s="238" t="s">
        <v>23</v>
      </c>
      <c r="B28" s="238"/>
      <c r="C28" s="238"/>
      <c r="D28" s="238"/>
      <c r="E28" s="238"/>
      <c r="F28" s="238"/>
      <c r="G28" s="73"/>
      <c r="H28" s="73"/>
      <c r="I28" s="73"/>
      <c r="J28" s="73"/>
      <c r="K28" s="73"/>
      <c r="L28" s="73"/>
      <c r="M28" s="73"/>
      <c r="N28" s="73"/>
      <c r="O28" s="73"/>
      <c r="P28" s="73"/>
      <c r="Q28" s="73"/>
      <c r="R28" s="73"/>
      <c r="S28" s="73"/>
    </row>
    <row r="29" spans="1:19" ht="13.5" thickBot="1" x14ac:dyDescent="0.25">
      <c r="A29" s="240"/>
      <c r="B29" s="240"/>
      <c r="C29" s="240"/>
      <c r="D29" s="240"/>
      <c r="E29" s="240"/>
      <c r="F29" s="240"/>
      <c r="G29" s="73"/>
      <c r="H29" s="73"/>
      <c r="I29" s="73"/>
      <c r="J29" s="73"/>
      <c r="K29" s="73"/>
      <c r="L29" s="73"/>
      <c r="M29" s="73"/>
      <c r="N29" s="73"/>
      <c r="O29" s="73"/>
      <c r="P29" s="73"/>
      <c r="Q29" s="73"/>
      <c r="R29" s="73"/>
      <c r="S29" s="73"/>
    </row>
    <row r="30" spans="1:19" ht="16.5" thickBot="1" x14ac:dyDescent="0.3">
      <c r="A30" s="187"/>
      <c r="B30" s="188"/>
      <c r="C30" s="188"/>
      <c r="D30" s="188"/>
      <c r="E30" s="186"/>
      <c r="F30" s="130"/>
      <c r="G30" s="73"/>
      <c r="H30" s="73"/>
      <c r="I30" s="73"/>
      <c r="J30" s="73"/>
      <c r="K30" s="73"/>
      <c r="L30" s="73"/>
      <c r="M30" s="73"/>
      <c r="N30" s="73"/>
      <c r="O30" s="73"/>
      <c r="P30" s="73"/>
      <c r="Q30" s="73"/>
      <c r="R30" s="73"/>
      <c r="S30" s="73"/>
    </row>
    <row r="31" spans="1:19" ht="15.75" customHeight="1" x14ac:dyDescent="0.2">
      <c r="A31" s="241" t="s">
        <v>138</v>
      </c>
      <c r="B31" s="242"/>
      <c r="C31" s="242"/>
      <c r="D31" s="242"/>
      <c r="E31" s="242"/>
      <c r="F31" s="243"/>
      <c r="G31" s="73"/>
      <c r="H31" s="73"/>
      <c r="I31" s="73"/>
      <c r="J31" s="73"/>
      <c r="K31" s="73"/>
      <c r="L31" s="73"/>
      <c r="M31" s="73"/>
      <c r="N31" s="73"/>
      <c r="O31" s="73"/>
      <c r="P31" s="73"/>
      <c r="Q31" s="73"/>
      <c r="R31" s="73"/>
      <c r="S31" s="73"/>
    </row>
    <row r="32" spans="1:19" ht="15.75" customHeight="1" x14ac:dyDescent="0.2">
      <c r="A32" s="244"/>
      <c r="B32" s="245"/>
      <c r="C32" s="245"/>
      <c r="D32" s="245"/>
      <c r="E32" s="245"/>
      <c r="F32" s="246"/>
      <c r="G32" s="73"/>
      <c r="H32" s="73"/>
      <c r="I32" s="73"/>
      <c r="J32" s="73"/>
      <c r="K32" s="73"/>
      <c r="L32" s="73"/>
      <c r="M32" s="73"/>
      <c r="N32" s="73"/>
      <c r="O32" s="73"/>
      <c r="P32" s="73"/>
      <c r="Q32" s="73"/>
      <c r="R32" s="73"/>
      <c r="S32" s="73"/>
    </row>
    <row r="33" spans="1:19" ht="64.5" customHeight="1" x14ac:dyDescent="0.2">
      <c r="A33" s="244"/>
      <c r="B33" s="245"/>
      <c r="C33" s="245"/>
      <c r="D33" s="245"/>
      <c r="E33" s="245"/>
      <c r="F33" s="246"/>
      <c r="G33" s="73"/>
      <c r="H33" s="73"/>
      <c r="I33" s="73"/>
      <c r="J33" s="73"/>
      <c r="K33" s="73"/>
      <c r="L33" s="73"/>
      <c r="M33" s="73"/>
      <c r="N33" s="73"/>
      <c r="O33" s="73"/>
      <c r="P33" s="73"/>
      <c r="Q33" s="73"/>
      <c r="R33" s="73"/>
      <c r="S33" s="73"/>
    </row>
    <row r="34" spans="1:19" ht="42.75" customHeight="1" x14ac:dyDescent="0.2">
      <c r="A34" s="244"/>
      <c r="B34" s="245"/>
      <c r="C34" s="245"/>
      <c r="D34" s="245"/>
      <c r="E34" s="245"/>
      <c r="F34" s="246"/>
      <c r="G34" s="73"/>
      <c r="H34" s="73"/>
      <c r="I34" s="73"/>
      <c r="J34" s="73"/>
      <c r="K34" s="73"/>
      <c r="L34" s="73"/>
      <c r="M34" s="73"/>
      <c r="N34" s="73"/>
      <c r="O34" s="73"/>
      <c r="P34" s="73"/>
      <c r="Q34" s="73"/>
      <c r="R34" s="73"/>
      <c r="S34" s="73"/>
    </row>
    <row r="35" spans="1:19" ht="73.5" customHeight="1" x14ac:dyDescent="0.2">
      <c r="A35" s="244"/>
      <c r="B35" s="245"/>
      <c r="C35" s="245"/>
      <c r="D35" s="245"/>
      <c r="E35" s="245"/>
      <c r="F35" s="246"/>
      <c r="G35" s="73"/>
      <c r="H35" s="73"/>
      <c r="I35" s="73"/>
      <c r="J35" s="73"/>
      <c r="K35" s="73"/>
      <c r="L35" s="73"/>
      <c r="M35" s="73"/>
      <c r="N35" s="73"/>
      <c r="O35" s="73"/>
      <c r="P35" s="73"/>
      <c r="Q35" s="73"/>
      <c r="R35" s="73"/>
      <c r="S35" s="73"/>
    </row>
    <row r="36" spans="1:19" x14ac:dyDescent="0.2">
      <c r="A36" s="244"/>
      <c r="B36" s="245"/>
      <c r="C36" s="245"/>
      <c r="D36" s="245"/>
      <c r="E36" s="245"/>
      <c r="F36" s="246"/>
      <c r="G36" s="73"/>
      <c r="H36" s="73"/>
      <c r="I36" s="73"/>
      <c r="J36" s="73"/>
      <c r="K36" s="73"/>
      <c r="L36" s="73"/>
      <c r="M36" s="73"/>
      <c r="N36" s="73"/>
      <c r="O36" s="73"/>
      <c r="P36" s="73"/>
      <c r="Q36" s="73"/>
      <c r="R36" s="73"/>
      <c r="S36" s="73"/>
    </row>
    <row r="37" spans="1:19" x14ac:dyDescent="0.2">
      <c r="A37" s="244"/>
      <c r="B37" s="245"/>
      <c r="C37" s="245"/>
      <c r="D37" s="245"/>
      <c r="E37" s="245"/>
      <c r="F37" s="246"/>
      <c r="G37" s="81"/>
      <c r="H37" s="73"/>
      <c r="I37" s="73"/>
      <c r="J37" s="73"/>
      <c r="K37" s="73"/>
      <c r="L37" s="73"/>
      <c r="M37" s="73"/>
      <c r="N37" s="73"/>
      <c r="O37" s="73"/>
      <c r="P37" s="73"/>
      <c r="Q37" s="73"/>
      <c r="R37" s="73"/>
      <c r="S37" s="73"/>
    </row>
    <row r="38" spans="1:19" x14ac:dyDescent="0.2">
      <c r="A38" s="244"/>
      <c r="B38" s="245"/>
      <c r="C38" s="245"/>
      <c r="D38" s="245"/>
      <c r="E38" s="245"/>
      <c r="F38" s="246"/>
      <c r="G38" s="81"/>
      <c r="H38" s="73"/>
      <c r="I38" s="73"/>
      <c r="J38" s="73"/>
      <c r="K38" s="73"/>
      <c r="L38" s="73"/>
      <c r="M38" s="73"/>
      <c r="N38" s="73"/>
      <c r="O38" s="73"/>
      <c r="P38" s="73"/>
      <c r="Q38" s="73"/>
      <c r="R38" s="73"/>
      <c r="S38" s="73"/>
    </row>
    <row r="39" spans="1:19" x14ac:dyDescent="0.2">
      <c r="A39" s="244"/>
      <c r="B39" s="245"/>
      <c r="C39" s="245"/>
      <c r="D39" s="245"/>
      <c r="E39" s="245"/>
      <c r="F39" s="246"/>
      <c r="G39" s="81"/>
      <c r="H39" s="73"/>
      <c r="I39" s="73"/>
      <c r="J39" s="73"/>
      <c r="K39" s="73"/>
      <c r="L39" s="73"/>
      <c r="M39" s="73"/>
      <c r="N39" s="73"/>
      <c r="O39" s="73"/>
      <c r="P39" s="73"/>
      <c r="Q39" s="73"/>
      <c r="R39" s="73"/>
      <c r="S39" s="73"/>
    </row>
    <row r="40" spans="1:19" ht="409.5" customHeight="1" thickBot="1" x14ac:dyDescent="0.25">
      <c r="A40" s="247"/>
      <c r="B40" s="248"/>
      <c r="C40" s="248"/>
      <c r="D40" s="248"/>
      <c r="E40" s="248"/>
      <c r="F40" s="249"/>
      <c r="G40" s="81"/>
      <c r="H40" s="73"/>
      <c r="I40" s="73"/>
      <c r="J40" s="73"/>
      <c r="K40" s="73"/>
      <c r="L40" s="73"/>
      <c r="M40" s="73"/>
      <c r="N40" s="73"/>
      <c r="O40" s="73"/>
      <c r="P40" s="73"/>
      <c r="Q40" s="73"/>
      <c r="R40" s="73"/>
      <c r="S40" s="73"/>
    </row>
    <row r="41" spans="1:19" ht="15" x14ac:dyDescent="0.2">
      <c r="A41" s="144"/>
      <c r="B41" s="144"/>
      <c r="C41" s="144"/>
      <c r="D41" s="144"/>
      <c r="E41" s="144"/>
      <c r="F41" s="144"/>
      <c r="G41" s="81"/>
      <c r="H41" s="73"/>
      <c r="I41" s="73"/>
      <c r="J41" s="73"/>
      <c r="K41" s="73"/>
      <c r="L41" s="73"/>
      <c r="M41" s="73"/>
      <c r="N41" s="73"/>
      <c r="O41" s="73"/>
      <c r="P41" s="73"/>
      <c r="Q41" s="73"/>
      <c r="R41" s="73"/>
      <c r="S41" s="73"/>
    </row>
    <row r="42" spans="1:19" ht="15" x14ac:dyDescent="0.2">
      <c r="A42" s="144"/>
      <c r="B42" s="144"/>
      <c r="C42" s="144"/>
      <c r="D42" s="144"/>
      <c r="E42" s="144"/>
      <c r="F42" s="144"/>
      <c r="G42" s="81"/>
      <c r="H42" s="73"/>
      <c r="I42" s="73"/>
      <c r="J42" s="73"/>
      <c r="K42" s="73"/>
      <c r="L42" s="73"/>
      <c r="M42" s="73"/>
      <c r="N42" s="73"/>
      <c r="O42" s="73"/>
      <c r="P42" s="73"/>
      <c r="Q42" s="73"/>
      <c r="R42" s="73"/>
      <c r="S42" s="73"/>
    </row>
    <row r="43" spans="1:19" ht="15" x14ac:dyDescent="0.2">
      <c r="A43" s="144"/>
      <c r="B43" s="144"/>
      <c r="C43" s="144"/>
      <c r="D43" s="144"/>
      <c r="E43" s="144"/>
      <c r="F43" s="144"/>
      <c r="G43" s="81"/>
      <c r="H43" s="73"/>
      <c r="I43" s="73"/>
      <c r="J43" s="73"/>
      <c r="K43" s="73"/>
      <c r="L43" s="73"/>
      <c r="M43" s="73"/>
      <c r="N43" s="73"/>
      <c r="O43" s="73"/>
      <c r="P43" s="73"/>
      <c r="Q43" s="73"/>
      <c r="R43" s="73"/>
      <c r="S43" s="73"/>
    </row>
    <row r="44" spans="1:19" ht="15" x14ac:dyDescent="0.2">
      <c r="A44" s="144"/>
      <c r="B44" s="144"/>
      <c r="C44" s="144"/>
      <c r="D44" s="144"/>
      <c r="E44" s="144"/>
      <c r="F44" s="144"/>
      <c r="G44" s="81"/>
      <c r="H44" s="73"/>
      <c r="I44" s="73"/>
      <c r="J44" s="73"/>
      <c r="K44" s="73"/>
      <c r="L44" s="73"/>
      <c r="M44" s="73"/>
      <c r="N44" s="73"/>
      <c r="O44" s="73"/>
      <c r="P44" s="73"/>
      <c r="Q44" s="73"/>
      <c r="R44" s="73"/>
      <c r="S44" s="73"/>
    </row>
    <row r="45" spans="1:19" ht="15" x14ac:dyDescent="0.2">
      <c r="A45" s="144"/>
      <c r="B45" s="144"/>
      <c r="C45" s="144"/>
      <c r="D45" s="144"/>
      <c r="E45" s="144"/>
      <c r="F45" s="144"/>
      <c r="G45" s="81"/>
      <c r="H45" s="73"/>
      <c r="I45" s="73"/>
      <c r="J45" s="73"/>
      <c r="K45" s="73"/>
      <c r="L45" s="73"/>
      <c r="M45" s="73"/>
      <c r="N45" s="73"/>
      <c r="O45" s="73"/>
      <c r="P45" s="73"/>
      <c r="Q45" s="73"/>
      <c r="R45" s="73"/>
      <c r="S45" s="73"/>
    </row>
    <row r="46" spans="1:19" ht="15" x14ac:dyDescent="0.2">
      <c r="A46" s="144"/>
      <c r="B46" s="144"/>
      <c r="C46" s="144"/>
      <c r="D46" s="144"/>
      <c r="E46" s="144"/>
      <c r="F46" s="144"/>
      <c r="G46" s="81"/>
      <c r="H46" s="73"/>
      <c r="I46" s="73"/>
      <c r="J46" s="73"/>
      <c r="K46" s="73"/>
      <c r="L46" s="73"/>
      <c r="M46" s="73"/>
      <c r="N46" s="73"/>
      <c r="O46" s="73"/>
      <c r="P46" s="73"/>
      <c r="Q46" s="73"/>
      <c r="R46" s="73"/>
      <c r="S46" s="73"/>
    </row>
    <row r="47" spans="1:19" ht="15" x14ac:dyDescent="0.2">
      <c r="A47" s="144"/>
      <c r="B47" s="144"/>
      <c r="C47" s="144"/>
      <c r="D47" s="144"/>
      <c r="E47" s="144"/>
      <c r="F47" s="144"/>
      <c r="G47" s="81"/>
      <c r="H47" s="73"/>
      <c r="I47" s="73"/>
      <c r="J47" s="73"/>
      <c r="K47" s="73"/>
      <c r="L47" s="73"/>
      <c r="M47" s="73"/>
      <c r="N47" s="73"/>
      <c r="O47" s="73"/>
      <c r="P47" s="73"/>
      <c r="Q47" s="73"/>
      <c r="R47" s="73"/>
      <c r="S47" s="73"/>
    </row>
    <row r="48" spans="1:19" ht="15" x14ac:dyDescent="0.2">
      <c r="A48" s="144"/>
      <c r="B48" s="144"/>
      <c r="C48" s="144"/>
      <c r="D48" s="144"/>
      <c r="E48" s="144"/>
      <c r="F48" s="144"/>
      <c r="G48" s="81"/>
      <c r="H48" s="73"/>
      <c r="I48" s="73"/>
      <c r="J48" s="73"/>
      <c r="K48" s="73"/>
      <c r="L48" s="73"/>
      <c r="M48" s="73"/>
      <c r="N48" s="73"/>
      <c r="O48" s="73"/>
      <c r="P48" s="73"/>
      <c r="Q48" s="73"/>
      <c r="R48" s="73"/>
      <c r="S48" s="73"/>
    </row>
    <row r="49" spans="1:19" ht="15" x14ac:dyDescent="0.2">
      <c r="A49" s="144"/>
      <c r="B49" s="144"/>
      <c r="C49" s="144"/>
      <c r="D49" s="144"/>
      <c r="E49" s="144"/>
      <c r="F49" s="144"/>
      <c r="G49" s="81"/>
      <c r="H49" s="73"/>
      <c r="I49" s="73"/>
      <c r="J49" s="73"/>
      <c r="K49" s="73"/>
      <c r="L49" s="73"/>
      <c r="M49" s="73"/>
      <c r="N49" s="73"/>
      <c r="O49" s="73"/>
      <c r="P49" s="73"/>
      <c r="Q49" s="73"/>
      <c r="R49" s="73"/>
      <c r="S49" s="73"/>
    </row>
    <row r="50" spans="1:19" ht="15" x14ac:dyDescent="0.2">
      <c r="A50" s="144"/>
      <c r="B50" s="144"/>
      <c r="C50" s="144"/>
      <c r="D50" s="144"/>
      <c r="E50" s="144"/>
      <c r="F50" s="144"/>
      <c r="G50" s="81"/>
      <c r="H50" s="73"/>
      <c r="I50" s="73"/>
      <c r="J50" s="73"/>
      <c r="K50" s="73"/>
      <c r="L50" s="73"/>
      <c r="M50" s="73"/>
      <c r="N50" s="73"/>
      <c r="O50" s="73"/>
      <c r="P50" s="73"/>
      <c r="Q50" s="73"/>
      <c r="R50" s="73"/>
      <c r="S50" s="73"/>
    </row>
    <row r="51" spans="1:19" x14ac:dyDescent="0.2">
      <c r="A51" s="73"/>
      <c r="B51" s="81"/>
      <c r="C51" s="81"/>
      <c r="D51" s="81"/>
      <c r="E51" s="81"/>
      <c r="F51" s="81"/>
      <c r="G51" s="81"/>
      <c r="H51" s="73"/>
      <c r="I51" s="73"/>
      <c r="J51" s="73"/>
      <c r="K51" s="73"/>
      <c r="L51" s="73"/>
      <c r="M51" s="73"/>
      <c r="N51" s="73"/>
      <c r="O51" s="73"/>
      <c r="P51" s="73"/>
      <c r="Q51" s="73"/>
      <c r="R51" s="73"/>
      <c r="S51" s="73"/>
    </row>
    <row r="52" spans="1:19" x14ac:dyDescent="0.2">
      <c r="A52" s="73"/>
      <c r="B52" s="73"/>
      <c r="C52" s="73"/>
      <c r="D52" s="73"/>
      <c r="E52" s="73"/>
      <c r="F52" s="73"/>
      <c r="G52" s="73"/>
      <c r="H52" s="73"/>
      <c r="I52" s="73"/>
      <c r="J52" s="73"/>
      <c r="K52" s="73"/>
      <c r="L52" s="73"/>
      <c r="M52" s="73"/>
      <c r="N52" s="73"/>
      <c r="O52" s="73"/>
      <c r="P52" s="73"/>
      <c r="Q52" s="73"/>
      <c r="R52" s="73"/>
      <c r="S52" s="73"/>
    </row>
    <row r="53" spans="1:19" ht="15" x14ac:dyDescent="0.2">
      <c r="A53" s="73"/>
      <c r="B53" s="101"/>
      <c r="C53" s="101"/>
      <c r="D53" s="101"/>
      <c r="E53" s="101"/>
      <c r="F53" s="101"/>
      <c r="G53" s="73"/>
      <c r="H53" s="73"/>
      <c r="I53" s="73"/>
      <c r="J53" s="73"/>
      <c r="K53" s="73"/>
      <c r="L53" s="73"/>
      <c r="M53" s="73"/>
      <c r="N53" s="73"/>
      <c r="O53" s="73"/>
      <c r="P53" s="73"/>
      <c r="Q53" s="73"/>
      <c r="R53" s="73"/>
      <c r="S53" s="73"/>
    </row>
    <row r="54" spans="1:19" ht="15" x14ac:dyDescent="0.2">
      <c r="B54" s="72"/>
      <c r="C54" s="72"/>
      <c r="D54" s="72"/>
      <c r="E54" s="72"/>
      <c r="F54" s="72"/>
    </row>
  </sheetData>
  <mergeCells count="5">
    <mergeCell ref="A1:F2"/>
    <mergeCell ref="A5:A6"/>
    <mergeCell ref="C5:C6"/>
    <mergeCell ref="A28:F29"/>
    <mergeCell ref="A31:F40"/>
  </mergeCells>
  <conditionalFormatting sqref="A3">
    <cfRule type="expression" dxfId="7" priority="1">
      <formula>LEN(TRIM(#REF!))&gt;0</formula>
    </cfRule>
  </conditionalFormatting>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8D7D0-2C9F-4C71-87F4-47EC1818C06A}">
  <dimension ref="A1:S54"/>
  <sheetViews>
    <sheetView zoomScaleNormal="100" workbookViewId="0">
      <selection activeCell="E23" sqref="E23"/>
    </sheetView>
  </sheetViews>
  <sheetFormatPr baseColWidth="10" defaultColWidth="9.140625" defaultRowHeight="12.75" x14ac:dyDescent="0.2"/>
  <cols>
    <col min="1" max="1" width="15.5703125" customWidth="1"/>
    <col min="2" max="2" width="10.85546875" bestFit="1" customWidth="1"/>
    <col min="3" max="3" width="19" customWidth="1"/>
    <col min="4" max="4" width="19.140625" customWidth="1"/>
    <col min="5" max="5" width="33.85546875" customWidth="1"/>
    <col min="6" max="6" width="18.7109375" customWidth="1"/>
    <col min="7" max="7" width="16.28515625" customWidth="1"/>
    <col min="8" max="1025" width="14.42578125" customWidth="1"/>
  </cols>
  <sheetData>
    <row r="1" spans="1:19" ht="15.75" customHeight="1" x14ac:dyDescent="0.2">
      <c r="A1" s="232" t="s">
        <v>139</v>
      </c>
      <c r="B1" s="232"/>
      <c r="C1" s="232"/>
      <c r="D1" s="232"/>
      <c r="E1" s="232"/>
      <c r="F1" s="232"/>
      <c r="G1" s="73"/>
      <c r="H1" s="73"/>
      <c r="I1" s="73"/>
      <c r="J1" s="73"/>
      <c r="K1" s="73"/>
      <c r="L1" s="73"/>
      <c r="M1" s="73"/>
      <c r="N1" s="73"/>
      <c r="O1" s="73"/>
      <c r="P1" s="73"/>
      <c r="Q1" s="73"/>
      <c r="R1" s="73"/>
      <c r="S1" s="73"/>
    </row>
    <row r="2" spans="1:19" ht="15.75" customHeight="1" x14ac:dyDescent="0.2">
      <c r="A2" s="232"/>
      <c r="B2" s="232"/>
      <c r="C2" s="232"/>
      <c r="D2" s="232"/>
      <c r="E2" s="232"/>
      <c r="F2" s="232"/>
      <c r="G2" s="73"/>
      <c r="H2" s="73"/>
      <c r="I2" s="73"/>
      <c r="J2" s="73"/>
      <c r="K2" s="73"/>
      <c r="L2" s="73"/>
      <c r="M2" s="73"/>
      <c r="N2" s="73"/>
      <c r="O2" s="73"/>
      <c r="P2" s="73"/>
      <c r="Q2" s="73"/>
      <c r="R2" s="73"/>
      <c r="S2" s="73"/>
    </row>
    <row r="3" spans="1:19" ht="15.75" customHeight="1" x14ac:dyDescent="0.25">
      <c r="A3" s="140" t="s">
        <v>1</v>
      </c>
      <c r="B3" s="73"/>
      <c r="C3" s="140" t="s">
        <v>2</v>
      </c>
      <c r="D3" s="75" t="s">
        <v>3</v>
      </c>
      <c r="E3" s="140" t="s">
        <v>4</v>
      </c>
      <c r="F3" s="140" t="s">
        <v>5</v>
      </c>
      <c r="G3" s="73"/>
      <c r="H3" s="73"/>
      <c r="I3" s="73"/>
      <c r="J3" s="73"/>
      <c r="K3" s="73"/>
      <c r="L3" s="73"/>
      <c r="M3" s="73"/>
      <c r="N3" s="73"/>
      <c r="O3" s="73"/>
      <c r="P3" s="73"/>
      <c r="Q3" s="73"/>
      <c r="R3" s="73"/>
      <c r="S3" s="73"/>
    </row>
    <row r="4" spans="1:19" ht="15.75" customHeight="1" thickBot="1" x14ac:dyDescent="0.3">
      <c r="A4" s="141">
        <v>43920</v>
      </c>
      <c r="B4" s="133"/>
      <c r="C4" s="134">
        <v>43926</v>
      </c>
      <c r="D4" s="78" t="s">
        <v>6</v>
      </c>
      <c r="E4" s="79">
        <f>D20</f>
        <v>2.0833333333333259E-2</v>
      </c>
      <c r="F4" s="80">
        <f>'Uke13'!F4 + E4</f>
        <v>1.1770833333333333</v>
      </c>
      <c r="G4" s="73"/>
      <c r="H4" s="189"/>
      <c r="I4" s="142">
        <f>B11-B11</f>
        <v>0</v>
      </c>
      <c r="J4" s="102"/>
      <c r="K4" s="73"/>
      <c r="L4" s="73"/>
      <c r="M4" s="73"/>
      <c r="N4" s="73"/>
      <c r="O4" s="73"/>
      <c r="P4" s="73"/>
      <c r="Q4" s="73"/>
      <c r="R4" s="73"/>
      <c r="S4" s="73"/>
    </row>
    <row r="5" spans="1:19" ht="15" customHeight="1" x14ac:dyDescent="0.25">
      <c r="A5" s="239" t="s">
        <v>7</v>
      </c>
      <c r="B5" s="73"/>
      <c r="C5" s="239" t="s">
        <v>8</v>
      </c>
      <c r="D5" s="82" t="s">
        <v>9</v>
      </c>
      <c r="E5" s="79">
        <f>D15+D17+D19+D21</f>
        <v>0.27083333333333331</v>
      </c>
      <c r="F5" s="80">
        <f>'Uke13'!F5 + E5</f>
        <v>1.2326388888888906</v>
      </c>
      <c r="G5" s="73"/>
      <c r="H5" s="189"/>
      <c r="I5" s="73"/>
      <c r="J5" s="73"/>
      <c r="K5" s="73"/>
      <c r="L5" s="73"/>
      <c r="M5" s="73"/>
      <c r="N5" s="73"/>
      <c r="O5" s="73"/>
      <c r="P5" s="73"/>
      <c r="Q5" s="73"/>
      <c r="R5" s="73"/>
      <c r="S5" s="73"/>
    </row>
    <row r="6" spans="1:19" ht="15.75" customHeight="1" x14ac:dyDescent="0.25">
      <c r="A6" s="239"/>
      <c r="B6" s="73"/>
      <c r="C6" s="239"/>
      <c r="D6" s="83" t="s">
        <v>10</v>
      </c>
      <c r="E6" s="80">
        <f>D11+D12+D13+D16+D18</f>
        <v>9.0277777777777679E-2</v>
      </c>
      <c r="F6" s="80">
        <f>'Uke13'!F6 + E6</f>
        <v>1.4027777777777777</v>
      </c>
      <c r="G6" s="73"/>
      <c r="H6" s="189"/>
      <c r="I6" s="189"/>
      <c r="J6" s="102"/>
      <c r="K6" s="73"/>
      <c r="L6" s="73"/>
      <c r="M6" s="73"/>
      <c r="N6" s="73"/>
      <c r="O6" s="73"/>
      <c r="P6" s="73"/>
      <c r="Q6" s="73"/>
      <c r="R6" s="73"/>
      <c r="S6" s="73"/>
    </row>
    <row r="7" spans="1:19" ht="16.5" thickBot="1" x14ac:dyDescent="0.3">
      <c r="A7" s="135">
        <f>SUM(E4:E7)</f>
        <v>0.52083333333333304</v>
      </c>
      <c r="B7" s="133"/>
      <c r="C7" s="135">
        <f>SUM(F4:F7)</f>
        <v>5.2638888888888911</v>
      </c>
      <c r="D7" s="85" t="s">
        <v>46</v>
      </c>
      <c r="E7" s="86">
        <f>D14+D22</f>
        <v>0.13888888888888884</v>
      </c>
      <c r="F7" s="84">
        <f>'Uke13'!F7 + E7</f>
        <v>1.4513888888888897</v>
      </c>
      <c r="G7" s="73"/>
      <c r="H7" s="189"/>
      <c r="I7" s="189"/>
      <c r="J7" s="102"/>
      <c r="K7" s="73"/>
      <c r="L7" s="73"/>
      <c r="M7" s="73"/>
      <c r="N7" s="73"/>
      <c r="O7" s="73"/>
      <c r="P7" s="73"/>
      <c r="Q7" s="73"/>
      <c r="R7" s="73"/>
      <c r="S7" s="73"/>
    </row>
    <row r="8" spans="1:19" x14ac:dyDescent="0.2">
      <c r="A8" s="73"/>
      <c r="B8" s="73"/>
      <c r="C8" s="73"/>
      <c r="D8" s="73"/>
      <c r="E8" s="73"/>
      <c r="F8" s="73"/>
      <c r="G8" s="73"/>
      <c r="H8" s="73"/>
      <c r="I8" s="73"/>
      <c r="J8" s="73"/>
      <c r="K8" s="73"/>
      <c r="L8" s="73"/>
      <c r="M8" s="73"/>
      <c r="N8" s="73"/>
      <c r="O8" s="73"/>
      <c r="P8" s="73"/>
      <c r="Q8" s="73"/>
      <c r="R8" s="73"/>
      <c r="S8" s="73"/>
    </row>
    <row r="9" spans="1:19" x14ac:dyDescent="0.2">
      <c r="A9" s="73"/>
      <c r="B9" s="73"/>
      <c r="C9" s="73"/>
      <c r="D9" s="73"/>
      <c r="E9" s="73"/>
      <c r="F9" s="73"/>
      <c r="G9" s="73"/>
      <c r="H9" s="73"/>
      <c r="I9" s="73"/>
      <c r="J9" s="73"/>
      <c r="K9" s="73"/>
      <c r="L9" s="73"/>
      <c r="M9" s="73"/>
      <c r="N9" s="73"/>
      <c r="O9" s="73"/>
      <c r="P9" s="73"/>
      <c r="Q9" s="73"/>
      <c r="R9" s="73"/>
      <c r="S9" s="73"/>
    </row>
    <row r="10" spans="1:19" ht="16.5" thickBot="1" x14ac:dyDescent="0.3">
      <c r="A10" s="140" t="s">
        <v>12</v>
      </c>
      <c r="B10" s="140" t="s">
        <v>57</v>
      </c>
      <c r="C10" s="140" t="s">
        <v>58</v>
      </c>
      <c r="D10" s="140" t="s">
        <v>59</v>
      </c>
      <c r="E10" s="140" t="s">
        <v>47</v>
      </c>
      <c r="F10" s="140" t="s">
        <v>39</v>
      </c>
      <c r="G10" s="73"/>
      <c r="H10" s="73"/>
      <c r="I10" s="73"/>
      <c r="J10" s="73"/>
      <c r="K10" s="73"/>
      <c r="L10" s="73"/>
      <c r="M10" s="73"/>
      <c r="N10" s="73"/>
      <c r="O10" s="73"/>
      <c r="P10" s="73"/>
      <c r="Q10" s="73"/>
      <c r="R10" s="73"/>
      <c r="S10" s="73"/>
    </row>
    <row r="11" spans="1:19" ht="15.75" x14ac:dyDescent="0.25">
      <c r="A11" s="145">
        <v>43920</v>
      </c>
      <c r="B11" s="146">
        <v>0.58680555555555558</v>
      </c>
      <c r="C11" s="146">
        <v>0.59722222222222221</v>
      </c>
      <c r="D11" s="146">
        <f t="shared" ref="D11" si="0">C11-B11</f>
        <v>1.041666666666663E-2</v>
      </c>
      <c r="E11" s="164" t="s">
        <v>48</v>
      </c>
      <c r="F11" s="112"/>
      <c r="G11" s="73"/>
      <c r="H11" s="73"/>
      <c r="I11" s="73"/>
      <c r="J11" s="73"/>
      <c r="K11" s="73"/>
      <c r="L11" s="73"/>
      <c r="M11" s="73"/>
      <c r="N11" s="73"/>
      <c r="O11" s="73"/>
      <c r="P11" s="73"/>
      <c r="Q11" s="73"/>
      <c r="R11" s="73"/>
      <c r="S11" s="73"/>
    </row>
    <row r="12" spans="1:19" ht="15.75" x14ac:dyDescent="0.25">
      <c r="A12" s="145">
        <v>43920</v>
      </c>
      <c r="B12" s="146">
        <v>0.625</v>
      </c>
      <c r="C12" s="146">
        <v>0.64583333333333337</v>
      </c>
      <c r="D12" s="146">
        <f t="shared" ref="D12:D13" si="1">C12-B12</f>
        <v>2.083333333333337E-2</v>
      </c>
      <c r="E12" s="164" t="s">
        <v>140</v>
      </c>
      <c r="F12" s="125"/>
      <c r="G12" s="73"/>
      <c r="H12" s="73"/>
      <c r="I12" s="73"/>
      <c r="J12" s="73"/>
      <c r="K12" s="73"/>
      <c r="L12" s="73"/>
      <c r="M12" s="73"/>
      <c r="N12" s="73"/>
      <c r="O12" s="73"/>
      <c r="P12" s="73"/>
      <c r="Q12" s="73"/>
      <c r="R12" s="73"/>
      <c r="S12" s="73"/>
    </row>
    <row r="13" spans="1:19" ht="15.75" x14ac:dyDescent="0.25">
      <c r="A13" s="145">
        <v>43921</v>
      </c>
      <c r="B13" s="146">
        <v>0.54166666666666663</v>
      </c>
      <c r="C13" s="146">
        <v>0.56597222222222221</v>
      </c>
      <c r="D13" s="146">
        <f t="shared" si="1"/>
        <v>2.430555555555558E-2</v>
      </c>
      <c r="E13" s="164" t="s">
        <v>48</v>
      </c>
      <c r="F13" s="114"/>
      <c r="G13" s="73"/>
      <c r="H13" s="73"/>
      <c r="I13" s="73"/>
      <c r="J13" s="73"/>
      <c r="K13" s="73"/>
      <c r="L13" s="73"/>
      <c r="M13" s="73"/>
      <c r="N13" s="73"/>
      <c r="O13" s="73"/>
      <c r="P13" s="73"/>
      <c r="Q13" s="73"/>
      <c r="R13" s="73"/>
      <c r="S13" s="73"/>
    </row>
    <row r="14" spans="1:19" ht="15.75" x14ac:dyDescent="0.25">
      <c r="A14" s="190">
        <v>43921</v>
      </c>
      <c r="B14" s="191">
        <v>0.75</v>
      </c>
      <c r="C14" s="191">
        <v>0.84722222222222221</v>
      </c>
      <c r="D14" s="191">
        <f t="shared" ref="D14:D16" si="2">C14-B14</f>
        <v>9.722222222222221E-2</v>
      </c>
      <c r="E14" s="192" t="s">
        <v>141</v>
      </c>
      <c r="F14" s="114"/>
      <c r="G14" s="73"/>
      <c r="H14" s="73"/>
      <c r="I14" s="73"/>
      <c r="J14" s="73"/>
      <c r="K14" s="73"/>
      <c r="L14" s="73"/>
      <c r="M14" s="73"/>
      <c r="N14" s="73"/>
      <c r="O14" s="73"/>
      <c r="P14" s="73"/>
      <c r="Q14" s="73"/>
      <c r="R14" s="73"/>
      <c r="S14" s="73"/>
    </row>
    <row r="15" spans="1:19" ht="47.25" x14ac:dyDescent="0.25">
      <c r="A15" s="178">
        <v>43922</v>
      </c>
      <c r="B15" s="179">
        <v>0.89583333333333337</v>
      </c>
      <c r="C15" s="179">
        <v>0.97916666666666663</v>
      </c>
      <c r="D15" s="179">
        <f t="shared" si="2"/>
        <v>8.3333333333333259E-2</v>
      </c>
      <c r="E15" s="180" t="s">
        <v>142</v>
      </c>
      <c r="F15" s="122" t="s">
        <v>143</v>
      </c>
      <c r="G15" s="73"/>
      <c r="H15" s="73"/>
      <c r="I15" s="73"/>
      <c r="J15" s="73"/>
      <c r="K15" s="73"/>
      <c r="L15" s="73"/>
      <c r="M15" s="73"/>
      <c r="N15" s="73"/>
      <c r="O15" s="73"/>
      <c r="P15" s="73"/>
      <c r="Q15" s="73"/>
      <c r="R15" s="73"/>
      <c r="S15" s="73"/>
    </row>
    <row r="16" spans="1:19" ht="15.75" x14ac:dyDescent="0.25">
      <c r="A16" s="145">
        <v>43923</v>
      </c>
      <c r="B16" s="146">
        <v>0.58333333333333337</v>
      </c>
      <c r="C16" s="146">
        <v>0.60416666666666663</v>
      </c>
      <c r="D16" s="146">
        <f t="shared" si="2"/>
        <v>2.0833333333333259E-2</v>
      </c>
      <c r="E16" s="164" t="s">
        <v>48</v>
      </c>
      <c r="F16" s="122"/>
      <c r="G16" s="73"/>
      <c r="H16" s="73"/>
      <c r="I16" s="73"/>
      <c r="J16" s="73"/>
      <c r="K16" s="73"/>
      <c r="L16" s="73"/>
      <c r="M16" s="73"/>
      <c r="N16" s="73"/>
      <c r="O16" s="73"/>
      <c r="P16" s="73"/>
      <c r="Q16" s="73"/>
      <c r="R16" s="73"/>
      <c r="S16" s="73"/>
    </row>
    <row r="17" spans="1:19" ht="46.5" customHeight="1" x14ac:dyDescent="0.25">
      <c r="A17" s="178">
        <v>43925</v>
      </c>
      <c r="B17" s="179">
        <v>0.45833333333333331</v>
      </c>
      <c r="C17" s="179">
        <v>0.5625</v>
      </c>
      <c r="D17" s="179">
        <f t="shared" ref="D17:D18" si="3">C17-B17</f>
        <v>0.10416666666666669</v>
      </c>
      <c r="E17" s="180" t="s">
        <v>144</v>
      </c>
      <c r="F17" s="122" t="s">
        <v>143</v>
      </c>
      <c r="G17" s="73"/>
      <c r="H17" s="73"/>
      <c r="I17" s="73"/>
      <c r="J17" s="73"/>
      <c r="K17" s="73"/>
      <c r="L17" s="73"/>
      <c r="M17" s="73"/>
      <c r="N17" s="73"/>
      <c r="O17" s="73"/>
      <c r="P17" s="73"/>
      <c r="Q17" s="73"/>
      <c r="R17" s="73"/>
      <c r="S17" s="73"/>
    </row>
    <row r="18" spans="1:19" ht="15.75" x14ac:dyDescent="0.25">
      <c r="A18" s="145">
        <v>43925</v>
      </c>
      <c r="B18" s="146">
        <v>0.58680555555555558</v>
      </c>
      <c r="C18" s="146">
        <v>0.60069444444444442</v>
      </c>
      <c r="D18" s="146">
        <f t="shared" si="3"/>
        <v>1.388888888888884E-2</v>
      </c>
      <c r="E18" s="164" t="s">
        <v>48</v>
      </c>
      <c r="F18" s="137"/>
      <c r="G18" s="73"/>
      <c r="H18" s="73"/>
      <c r="I18" s="73"/>
      <c r="J18" s="73"/>
      <c r="K18" s="73"/>
      <c r="L18" s="73"/>
      <c r="M18" s="73"/>
      <c r="N18" s="73"/>
      <c r="O18" s="73"/>
      <c r="P18" s="73"/>
      <c r="Q18" s="73"/>
      <c r="R18" s="73"/>
      <c r="S18" s="73"/>
    </row>
    <row r="19" spans="1:19" ht="47.25" x14ac:dyDescent="0.25">
      <c r="A19" s="178">
        <v>43925</v>
      </c>
      <c r="B19" s="179">
        <v>0.75</v>
      </c>
      <c r="C19" s="179">
        <v>0.77083333333333337</v>
      </c>
      <c r="D19" s="179">
        <f t="shared" ref="D19" si="4">C19-B19</f>
        <v>2.083333333333337E-2</v>
      </c>
      <c r="E19" s="180" t="s">
        <v>145</v>
      </c>
      <c r="F19" s="122" t="s">
        <v>143</v>
      </c>
      <c r="G19" s="73"/>
      <c r="H19" s="73"/>
      <c r="I19" s="73"/>
      <c r="J19" s="73"/>
      <c r="K19" s="73"/>
      <c r="L19" s="73"/>
      <c r="M19" s="73"/>
      <c r="N19" s="73"/>
      <c r="O19" s="73"/>
      <c r="P19" s="73"/>
      <c r="Q19" s="73"/>
      <c r="R19" s="73"/>
      <c r="S19" s="73"/>
    </row>
    <row r="20" spans="1:19" ht="31.5" x14ac:dyDescent="0.25">
      <c r="A20" s="44">
        <v>43926</v>
      </c>
      <c r="B20" s="159">
        <v>0.70833333333333337</v>
      </c>
      <c r="C20" s="159">
        <v>0.72916666666666663</v>
      </c>
      <c r="D20" s="159">
        <f>C20-B20</f>
        <v>2.0833333333333259E-2</v>
      </c>
      <c r="E20" s="174" t="s">
        <v>146</v>
      </c>
      <c r="F20" s="138"/>
      <c r="G20" s="73"/>
      <c r="H20" s="73"/>
      <c r="I20" s="73"/>
      <c r="J20" s="73"/>
      <c r="K20" s="73"/>
      <c r="L20" s="73"/>
      <c r="M20" s="73"/>
      <c r="N20" s="73"/>
      <c r="O20" s="73"/>
      <c r="P20" s="73"/>
      <c r="Q20" s="73"/>
      <c r="R20" s="73"/>
      <c r="S20" s="73"/>
    </row>
    <row r="21" spans="1:19" ht="44.25" customHeight="1" x14ac:dyDescent="0.25">
      <c r="A21" s="193">
        <v>43926</v>
      </c>
      <c r="B21" s="194">
        <v>0.72916666666666663</v>
      </c>
      <c r="C21" s="194">
        <v>0.79166666666666663</v>
      </c>
      <c r="D21" s="194">
        <f t="shared" ref="D21:D22" si="5">C21-B21</f>
        <v>6.25E-2</v>
      </c>
      <c r="E21" s="202" t="s">
        <v>147</v>
      </c>
      <c r="F21" s="203" t="s">
        <v>148</v>
      </c>
      <c r="G21" s="73"/>
      <c r="H21" s="73"/>
      <c r="I21" s="73"/>
      <c r="J21" s="73"/>
      <c r="K21" s="73"/>
      <c r="L21" s="73"/>
      <c r="M21" s="73"/>
      <c r="N21" s="73"/>
      <c r="O21" s="73"/>
      <c r="P21" s="73"/>
      <c r="Q21" s="73"/>
      <c r="R21" s="73"/>
      <c r="S21" s="73"/>
    </row>
    <row r="22" spans="1:19" ht="31.5" x14ac:dyDescent="0.25">
      <c r="A22" s="195">
        <v>43926</v>
      </c>
      <c r="B22" s="196">
        <v>0.83333333333333337</v>
      </c>
      <c r="C22" s="196">
        <v>0.875</v>
      </c>
      <c r="D22" s="196">
        <f t="shared" si="5"/>
        <v>4.166666666666663E-2</v>
      </c>
      <c r="E22" s="197" t="s">
        <v>149</v>
      </c>
      <c r="F22" s="139"/>
      <c r="G22" s="73"/>
      <c r="H22" s="73"/>
      <c r="I22" s="73"/>
      <c r="J22" s="73"/>
      <c r="K22" s="73"/>
      <c r="L22" s="73"/>
      <c r="M22" s="73"/>
      <c r="N22" s="73"/>
      <c r="O22" s="73"/>
      <c r="P22" s="73"/>
      <c r="Q22" s="73"/>
      <c r="R22" s="73"/>
      <c r="S22" s="73"/>
    </row>
    <row r="23" spans="1:19" ht="15.75" x14ac:dyDescent="0.25">
      <c r="A23" s="187"/>
      <c r="B23" s="188"/>
      <c r="C23" s="188"/>
      <c r="D23" s="188"/>
      <c r="E23" s="186"/>
      <c r="F23" s="130"/>
      <c r="G23" s="73"/>
      <c r="H23" s="73"/>
      <c r="I23" s="73"/>
      <c r="J23" s="73"/>
      <c r="K23" s="73"/>
      <c r="L23" s="73"/>
      <c r="M23" s="73"/>
      <c r="N23" s="73"/>
      <c r="O23" s="73"/>
      <c r="P23" s="73"/>
      <c r="Q23" s="73"/>
      <c r="R23" s="73"/>
      <c r="S23" s="73"/>
    </row>
    <row r="24" spans="1:19" ht="15.75" x14ac:dyDescent="0.25">
      <c r="A24" s="187"/>
      <c r="B24" s="188"/>
      <c r="C24" s="188"/>
      <c r="D24" s="188"/>
      <c r="E24" s="186"/>
      <c r="F24" s="130"/>
      <c r="G24" s="73"/>
      <c r="H24" s="73"/>
      <c r="I24" s="73"/>
      <c r="J24" s="73"/>
      <c r="K24" s="73"/>
      <c r="L24" s="73"/>
      <c r="M24" s="73"/>
      <c r="N24" s="73"/>
      <c r="O24" s="73"/>
      <c r="P24" s="73"/>
      <c r="Q24" s="73"/>
      <c r="R24" s="73"/>
      <c r="S24" s="73"/>
    </row>
    <row r="25" spans="1:19" ht="15.75" x14ac:dyDescent="0.25">
      <c r="A25" s="187"/>
      <c r="B25" s="188"/>
      <c r="C25" s="188"/>
      <c r="D25" s="188"/>
      <c r="E25" s="186"/>
      <c r="F25" s="130"/>
      <c r="G25" s="73"/>
      <c r="H25" s="73"/>
      <c r="I25" s="73"/>
      <c r="J25" s="73"/>
      <c r="K25" s="73"/>
      <c r="L25" s="73"/>
      <c r="M25" s="73"/>
      <c r="N25" s="73"/>
      <c r="O25" s="73"/>
      <c r="P25" s="73"/>
      <c r="Q25" s="73"/>
      <c r="R25" s="73"/>
      <c r="S25" s="73"/>
    </row>
    <row r="26" spans="1:19" ht="15.75" x14ac:dyDescent="0.25">
      <c r="A26" s="187"/>
      <c r="B26" s="188"/>
      <c r="C26" s="188"/>
      <c r="D26" s="188"/>
      <c r="E26" s="186"/>
      <c r="F26" s="130"/>
      <c r="G26" s="73"/>
      <c r="H26" s="73"/>
      <c r="I26" s="73"/>
      <c r="J26" s="73"/>
      <c r="K26" s="73"/>
      <c r="L26" s="73"/>
      <c r="M26" s="73"/>
      <c r="N26" s="73"/>
      <c r="O26" s="73"/>
      <c r="P26" s="73"/>
      <c r="Q26" s="73"/>
      <c r="R26" s="73"/>
      <c r="S26" s="73"/>
    </row>
    <row r="27" spans="1:19" ht="15.75" x14ac:dyDescent="0.25">
      <c r="A27" s="187"/>
      <c r="B27" s="188"/>
      <c r="C27" s="188"/>
      <c r="D27" s="188"/>
      <c r="E27" s="186"/>
      <c r="F27" s="130"/>
      <c r="G27" s="73"/>
      <c r="H27" s="73"/>
      <c r="I27" s="73"/>
      <c r="J27" s="73"/>
      <c r="K27" s="73"/>
      <c r="L27" s="73"/>
      <c r="M27" s="73"/>
      <c r="N27" s="73"/>
      <c r="O27" s="73"/>
      <c r="P27" s="73"/>
      <c r="Q27" s="73"/>
      <c r="R27" s="73"/>
      <c r="S27" s="73"/>
    </row>
    <row r="28" spans="1:19" ht="15.75" x14ac:dyDescent="0.25">
      <c r="A28" s="187"/>
      <c r="B28" s="188"/>
      <c r="C28" s="188"/>
      <c r="D28" s="188"/>
      <c r="E28" s="186"/>
      <c r="F28" s="130"/>
      <c r="G28" s="73"/>
      <c r="H28" s="73"/>
      <c r="I28" s="73"/>
      <c r="J28" s="73"/>
      <c r="K28" s="73"/>
      <c r="L28" s="73"/>
      <c r="M28" s="73"/>
      <c r="N28" s="73"/>
      <c r="O28" s="73"/>
      <c r="P28" s="73"/>
      <c r="Q28" s="73"/>
      <c r="R28" s="73"/>
      <c r="S28" s="73"/>
    </row>
    <row r="29" spans="1:19" ht="15.75" x14ac:dyDescent="0.25">
      <c r="A29" s="187"/>
      <c r="B29" s="188"/>
      <c r="C29" s="188"/>
      <c r="D29" s="188"/>
      <c r="E29" s="186"/>
      <c r="F29" s="130"/>
      <c r="G29" s="73"/>
      <c r="H29" s="73"/>
      <c r="I29" s="73"/>
      <c r="J29" s="73"/>
      <c r="K29" s="73"/>
      <c r="L29" s="73"/>
      <c r="M29" s="73"/>
      <c r="N29" s="73"/>
      <c r="O29" s="73"/>
      <c r="P29" s="73"/>
      <c r="Q29" s="73"/>
      <c r="R29" s="73"/>
      <c r="S29" s="73"/>
    </row>
    <row r="30" spans="1:19" ht="15.75" x14ac:dyDescent="0.25">
      <c r="A30" s="187"/>
      <c r="B30" s="188"/>
      <c r="C30" s="188"/>
      <c r="D30" s="188"/>
      <c r="E30" s="186"/>
      <c r="F30" s="130"/>
      <c r="G30" s="73"/>
      <c r="H30" s="73"/>
      <c r="I30" s="73"/>
      <c r="J30" s="73"/>
      <c r="K30" s="73"/>
      <c r="L30" s="73"/>
      <c r="M30" s="73"/>
      <c r="N30" s="73"/>
      <c r="O30" s="73"/>
      <c r="P30" s="73"/>
      <c r="Q30" s="73"/>
      <c r="R30" s="73"/>
      <c r="S30" s="73"/>
    </row>
    <row r="31" spans="1:19" ht="15.75" x14ac:dyDescent="0.25">
      <c r="A31" s="187"/>
      <c r="B31" s="188"/>
      <c r="C31" s="188"/>
      <c r="D31" s="188"/>
      <c r="E31" s="186"/>
      <c r="F31" s="130"/>
      <c r="G31" s="73"/>
      <c r="H31" s="73"/>
      <c r="I31" s="73"/>
      <c r="J31" s="73"/>
      <c r="K31" s="73"/>
      <c r="L31" s="73"/>
      <c r="M31" s="73"/>
      <c r="N31" s="73"/>
      <c r="O31" s="73"/>
      <c r="P31" s="73"/>
      <c r="Q31" s="73"/>
      <c r="R31" s="73"/>
      <c r="S31" s="73"/>
    </row>
    <row r="32" spans="1:19" ht="15.75" x14ac:dyDescent="0.25">
      <c r="A32" s="187"/>
      <c r="B32" s="188"/>
      <c r="C32" s="188"/>
      <c r="D32" s="188"/>
      <c r="E32" s="186"/>
      <c r="F32" s="130"/>
      <c r="G32" s="73"/>
      <c r="H32" s="73"/>
      <c r="I32" s="73"/>
      <c r="J32" s="73"/>
      <c r="K32" s="73"/>
      <c r="L32" s="73"/>
      <c r="M32" s="73"/>
      <c r="N32" s="73"/>
      <c r="O32" s="73"/>
      <c r="P32" s="73"/>
      <c r="Q32" s="73"/>
      <c r="R32" s="73"/>
      <c r="S32" s="73"/>
    </row>
    <row r="33" spans="1:19" x14ac:dyDescent="0.2">
      <c r="A33" s="73"/>
      <c r="B33" s="73"/>
      <c r="C33" s="73"/>
      <c r="D33" s="73"/>
      <c r="E33" s="73"/>
      <c r="F33" s="73"/>
      <c r="G33" s="73"/>
      <c r="H33" s="73"/>
      <c r="I33" s="73"/>
      <c r="J33" s="73"/>
      <c r="K33" s="73"/>
      <c r="L33" s="73"/>
      <c r="M33" s="73"/>
      <c r="N33" s="73"/>
      <c r="O33" s="73"/>
      <c r="P33" s="73"/>
      <c r="Q33" s="73"/>
      <c r="R33" s="73"/>
      <c r="S33" s="73"/>
    </row>
    <row r="34" spans="1:19" x14ac:dyDescent="0.2">
      <c r="A34" s="73"/>
      <c r="B34" s="73"/>
      <c r="C34" s="73"/>
      <c r="D34" s="73"/>
      <c r="E34" s="73"/>
      <c r="F34" s="73"/>
      <c r="G34" s="73"/>
      <c r="H34" s="73"/>
      <c r="I34" s="73"/>
      <c r="J34" s="73"/>
      <c r="K34" s="73"/>
      <c r="L34" s="73"/>
      <c r="M34" s="73"/>
      <c r="N34" s="73"/>
      <c r="O34" s="73"/>
      <c r="P34" s="73"/>
      <c r="Q34" s="73"/>
      <c r="R34" s="73"/>
      <c r="S34" s="73"/>
    </row>
    <row r="35" spans="1:19" x14ac:dyDescent="0.2">
      <c r="A35" s="73"/>
      <c r="B35" s="73"/>
      <c r="C35" s="73"/>
      <c r="D35" s="73"/>
      <c r="E35" s="73"/>
      <c r="F35" s="73"/>
      <c r="G35" s="73"/>
      <c r="H35" s="73"/>
      <c r="I35" s="73"/>
      <c r="J35" s="73"/>
      <c r="K35" s="73"/>
      <c r="L35" s="73"/>
      <c r="M35" s="73"/>
      <c r="N35" s="73"/>
      <c r="O35" s="73"/>
      <c r="P35" s="73"/>
      <c r="Q35" s="73"/>
      <c r="R35" s="73"/>
      <c r="S35" s="73"/>
    </row>
    <row r="36" spans="1:19" x14ac:dyDescent="0.2">
      <c r="A36" s="73"/>
      <c r="B36" s="73"/>
      <c r="C36" s="73"/>
      <c r="D36" s="73"/>
      <c r="E36" s="73"/>
      <c r="F36" s="73"/>
      <c r="G36" s="73"/>
      <c r="H36" s="73"/>
      <c r="I36" s="73"/>
      <c r="J36" s="73"/>
      <c r="K36" s="73"/>
      <c r="L36" s="73"/>
      <c r="M36" s="73"/>
      <c r="N36" s="73"/>
      <c r="O36" s="73"/>
      <c r="P36" s="73"/>
      <c r="Q36" s="73"/>
      <c r="R36" s="73"/>
      <c r="S36" s="73"/>
    </row>
    <row r="37" spans="1:19" x14ac:dyDescent="0.2">
      <c r="A37" s="238" t="s">
        <v>23</v>
      </c>
      <c r="B37" s="238"/>
      <c r="C37" s="238"/>
      <c r="D37" s="238"/>
      <c r="E37" s="238"/>
      <c r="F37" s="238"/>
      <c r="G37" s="73"/>
      <c r="H37" s="73"/>
      <c r="I37" s="73"/>
      <c r="J37" s="73"/>
      <c r="K37" s="73"/>
      <c r="L37" s="73"/>
      <c r="M37" s="73"/>
      <c r="N37" s="73"/>
      <c r="O37" s="73"/>
      <c r="P37" s="73"/>
      <c r="Q37" s="73"/>
      <c r="R37" s="73"/>
      <c r="S37" s="73"/>
    </row>
    <row r="38" spans="1:19" x14ac:dyDescent="0.2">
      <c r="A38" s="238"/>
      <c r="B38" s="238"/>
      <c r="C38" s="238"/>
      <c r="D38" s="238"/>
      <c r="E38" s="238"/>
      <c r="F38" s="238"/>
      <c r="G38" s="73"/>
      <c r="H38" s="73"/>
      <c r="I38" s="73"/>
      <c r="J38" s="73"/>
      <c r="K38" s="73"/>
      <c r="L38" s="73"/>
      <c r="M38" s="73"/>
      <c r="N38" s="73"/>
      <c r="O38" s="73"/>
      <c r="P38" s="73"/>
      <c r="Q38" s="73"/>
      <c r="R38" s="73"/>
      <c r="S38" s="73"/>
    </row>
    <row r="39" spans="1:19" ht="13.5" thickBot="1" x14ac:dyDescent="0.25">
      <c r="A39" s="73"/>
      <c r="B39" s="73"/>
      <c r="C39" s="73"/>
      <c r="D39" s="73"/>
      <c r="E39" s="73"/>
      <c r="F39" s="73"/>
      <c r="G39" s="73"/>
      <c r="H39" s="73"/>
      <c r="I39" s="73"/>
      <c r="J39" s="73"/>
      <c r="K39" s="73"/>
      <c r="L39" s="73"/>
      <c r="M39" s="73"/>
      <c r="N39" s="73"/>
      <c r="O39" s="73"/>
      <c r="P39" s="73"/>
      <c r="Q39" s="73"/>
      <c r="R39" s="73"/>
      <c r="S39" s="73"/>
    </row>
    <row r="40" spans="1:19" ht="111.75" customHeight="1" x14ac:dyDescent="0.2">
      <c r="A40" s="236" t="s">
        <v>150</v>
      </c>
      <c r="B40" s="236"/>
      <c r="C40" s="236"/>
      <c r="D40" s="236"/>
      <c r="E40" s="236"/>
      <c r="F40" s="236"/>
      <c r="G40" s="73"/>
      <c r="H40" s="73"/>
      <c r="I40" s="73"/>
      <c r="J40" s="73"/>
      <c r="K40" s="73"/>
      <c r="L40" s="73"/>
      <c r="M40" s="73"/>
      <c r="N40" s="73"/>
      <c r="O40" s="73"/>
      <c r="P40" s="73"/>
      <c r="Q40" s="73"/>
      <c r="R40" s="73"/>
      <c r="S40" s="73"/>
    </row>
    <row r="41" spans="1:19" ht="13.5" thickBot="1" x14ac:dyDescent="0.25">
      <c r="A41" s="236"/>
      <c r="B41" s="236"/>
      <c r="C41" s="236"/>
      <c r="D41" s="236"/>
      <c r="E41" s="236"/>
      <c r="F41" s="236"/>
      <c r="G41" s="73"/>
      <c r="H41" s="73"/>
      <c r="I41" s="73"/>
      <c r="J41" s="73"/>
      <c r="K41" s="73"/>
      <c r="L41" s="73"/>
      <c r="M41" s="73"/>
      <c r="N41" s="73"/>
      <c r="O41" s="73"/>
      <c r="P41" s="73"/>
      <c r="Q41" s="73"/>
      <c r="R41" s="73"/>
      <c r="S41" s="73"/>
    </row>
    <row r="42" spans="1:19" ht="77.25" customHeight="1" thickBot="1" x14ac:dyDescent="0.25">
      <c r="A42" s="236"/>
      <c r="B42" s="236"/>
      <c r="C42" s="236"/>
      <c r="D42" s="236"/>
      <c r="E42" s="236"/>
      <c r="F42" s="236"/>
      <c r="G42" s="73"/>
      <c r="H42" s="73"/>
      <c r="I42" s="73"/>
      <c r="J42" s="73"/>
      <c r="K42" s="73"/>
      <c r="L42" s="73"/>
      <c r="M42" s="73"/>
      <c r="N42" s="73"/>
      <c r="O42" s="73"/>
      <c r="P42" s="73"/>
      <c r="Q42" s="73"/>
      <c r="R42" s="73"/>
      <c r="S42" s="73"/>
    </row>
    <row r="43" spans="1:19" ht="174.75" customHeight="1" thickBot="1" x14ac:dyDescent="0.25">
      <c r="A43" s="236"/>
      <c r="B43" s="236"/>
      <c r="C43" s="236"/>
      <c r="D43" s="236"/>
      <c r="E43" s="236"/>
      <c r="F43" s="236"/>
      <c r="G43" s="73"/>
      <c r="H43" s="73"/>
      <c r="I43" s="73"/>
      <c r="J43" s="73"/>
      <c r="K43" s="73"/>
      <c r="L43" s="73"/>
      <c r="M43" s="73"/>
      <c r="N43" s="73"/>
      <c r="O43" s="73"/>
      <c r="P43" s="73"/>
      <c r="Q43" s="73"/>
      <c r="R43" s="73"/>
      <c r="S43" s="73"/>
    </row>
    <row r="44" spans="1:19" x14ac:dyDescent="0.2">
      <c r="A44" s="236"/>
      <c r="B44" s="236"/>
      <c r="C44" s="236"/>
      <c r="D44" s="236"/>
      <c r="E44" s="236"/>
      <c r="F44" s="236"/>
      <c r="G44" s="73"/>
      <c r="H44" s="73"/>
      <c r="I44" s="73"/>
      <c r="J44" s="73"/>
      <c r="K44" s="73"/>
      <c r="L44" s="73"/>
      <c r="M44" s="73"/>
      <c r="N44" s="73"/>
      <c r="O44" s="73"/>
      <c r="P44" s="73"/>
      <c r="Q44" s="73"/>
      <c r="R44" s="73"/>
      <c r="S44" s="73"/>
    </row>
    <row r="45" spans="1:19" ht="13.5" thickBot="1" x14ac:dyDescent="0.25">
      <c r="A45" s="236"/>
      <c r="B45" s="236"/>
      <c r="C45" s="236"/>
      <c r="D45" s="236"/>
      <c r="E45" s="236"/>
      <c r="F45" s="236"/>
      <c r="G45" s="73"/>
      <c r="H45" s="73"/>
      <c r="I45" s="73"/>
      <c r="J45" s="73"/>
      <c r="K45" s="73"/>
      <c r="L45" s="73"/>
      <c r="M45" s="73"/>
      <c r="N45" s="73"/>
      <c r="O45" s="73"/>
      <c r="P45" s="73"/>
      <c r="Q45" s="73"/>
      <c r="R45" s="73"/>
      <c r="S45" s="73"/>
    </row>
    <row r="46" spans="1:19" x14ac:dyDescent="0.2">
      <c r="A46" s="236"/>
      <c r="B46" s="236"/>
      <c r="C46" s="236"/>
      <c r="D46" s="236"/>
      <c r="E46" s="236"/>
      <c r="F46" s="236"/>
      <c r="G46" s="73"/>
      <c r="H46" s="73"/>
      <c r="I46" s="73"/>
      <c r="J46" s="73"/>
      <c r="K46" s="73"/>
      <c r="L46" s="73"/>
      <c r="M46" s="73"/>
      <c r="N46" s="73"/>
      <c r="O46" s="73"/>
      <c r="P46" s="73"/>
      <c r="Q46" s="73"/>
      <c r="R46" s="73"/>
      <c r="S46" s="73"/>
    </row>
    <row r="47" spans="1:19" ht="13.5" thickBot="1" x14ac:dyDescent="0.25">
      <c r="A47" s="236"/>
      <c r="B47" s="236"/>
      <c r="C47" s="236"/>
      <c r="D47" s="236"/>
      <c r="E47" s="236"/>
      <c r="F47" s="236"/>
      <c r="G47" s="73"/>
      <c r="H47" s="73"/>
      <c r="I47" s="73"/>
      <c r="J47" s="73"/>
      <c r="K47" s="73"/>
      <c r="L47" s="73"/>
      <c r="M47" s="73"/>
      <c r="N47" s="73"/>
      <c r="O47" s="73"/>
      <c r="P47" s="73"/>
      <c r="Q47" s="73"/>
      <c r="R47" s="73"/>
      <c r="S47" s="73"/>
    </row>
    <row r="48" spans="1:19" x14ac:dyDescent="0.2">
      <c r="A48" s="236"/>
      <c r="B48" s="236"/>
      <c r="C48" s="236"/>
      <c r="D48" s="236"/>
      <c r="E48" s="236"/>
      <c r="F48" s="236"/>
      <c r="G48" s="73"/>
      <c r="H48" s="73"/>
      <c r="I48" s="73"/>
      <c r="J48" s="73"/>
      <c r="K48" s="73"/>
      <c r="L48" s="73"/>
      <c r="M48" s="73"/>
      <c r="N48" s="73"/>
      <c r="O48" s="73"/>
      <c r="P48" s="73"/>
      <c r="Q48" s="73"/>
      <c r="R48" s="73"/>
      <c r="S48" s="73"/>
    </row>
    <row r="49" spans="1:19" ht="13.5" thickBot="1" x14ac:dyDescent="0.25">
      <c r="A49" s="236"/>
      <c r="B49" s="236"/>
      <c r="C49" s="236"/>
      <c r="D49" s="236"/>
      <c r="E49" s="236"/>
      <c r="F49" s="236"/>
      <c r="G49" s="73"/>
      <c r="H49" s="73"/>
      <c r="I49" s="73"/>
      <c r="J49" s="73"/>
      <c r="K49" s="73"/>
      <c r="L49" s="73"/>
      <c r="M49" s="73"/>
      <c r="N49" s="73"/>
      <c r="O49" s="73"/>
      <c r="P49" s="73"/>
      <c r="Q49" s="73"/>
      <c r="R49" s="73"/>
      <c r="S49" s="73"/>
    </row>
    <row r="50" spans="1:19" x14ac:dyDescent="0.2">
      <c r="A50" s="236"/>
      <c r="B50" s="236"/>
      <c r="C50" s="236"/>
      <c r="D50" s="236"/>
      <c r="E50" s="236"/>
      <c r="F50" s="236"/>
      <c r="G50" s="73"/>
      <c r="H50" s="73"/>
      <c r="I50" s="73"/>
      <c r="J50" s="73"/>
      <c r="K50" s="73"/>
      <c r="L50" s="73"/>
      <c r="M50" s="73"/>
      <c r="N50" s="73"/>
      <c r="O50" s="73"/>
      <c r="P50" s="73"/>
      <c r="Q50" s="73"/>
      <c r="R50" s="73"/>
      <c r="S50" s="73"/>
    </row>
    <row r="51" spans="1:19" x14ac:dyDescent="0.2">
      <c r="A51" s="73"/>
      <c r="B51" s="73"/>
      <c r="C51" s="73"/>
      <c r="D51" s="73"/>
      <c r="E51" s="73"/>
      <c r="F51" s="73"/>
      <c r="G51" s="73"/>
      <c r="H51" s="73"/>
      <c r="I51" s="73"/>
      <c r="J51" s="73"/>
      <c r="K51" s="73"/>
      <c r="L51" s="73"/>
      <c r="M51" s="73"/>
      <c r="N51" s="73"/>
      <c r="O51" s="73"/>
      <c r="P51" s="73"/>
      <c r="Q51" s="73"/>
      <c r="R51" s="73"/>
      <c r="S51" s="73"/>
    </row>
    <row r="52" spans="1:19" x14ac:dyDescent="0.2">
      <c r="A52" s="73"/>
      <c r="B52" s="73"/>
      <c r="C52" s="73"/>
      <c r="D52" s="73"/>
      <c r="E52" s="73"/>
      <c r="F52" s="73"/>
      <c r="G52" s="73"/>
      <c r="H52" s="73"/>
      <c r="I52" s="73"/>
      <c r="J52" s="73"/>
      <c r="K52" s="73"/>
      <c r="L52" s="73"/>
      <c r="M52" s="73"/>
      <c r="N52" s="73"/>
      <c r="O52" s="73"/>
      <c r="P52" s="73"/>
      <c r="Q52" s="73"/>
      <c r="R52" s="73"/>
      <c r="S52" s="73"/>
    </row>
    <row r="53" spans="1:19" ht="15" x14ac:dyDescent="0.2">
      <c r="A53" s="73"/>
      <c r="B53" s="101"/>
      <c r="C53" s="101"/>
      <c r="D53" s="101"/>
      <c r="E53" s="101"/>
      <c r="F53" s="101"/>
      <c r="G53" s="73"/>
      <c r="H53" s="73"/>
      <c r="I53" s="73"/>
      <c r="J53" s="73"/>
      <c r="K53" s="73"/>
      <c r="L53" s="73"/>
      <c r="M53" s="73"/>
      <c r="N53" s="73"/>
      <c r="O53" s="73"/>
      <c r="P53" s="73"/>
      <c r="Q53" s="73"/>
      <c r="R53" s="73"/>
      <c r="S53" s="73"/>
    </row>
    <row r="54" spans="1:19" ht="15" x14ac:dyDescent="0.2">
      <c r="B54" s="72"/>
      <c r="C54" s="72"/>
      <c r="D54" s="72"/>
      <c r="E54" s="72"/>
      <c r="F54" s="72"/>
    </row>
  </sheetData>
  <mergeCells count="5">
    <mergeCell ref="A1:F2"/>
    <mergeCell ref="A5:A6"/>
    <mergeCell ref="C5:C6"/>
    <mergeCell ref="A37:F38"/>
    <mergeCell ref="A40:F50"/>
  </mergeCells>
  <conditionalFormatting sqref="A3">
    <cfRule type="expression" dxfId="6" priority="1">
      <formula>LEN(TRIM(#REF!))&gt;0</formula>
    </cfRule>
  </conditionalFormatting>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9E283-9A9B-419E-A3F4-0139E585EC55}">
  <dimension ref="A1:S54"/>
  <sheetViews>
    <sheetView zoomScaleNormal="100" workbookViewId="0">
      <selection activeCell="E5" sqref="E5"/>
    </sheetView>
  </sheetViews>
  <sheetFormatPr baseColWidth="10" defaultColWidth="9.140625" defaultRowHeight="12.75" x14ac:dyDescent="0.2"/>
  <cols>
    <col min="1" max="1" width="15.5703125" customWidth="1"/>
    <col min="2" max="2" width="10.85546875" bestFit="1" customWidth="1"/>
    <col min="3" max="3" width="19" customWidth="1"/>
    <col min="4" max="4" width="19.140625" customWidth="1"/>
    <col min="5" max="5" width="33.85546875" customWidth="1"/>
    <col min="6" max="6" width="18.7109375" customWidth="1"/>
    <col min="7" max="7" width="16.28515625" customWidth="1"/>
    <col min="8" max="1025" width="14.42578125" customWidth="1"/>
  </cols>
  <sheetData>
    <row r="1" spans="1:19" ht="15.75" customHeight="1" x14ac:dyDescent="0.2">
      <c r="A1" s="232" t="s">
        <v>151</v>
      </c>
      <c r="B1" s="232"/>
      <c r="C1" s="232"/>
      <c r="D1" s="232"/>
      <c r="E1" s="232"/>
      <c r="F1" s="232"/>
      <c r="G1" s="73"/>
      <c r="H1" s="73"/>
      <c r="I1" s="73"/>
      <c r="J1" s="73"/>
      <c r="K1" s="73"/>
      <c r="L1" s="73"/>
      <c r="M1" s="73"/>
      <c r="N1" s="73"/>
      <c r="O1" s="73"/>
      <c r="P1" s="73"/>
      <c r="Q1" s="73"/>
      <c r="R1" s="73"/>
      <c r="S1" s="73"/>
    </row>
    <row r="2" spans="1:19" ht="15.75" customHeight="1" x14ac:dyDescent="0.2">
      <c r="A2" s="232"/>
      <c r="B2" s="232"/>
      <c r="C2" s="232"/>
      <c r="D2" s="232"/>
      <c r="E2" s="232"/>
      <c r="F2" s="232"/>
      <c r="G2" s="73"/>
      <c r="H2" s="73"/>
      <c r="I2" s="73"/>
      <c r="J2" s="73"/>
      <c r="K2" s="73"/>
      <c r="L2" s="73"/>
      <c r="M2" s="73"/>
      <c r="N2" s="73"/>
      <c r="O2" s="73"/>
      <c r="P2" s="73"/>
      <c r="Q2" s="73"/>
      <c r="R2" s="73"/>
      <c r="S2" s="73"/>
    </row>
    <row r="3" spans="1:19" ht="15.75" customHeight="1" x14ac:dyDescent="0.25">
      <c r="A3" s="140" t="s">
        <v>1</v>
      </c>
      <c r="B3" s="73"/>
      <c r="C3" s="140" t="s">
        <v>2</v>
      </c>
      <c r="D3" s="75" t="s">
        <v>3</v>
      </c>
      <c r="E3" s="140" t="s">
        <v>4</v>
      </c>
      <c r="F3" s="140" t="s">
        <v>5</v>
      </c>
      <c r="G3" s="73"/>
      <c r="H3" s="73"/>
      <c r="I3" s="73"/>
      <c r="J3" s="73"/>
      <c r="K3" s="73"/>
      <c r="L3" s="73"/>
      <c r="M3" s="73"/>
      <c r="N3" s="73"/>
      <c r="O3" s="73"/>
      <c r="P3" s="73"/>
      <c r="Q3" s="73"/>
      <c r="R3" s="73"/>
      <c r="S3" s="73"/>
    </row>
    <row r="4" spans="1:19" ht="15.75" customHeight="1" x14ac:dyDescent="0.25">
      <c r="A4" s="141">
        <v>43927</v>
      </c>
      <c r="B4" s="133"/>
      <c r="C4" s="134">
        <v>43933</v>
      </c>
      <c r="D4" s="78" t="s">
        <v>6</v>
      </c>
      <c r="E4" s="79">
        <v>0</v>
      </c>
      <c r="F4" s="80">
        <f>'Uke14'!F4 + E4</f>
        <v>1.1770833333333333</v>
      </c>
      <c r="G4" s="73"/>
      <c r="H4" s="189"/>
      <c r="I4" s="142">
        <f>B11-B11</f>
        <v>0</v>
      </c>
      <c r="J4" s="102"/>
      <c r="K4" s="73"/>
      <c r="L4" s="73"/>
      <c r="M4" s="73"/>
      <c r="N4" s="73"/>
      <c r="O4" s="73"/>
      <c r="P4" s="73"/>
      <c r="Q4" s="73"/>
      <c r="R4" s="73"/>
      <c r="S4" s="73"/>
    </row>
    <row r="5" spans="1:19" ht="15" customHeight="1" x14ac:dyDescent="0.25">
      <c r="A5" s="239" t="s">
        <v>7</v>
      </c>
      <c r="B5" s="73"/>
      <c r="C5" s="239" t="s">
        <v>8</v>
      </c>
      <c r="D5" s="82" t="s">
        <v>9</v>
      </c>
      <c r="E5" s="79">
        <f>D13+D15</f>
        <v>0.10416666666666663</v>
      </c>
      <c r="F5" s="80">
        <f>'Uke14'!F5 + E5</f>
        <v>1.3368055555555571</v>
      </c>
      <c r="G5" s="73"/>
      <c r="H5" s="189"/>
      <c r="I5" s="73"/>
      <c r="J5" s="73"/>
      <c r="K5" s="73"/>
      <c r="L5" s="73"/>
      <c r="M5" s="73"/>
      <c r="N5" s="73"/>
      <c r="O5" s="73"/>
      <c r="P5" s="73"/>
      <c r="Q5" s="73"/>
      <c r="R5" s="73"/>
      <c r="S5" s="73"/>
    </row>
    <row r="6" spans="1:19" ht="15.75" customHeight="1" x14ac:dyDescent="0.25">
      <c r="A6" s="239"/>
      <c r="B6" s="73"/>
      <c r="C6" s="239"/>
      <c r="D6" s="83" t="s">
        <v>10</v>
      </c>
      <c r="E6" s="80">
        <f>D11+D12+D14</f>
        <v>4.8611111111110938E-2</v>
      </c>
      <c r="F6" s="80">
        <f>'Uke14'!F6 + E6</f>
        <v>1.4513888888888886</v>
      </c>
      <c r="G6" s="73"/>
      <c r="H6" s="189"/>
      <c r="I6" s="189"/>
      <c r="J6" s="102"/>
      <c r="K6" s="73"/>
      <c r="L6" s="73"/>
      <c r="M6" s="73"/>
      <c r="N6" s="73"/>
      <c r="O6" s="73"/>
      <c r="P6" s="73"/>
      <c r="Q6" s="73"/>
      <c r="R6" s="73"/>
      <c r="S6" s="73"/>
    </row>
    <row r="7" spans="1:19" ht="15.75" x14ac:dyDescent="0.25">
      <c r="A7" s="135">
        <f>SUM(E4:E7)</f>
        <v>0.17361111111111094</v>
      </c>
      <c r="B7" s="133"/>
      <c r="C7" s="135">
        <f>SUM(F4:F7)</f>
        <v>5.4375000000000018</v>
      </c>
      <c r="D7" s="85" t="s">
        <v>46</v>
      </c>
      <c r="E7" s="86">
        <f>D16</f>
        <v>2.083333333333337E-2</v>
      </c>
      <c r="F7" s="84">
        <f>'Uke14'!F7 + E7</f>
        <v>1.4722222222222232</v>
      </c>
      <c r="G7" s="73"/>
      <c r="H7" s="189"/>
      <c r="I7" s="189"/>
      <c r="J7" s="102"/>
      <c r="K7" s="73"/>
      <c r="L7" s="73"/>
      <c r="M7" s="73"/>
      <c r="N7" s="73"/>
      <c r="O7" s="73"/>
      <c r="P7" s="73"/>
      <c r="Q7" s="73"/>
      <c r="R7" s="73"/>
      <c r="S7" s="73"/>
    </row>
    <row r="8" spans="1:19" x14ac:dyDescent="0.2">
      <c r="A8" s="73"/>
      <c r="B8" s="73"/>
      <c r="C8" s="73"/>
      <c r="D8" s="73"/>
      <c r="E8" s="73"/>
      <c r="F8" s="73"/>
      <c r="G8" s="73"/>
      <c r="H8" s="73"/>
      <c r="I8" s="73"/>
      <c r="J8" s="73"/>
      <c r="K8" s="73"/>
      <c r="L8" s="73"/>
      <c r="M8" s="73"/>
      <c r="N8" s="73"/>
      <c r="O8" s="73"/>
      <c r="P8" s="73"/>
      <c r="Q8" s="73"/>
      <c r="R8" s="73"/>
      <c r="S8" s="73"/>
    </row>
    <row r="9" spans="1:19" x14ac:dyDescent="0.2">
      <c r="A9" s="73"/>
      <c r="B9" s="73"/>
      <c r="C9" s="73"/>
      <c r="D9" s="73"/>
      <c r="E9" s="73"/>
      <c r="F9" s="73"/>
      <c r="G9" s="73"/>
      <c r="H9" s="73"/>
      <c r="I9" s="73"/>
      <c r="J9" s="73"/>
      <c r="K9" s="73"/>
      <c r="L9" s="73"/>
      <c r="M9" s="73"/>
      <c r="N9" s="73"/>
      <c r="O9" s="73"/>
      <c r="P9" s="73"/>
      <c r="Q9" s="73"/>
      <c r="R9" s="73"/>
      <c r="S9" s="73"/>
    </row>
    <row r="10" spans="1:19" ht="15.75" x14ac:dyDescent="0.25">
      <c r="A10" s="140" t="s">
        <v>12</v>
      </c>
      <c r="B10" s="140" t="s">
        <v>57</v>
      </c>
      <c r="C10" s="140" t="s">
        <v>58</v>
      </c>
      <c r="D10" s="140" t="s">
        <v>59</v>
      </c>
      <c r="E10" s="140" t="s">
        <v>47</v>
      </c>
      <c r="F10" s="140" t="s">
        <v>39</v>
      </c>
      <c r="G10" s="73"/>
      <c r="H10" s="73"/>
      <c r="I10" s="73"/>
      <c r="J10" s="73"/>
      <c r="K10" s="73"/>
      <c r="L10" s="73"/>
      <c r="M10" s="73"/>
      <c r="N10" s="73"/>
      <c r="O10" s="73"/>
      <c r="P10" s="73"/>
      <c r="Q10" s="73"/>
      <c r="R10" s="73"/>
      <c r="S10" s="73"/>
    </row>
    <row r="11" spans="1:19" ht="15.75" x14ac:dyDescent="0.25">
      <c r="A11" s="145">
        <v>43927</v>
      </c>
      <c r="B11" s="146">
        <v>0.58680555555555558</v>
      </c>
      <c r="C11" s="146">
        <v>0.60416666666666663</v>
      </c>
      <c r="D11" s="146">
        <f t="shared" ref="D11" si="0">C11-B11</f>
        <v>1.7361111111111049E-2</v>
      </c>
      <c r="E11" s="164" t="s">
        <v>48</v>
      </c>
      <c r="F11" s="112"/>
      <c r="G11" s="73"/>
      <c r="H11" s="73"/>
      <c r="I11" s="73"/>
      <c r="J11" s="73"/>
      <c r="K11" s="73"/>
      <c r="L11" s="73"/>
      <c r="M11" s="73"/>
      <c r="N11" s="73"/>
      <c r="O11" s="73"/>
      <c r="P11" s="73"/>
      <c r="Q11" s="73"/>
      <c r="R11" s="73"/>
      <c r="S11" s="73"/>
    </row>
    <row r="12" spans="1:19" ht="15.75" x14ac:dyDescent="0.25">
      <c r="A12" s="145">
        <v>43929</v>
      </c>
      <c r="B12" s="146">
        <v>0.58333333333333337</v>
      </c>
      <c r="C12" s="146">
        <v>0.59722222222222221</v>
      </c>
      <c r="D12" s="146">
        <f t="shared" ref="D12:D13" si="1">C12-B12</f>
        <v>1.388888888888884E-2</v>
      </c>
      <c r="E12" s="164" t="s">
        <v>48</v>
      </c>
      <c r="F12" s="198"/>
      <c r="G12" s="73"/>
      <c r="H12" s="73"/>
      <c r="I12" s="73"/>
      <c r="J12" s="73"/>
      <c r="K12" s="73"/>
      <c r="L12" s="73"/>
      <c r="M12" s="73"/>
      <c r="N12" s="73"/>
      <c r="O12" s="73"/>
      <c r="P12" s="73"/>
      <c r="Q12" s="73"/>
      <c r="R12" s="73"/>
      <c r="S12" s="73"/>
    </row>
    <row r="13" spans="1:19" ht="47.25" x14ac:dyDescent="0.25">
      <c r="A13" s="193">
        <v>43930</v>
      </c>
      <c r="B13" s="194">
        <v>0.875</v>
      </c>
      <c r="C13" s="194">
        <v>0.94097222222222221</v>
      </c>
      <c r="D13" s="194">
        <f t="shared" si="1"/>
        <v>6.597222222222221E-2</v>
      </c>
      <c r="E13" s="202" t="s">
        <v>152</v>
      </c>
      <c r="F13" s="203" t="s">
        <v>153</v>
      </c>
      <c r="G13" s="73"/>
      <c r="H13" s="73"/>
      <c r="I13" s="73"/>
      <c r="J13" s="73"/>
      <c r="K13" s="73"/>
      <c r="L13" s="73"/>
      <c r="M13" s="73"/>
      <c r="N13" s="73"/>
      <c r="O13" s="73"/>
      <c r="P13" s="73"/>
      <c r="Q13" s="73"/>
      <c r="R13" s="73"/>
      <c r="S13" s="73"/>
    </row>
    <row r="14" spans="1:19" ht="15.75" x14ac:dyDescent="0.25">
      <c r="A14" s="145">
        <v>43932</v>
      </c>
      <c r="B14" s="146">
        <v>0.58680555555555558</v>
      </c>
      <c r="C14" s="146">
        <v>0.60416666666666663</v>
      </c>
      <c r="D14" s="146">
        <f>C14-B14</f>
        <v>1.7361111111111049E-2</v>
      </c>
      <c r="E14" s="164" t="s">
        <v>48</v>
      </c>
      <c r="F14" s="199"/>
      <c r="G14" s="73"/>
      <c r="H14" s="73"/>
      <c r="I14" s="73"/>
      <c r="J14" s="73"/>
      <c r="K14" s="73"/>
      <c r="L14" s="73"/>
      <c r="M14" s="73"/>
      <c r="N14" s="73"/>
      <c r="O14" s="73"/>
      <c r="P14" s="73"/>
      <c r="Q14" s="73"/>
      <c r="R14" s="73"/>
      <c r="S14" s="73"/>
    </row>
    <row r="15" spans="1:19" ht="15.75" x14ac:dyDescent="0.25">
      <c r="A15" s="193">
        <v>43933</v>
      </c>
      <c r="B15" s="194">
        <v>0.4375</v>
      </c>
      <c r="C15" s="194">
        <v>0.47569444444444442</v>
      </c>
      <c r="D15" s="194">
        <f t="shared" ref="D15:D16" si="2">C15-B15</f>
        <v>3.819444444444442E-2</v>
      </c>
      <c r="E15" s="202" t="s">
        <v>154</v>
      </c>
      <c r="F15" s="203" t="s">
        <v>153</v>
      </c>
      <c r="G15" s="73"/>
      <c r="H15" s="73"/>
      <c r="I15" s="73"/>
      <c r="J15" s="73"/>
      <c r="K15" s="73"/>
      <c r="L15" s="73"/>
      <c r="M15" s="73"/>
      <c r="N15" s="73"/>
      <c r="O15" s="73"/>
      <c r="P15" s="73"/>
      <c r="Q15" s="73"/>
      <c r="R15" s="73"/>
      <c r="S15" s="73"/>
    </row>
    <row r="16" spans="1:19" ht="31.5" x14ac:dyDescent="0.25">
      <c r="A16" s="195">
        <v>43933</v>
      </c>
      <c r="B16" s="196">
        <v>0.72916666666666663</v>
      </c>
      <c r="C16" s="196">
        <v>0.75</v>
      </c>
      <c r="D16" s="196">
        <f t="shared" si="2"/>
        <v>2.083333333333337E-2</v>
      </c>
      <c r="E16" s="197" t="s">
        <v>149</v>
      </c>
      <c r="F16" s="205"/>
      <c r="G16" s="73"/>
      <c r="H16" s="73"/>
      <c r="I16" s="73"/>
      <c r="J16" s="73"/>
      <c r="K16" s="73"/>
      <c r="L16" s="73"/>
      <c r="M16" s="73"/>
      <c r="N16" s="73"/>
      <c r="O16" s="73"/>
      <c r="P16" s="73"/>
      <c r="Q16" s="73"/>
      <c r="R16" s="73"/>
      <c r="S16" s="73"/>
    </row>
    <row r="17" spans="1:19" ht="15.75" x14ac:dyDescent="0.25">
      <c r="A17" s="187"/>
      <c r="B17" s="188"/>
      <c r="C17" s="188"/>
      <c r="D17" s="188"/>
      <c r="E17" s="186"/>
      <c r="F17" s="204"/>
      <c r="G17" s="81"/>
      <c r="H17" s="73"/>
      <c r="I17" s="73"/>
      <c r="J17" s="73"/>
      <c r="K17" s="73"/>
      <c r="L17" s="73"/>
      <c r="M17" s="73"/>
      <c r="N17" s="73"/>
      <c r="O17" s="73"/>
      <c r="P17" s="73"/>
      <c r="Q17" s="73"/>
      <c r="R17" s="73"/>
      <c r="S17" s="73"/>
    </row>
    <row r="18" spans="1:19" ht="15.75" x14ac:dyDescent="0.25">
      <c r="A18" s="187"/>
      <c r="B18" s="188"/>
      <c r="C18" s="188"/>
      <c r="D18" s="188"/>
      <c r="E18" s="186"/>
      <c r="F18" s="204"/>
      <c r="G18" s="81"/>
      <c r="H18" s="73"/>
      <c r="I18" s="73"/>
      <c r="J18" s="73"/>
      <c r="K18" s="73"/>
      <c r="L18" s="73"/>
      <c r="M18" s="73"/>
      <c r="N18" s="73"/>
      <c r="O18" s="73"/>
      <c r="P18" s="73"/>
      <c r="Q18" s="73"/>
      <c r="R18" s="73"/>
      <c r="S18" s="73"/>
    </row>
    <row r="19" spans="1:19" x14ac:dyDescent="0.2">
      <c r="A19" s="238" t="s">
        <v>23</v>
      </c>
      <c r="B19" s="238"/>
      <c r="C19" s="238"/>
      <c r="D19" s="238"/>
      <c r="E19" s="238"/>
      <c r="F19" s="238"/>
      <c r="G19" s="81"/>
      <c r="H19" s="73"/>
      <c r="I19" s="73"/>
      <c r="J19" s="73"/>
      <c r="K19" s="73"/>
      <c r="L19" s="73"/>
      <c r="M19" s="73"/>
      <c r="N19" s="73"/>
      <c r="O19" s="73"/>
      <c r="P19" s="73"/>
      <c r="Q19" s="73"/>
      <c r="R19" s="73"/>
      <c r="S19" s="73"/>
    </row>
    <row r="20" spans="1:19" x14ac:dyDescent="0.2">
      <c r="A20" s="240"/>
      <c r="B20" s="240"/>
      <c r="C20" s="240"/>
      <c r="D20" s="240"/>
      <c r="E20" s="240"/>
      <c r="F20" s="240"/>
      <c r="G20" s="81"/>
      <c r="H20" s="73"/>
      <c r="I20" s="73"/>
      <c r="J20" s="73"/>
      <c r="K20" s="73"/>
      <c r="L20" s="73"/>
      <c r="M20" s="73"/>
      <c r="N20" s="73"/>
      <c r="O20" s="73"/>
      <c r="P20" s="73"/>
      <c r="Q20" s="73"/>
      <c r="R20" s="73"/>
      <c r="S20" s="73"/>
    </row>
    <row r="21" spans="1:19" ht="15.75" x14ac:dyDescent="0.25">
      <c r="A21" s="187"/>
      <c r="B21" s="188"/>
      <c r="C21" s="188"/>
      <c r="D21" s="188"/>
      <c r="E21" s="186"/>
      <c r="F21" s="204"/>
      <c r="G21" s="81"/>
      <c r="H21" s="73"/>
      <c r="I21" s="73"/>
      <c r="J21" s="73"/>
      <c r="K21" s="73"/>
      <c r="L21" s="73"/>
      <c r="M21" s="73"/>
      <c r="N21" s="73"/>
      <c r="O21" s="73"/>
      <c r="P21" s="73"/>
      <c r="Q21" s="73"/>
      <c r="R21" s="73"/>
      <c r="S21" s="73"/>
    </row>
    <row r="22" spans="1:19" ht="68.25" customHeight="1" x14ac:dyDescent="0.2">
      <c r="A22" s="241" t="s">
        <v>155</v>
      </c>
      <c r="B22" s="242"/>
      <c r="C22" s="242"/>
      <c r="D22" s="242"/>
      <c r="E22" s="242"/>
      <c r="F22" s="243"/>
      <c r="G22" s="81"/>
      <c r="H22" s="73"/>
      <c r="I22" s="73"/>
      <c r="J22" s="73"/>
      <c r="K22" s="73"/>
      <c r="L22" s="73"/>
      <c r="M22" s="73"/>
      <c r="N22" s="73"/>
      <c r="O22" s="73"/>
      <c r="P22" s="73"/>
      <c r="Q22" s="73"/>
      <c r="R22" s="73"/>
      <c r="S22" s="73"/>
    </row>
    <row r="23" spans="1:19" ht="142.5" customHeight="1" x14ac:dyDescent="0.2">
      <c r="A23" s="244"/>
      <c r="B23" s="245"/>
      <c r="C23" s="245"/>
      <c r="D23" s="245"/>
      <c r="E23" s="245"/>
      <c r="F23" s="246"/>
      <c r="G23" s="81"/>
      <c r="H23" s="73"/>
      <c r="I23" s="73"/>
      <c r="J23" s="73"/>
      <c r="K23" s="73"/>
      <c r="L23" s="73"/>
      <c r="M23" s="73"/>
      <c r="N23" s="73"/>
      <c r="O23" s="73"/>
      <c r="P23" s="73"/>
      <c r="Q23" s="73"/>
      <c r="R23" s="73"/>
      <c r="S23" s="73"/>
    </row>
    <row r="24" spans="1:19" ht="15.75" customHeight="1" x14ac:dyDescent="0.2">
      <c r="A24" s="244"/>
      <c r="B24" s="245"/>
      <c r="C24" s="245"/>
      <c r="D24" s="245"/>
      <c r="E24" s="245"/>
      <c r="F24" s="246"/>
      <c r="G24" s="73"/>
      <c r="H24" s="73"/>
      <c r="I24" s="73"/>
      <c r="J24" s="73"/>
      <c r="K24" s="73"/>
      <c r="L24" s="73"/>
      <c r="M24" s="73"/>
      <c r="N24" s="73"/>
      <c r="O24" s="73"/>
      <c r="P24" s="73"/>
      <c r="Q24" s="73"/>
      <c r="R24" s="73"/>
      <c r="S24" s="73"/>
    </row>
    <row r="25" spans="1:19" ht="15.75" customHeight="1" x14ac:dyDescent="0.2">
      <c r="A25" s="244"/>
      <c r="B25" s="245"/>
      <c r="C25" s="245"/>
      <c r="D25" s="245"/>
      <c r="E25" s="245"/>
      <c r="F25" s="246"/>
      <c r="G25" s="73"/>
      <c r="H25" s="73"/>
      <c r="I25" s="73"/>
      <c r="J25" s="73"/>
      <c r="K25" s="73"/>
      <c r="L25" s="73"/>
      <c r="M25" s="73"/>
      <c r="N25" s="73"/>
      <c r="O25" s="73"/>
      <c r="P25" s="73"/>
      <c r="Q25" s="73"/>
      <c r="R25" s="73"/>
      <c r="S25" s="73"/>
    </row>
    <row r="26" spans="1:19" ht="15.75" customHeight="1" x14ac:dyDescent="0.2">
      <c r="A26" s="244"/>
      <c r="B26" s="245"/>
      <c r="C26" s="245"/>
      <c r="D26" s="245"/>
      <c r="E26" s="245"/>
      <c r="F26" s="246"/>
      <c r="G26" s="73"/>
      <c r="H26" s="73"/>
      <c r="I26" s="73"/>
      <c r="J26" s="73"/>
      <c r="K26" s="73"/>
      <c r="L26" s="73"/>
      <c r="M26" s="73"/>
      <c r="N26" s="73"/>
      <c r="O26" s="73"/>
      <c r="P26" s="73"/>
      <c r="Q26" s="73"/>
      <c r="R26" s="73"/>
      <c r="S26" s="73"/>
    </row>
    <row r="27" spans="1:19" ht="15.75" customHeight="1" x14ac:dyDescent="0.2">
      <c r="A27" s="244"/>
      <c r="B27" s="245"/>
      <c r="C27" s="245"/>
      <c r="D27" s="245"/>
      <c r="E27" s="245"/>
      <c r="F27" s="246"/>
      <c r="G27" s="73"/>
      <c r="H27" s="73"/>
      <c r="I27" s="73"/>
      <c r="J27" s="73"/>
      <c r="K27" s="73"/>
      <c r="L27" s="73"/>
      <c r="M27" s="73"/>
      <c r="N27" s="73"/>
      <c r="O27" s="73"/>
      <c r="P27" s="73"/>
      <c r="Q27" s="73"/>
      <c r="R27" s="73"/>
      <c r="S27" s="73"/>
    </row>
    <row r="28" spans="1:19" ht="15.75" customHeight="1" x14ac:dyDescent="0.2">
      <c r="A28" s="244"/>
      <c r="B28" s="245"/>
      <c r="C28" s="245"/>
      <c r="D28" s="245"/>
      <c r="E28" s="245"/>
      <c r="F28" s="246"/>
      <c r="G28" s="73"/>
      <c r="H28" s="73"/>
      <c r="I28" s="73"/>
      <c r="J28" s="73"/>
      <c r="K28" s="73"/>
      <c r="L28" s="73"/>
      <c r="M28" s="73"/>
      <c r="N28" s="73"/>
      <c r="O28" s="73"/>
      <c r="P28" s="73"/>
      <c r="Q28" s="73"/>
      <c r="R28" s="73"/>
      <c r="S28" s="73"/>
    </row>
    <row r="29" spans="1:19" ht="15.75" customHeight="1" x14ac:dyDescent="0.2">
      <c r="A29" s="247"/>
      <c r="B29" s="248"/>
      <c r="C29" s="248"/>
      <c r="D29" s="248"/>
      <c r="E29" s="248"/>
      <c r="F29" s="249"/>
      <c r="G29" s="73"/>
      <c r="H29" s="73"/>
      <c r="I29" s="73"/>
      <c r="J29" s="73"/>
      <c r="K29" s="73"/>
      <c r="L29" s="73"/>
      <c r="M29" s="73"/>
      <c r="N29" s="73"/>
      <c r="O29" s="73"/>
      <c r="P29" s="73"/>
      <c r="Q29" s="73"/>
      <c r="R29" s="73"/>
      <c r="S29" s="73"/>
    </row>
    <row r="30" spans="1:19" ht="15.75" x14ac:dyDescent="0.25">
      <c r="A30" s="187"/>
      <c r="B30" s="188"/>
      <c r="C30" s="188"/>
      <c r="D30" s="188"/>
      <c r="E30" s="186"/>
      <c r="F30" s="130"/>
      <c r="G30" s="73"/>
      <c r="H30" s="73"/>
      <c r="I30" s="73"/>
      <c r="J30" s="73"/>
      <c r="K30" s="73"/>
      <c r="L30" s="73"/>
      <c r="M30" s="73"/>
      <c r="N30" s="73"/>
      <c r="O30" s="73"/>
      <c r="P30" s="73"/>
      <c r="Q30" s="73"/>
      <c r="R30" s="73"/>
      <c r="S30" s="73"/>
    </row>
    <row r="31" spans="1:19" ht="15.75" x14ac:dyDescent="0.25">
      <c r="A31" s="187"/>
      <c r="B31" s="188"/>
      <c r="C31" s="188"/>
      <c r="D31" s="188"/>
      <c r="E31" s="186"/>
      <c r="F31" s="130"/>
      <c r="G31" s="73"/>
      <c r="H31" s="73"/>
      <c r="I31" s="73"/>
      <c r="J31" s="73"/>
      <c r="K31" s="73"/>
      <c r="L31" s="73"/>
      <c r="M31" s="73"/>
      <c r="N31" s="73"/>
      <c r="O31" s="73"/>
      <c r="P31" s="73"/>
      <c r="Q31" s="73"/>
      <c r="R31" s="73"/>
      <c r="S31" s="73"/>
    </row>
    <row r="32" spans="1:19" ht="15.75" x14ac:dyDescent="0.25">
      <c r="A32" s="187"/>
      <c r="B32" s="188"/>
      <c r="C32" s="188"/>
      <c r="D32" s="188"/>
      <c r="E32" s="186"/>
      <c r="F32" s="130"/>
      <c r="G32" s="73"/>
      <c r="H32" s="73"/>
      <c r="I32" s="73"/>
      <c r="J32" s="73"/>
      <c r="K32" s="73"/>
      <c r="L32" s="73"/>
      <c r="M32" s="73"/>
      <c r="N32" s="73"/>
      <c r="O32" s="73"/>
      <c r="P32" s="73"/>
      <c r="Q32" s="73"/>
      <c r="R32" s="73"/>
      <c r="S32" s="73"/>
    </row>
    <row r="33" spans="1:19" x14ac:dyDescent="0.2">
      <c r="A33" s="73"/>
      <c r="B33" s="73"/>
      <c r="C33" s="73"/>
      <c r="D33" s="73"/>
      <c r="E33" s="73"/>
      <c r="F33" s="73"/>
      <c r="G33" s="73"/>
      <c r="H33" s="73"/>
      <c r="I33" s="73"/>
      <c r="J33" s="73"/>
      <c r="K33" s="73"/>
      <c r="L33" s="73"/>
      <c r="M33" s="73"/>
      <c r="N33" s="73"/>
      <c r="O33" s="73"/>
      <c r="P33" s="73"/>
      <c r="Q33" s="73"/>
      <c r="R33" s="73"/>
      <c r="S33" s="73"/>
    </row>
    <row r="34" spans="1:19" x14ac:dyDescent="0.2">
      <c r="A34" s="206"/>
      <c r="B34" s="206"/>
      <c r="C34" s="206"/>
      <c r="D34" s="206"/>
      <c r="E34" s="206"/>
      <c r="F34" s="206"/>
      <c r="G34" s="206"/>
      <c r="H34" s="73"/>
      <c r="I34" s="73"/>
      <c r="J34" s="73"/>
      <c r="K34" s="73"/>
      <c r="L34" s="73"/>
      <c r="M34" s="73"/>
      <c r="N34" s="73"/>
      <c r="O34" s="73"/>
      <c r="P34" s="73"/>
      <c r="Q34" s="73"/>
      <c r="R34" s="73"/>
      <c r="S34" s="73"/>
    </row>
    <row r="35" spans="1:19" x14ac:dyDescent="0.2">
      <c r="A35" s="206"/>
      <c r="B35" s="206"/>
      <c r="C35" s="206"/>
      <c r="D35" s="206"/>
      <c r="E35" s="206"/>
      <c r="F35" s="206"/>
      <c r="G35" s="206"/>
      <c r="H35" s="73"/>
      <c r="I35" s="73"/>
      <c r="J35" s="73"/>
      <c r="K35" s="73"/>
      <c r="L35" s="73"/>
      <c r="M35" s="73"/>
      <c r="N35" s="73"/>
      <c r="O35" s="73"/>
      <c r="P35" s="73"/>
      <c r="Q35" s="73"/>
      <c r="R35" s="73"/>
      <c r="S35" s="73"/>
    </row>
    <row r="36" spans="1:19" x14ac:dyDescent="0.2">
      <c r="A36" s="206"/>
      <c r="B36" s="206"/>
      <c r="C36" s="206"/>
      <c r="D36" s="206"/>
      <c r="E36" s="206"/>
      <c r="F36" s="206"/>
      <c r="G36" s="206"/>
      <c r="H36" s="73"/>
      <c r="I36" s="73"/>
      <c r="J36" s="73"/>
      <c r="K36" s="73"/>
      <c r="L36" s="73"/>
      <c r="M36" s="73"/>
      <c r="N36" s="73"/>
      <c r="O36" s="73"/>
      <c r="P36" s="73"/>
      <c r="Q36" s="73"/>
      <c r="R36" s="73"/>
      <c r="S36" s="73"/>
    </row>
    <row r="37" spans="1:19" x14ac:dyDescent="0.2">
      <c r="A37" s="206"/>
      <c r="B37" s="206"/>
      <c r="C37" s="206"/>
      <c r="D37" s="206"/>
      <c r="E37" s="206"/>
      <c r="F37" s="206"/>
      <c r="G37" s="206"/>
      <c r="H37" s="73"/>
      <c r="I37" s="73"/>
      <c r="J37" s="73"/>
      <c r="K37" s="73"/>
      <c r="L37" s="73"/>
      <c r="M37" s="73"/>
      <c r="N37" s="73"/>
      <c r="O37" s="73"/>
      <c r="P37" s="73"/>
      <c r="Q37" s="73"/>
      <c r="R37" s="73"/>
      <c r="S37" s="73"/>
    </row>
    <row r="38" spans="1:19" x14ac:dyDescent="0.2">
      <c r="A38" s="206"/>
      <c r="B38" s="206"/>
      <c r="C38" s="206"/>
      <c r="D38" s="206"/>
      <c r="E38" s="206"/>
      <c r="F38" s="206"/>
      <c r="G38" s="206"/>
      <c r="H38" s="73"/>
      <c r="I38" s="73"/>
      <c r="J38" s="73"/>
      <c r="K38" s="73"/>
      <c r="L38" s="73"/>
      <c r="M38" s="73"/>
      <c r="N38" s="73"/>
      <c r="O38" s="73"/>
      <c r="P38" s="73"/>
      <c r="Q38" s="73"/>
      <c r="R38" s="73"/>
      <c r="S38" s="73"/>
    </row>
    <row r="39" spans="1:19" x14ac:dyDescent="0.2">
      <c r="A39" s="206"/>
      <c r="B39" s="206"/>
      <c r="C39" s="206"/>
      <c r="D39" s="206"/>
      <c r="E39" s="206"/>
      <c r="F39" s="206"/>
      <c r="G39" s="206"/>
      <c r="H39" s="73"/>
      <c r="I39" s="73"/>
      <c r="J39" s="73"/>
      <c r="K39" s="73"/>
      <c r="L39" s="73"/>
      <c r="M39" s="73"/>
      <c r="N39" s="73"/>
      <c r="O39" s="73"/>
      <c r="P39" s="73"/>
      <c r="Q39" s="73"/>
      <c r="R39" s="73"/>
      <c r="S39" s="73"/>
    </row>
    <row r="40" spans="1:19" ht="15" x14ac:dyDescent="0.2">
      <c r="A40" s="144"/>
      <c r="B40" s="144"/>
      <c r="C40" s="144"/>
      <c r="D40" s="144"/>
      <c r="E40" s="144"/>
      <c r="F40" s="144"/>
      <c r="G40" s="206"/>
      <c r="H40" s="73"/>
      <c r="I40" s="73"/>
      <c r="J40" s="73"/>
      <c r="K40" s="73"/>
      <c r="L40" s="73"/>
      <c r="M40" s="73"/>
      <c r="N40" s="73"/>
      <c r="O40" s="73"/>
      <c r="P40" s="73"/>
      <c r="Q40" s="73"/>
      <c r="R40" s="73"/>
      <c r="S40" s="73"/>
    </row>
    <row r="41" spans="1:19" ht="12.75" customHeight="1" x14ac:dyDescent="0.2">
      <c r="A41" s="144"/>
      <c r="B41" s="144"/>
      <c r="C41" s="144"/>
      <c r="D41" s="144"/>
      <c r="E41" s="144"/>
      <c r="F41" s="144"/>
      <c r="G41" s="206"/>
      <c r="H41" s="73"/>
      <c r="I41" s="73"/>
      <c r="J41" s="73"/>
      <c r="K41" s="73"/>
      <c r="L41" s="73"/>
      <c r="M41" s="73"/>
      <c r="N41" s="73"/>
      <c r="O41" s="73"/>
      <c r="P41" s="73"/>
      <c r="Q41" s="73"/>
      <c r="R41" s="73"/>
      <c r="S41" s="73"/>
    </row>
    <row r="42" spans="1:19" ht="15" x14ac:dyDescent="0.2">
      <c r="A42" s="144"/>
      <c r="B42" s="144"/>
      <c r="C42" s="144"/>
      <c r="D42" s="144"/>
      <c r="E42" s="144"/>
      <c r="F42" s="144"/>
      <c r="G42" s="206"/>
      <c r="H42" s="73"/>
      <c r="I42" s="73"/>
      <c r="J42" s="73"/>
      <c r="K42" s="73"/>
      <c r="L42" s="73"/>
      <c r="M42" s="73"/>
      <c r="N42" s="73"/>
      <c r="O42" s="73"/>
      <c r="P42" s="73"/>
      <c r="Q42" s="73"/>
      <c r="R42" s="73"/>
      <c r="S42" s="73"/>
    </row>
    <row r="43" spans="1:19" ht="15" x14ac:dyDescent="0.2">
      <c r="A43" s="144"/>
      <c r="B43" s="144"/>
      <c r="C43" s="144"/>
      <c r="D43" s="144"/>
      <c r="E43" s="144"/>
      <c r="F43" s="144"/>
      <c r="G43" s="206"/>
      <c r="H43" s="73"/>
      <c r="I43" s="73"/>
      <c r="J43" s="73"/>
      <c r="K43" s="73"/>
      <c r="L43" s="73"/>
      <c r="M43" s="73"/>
      <c r="N43" s="73"/>
      <c r="O43" s="73"/>
      <c r="P43" s="73"/>
      <c r="Q43" s="73"/>
      <c r="R43" s="73"/>
      <c r="S43" s="73"/>
    </row>
    <row r="44" spans="1:19" ht="12.75" customHeight="1" x14ac:dyDescent="0.2">
      <c r="A44" s="144"/>
      <c r="B44" s="144"/>
      <c r="C44" s="144"/>
      <c r="D44" s="144"/>
      <c r="E44" s="144"/>
      <c r="F44" s="144"/>
      <c r="G44" s="206"/>
      <c r="H44" s="73"/>
      <c r="I44" s="73"/>
      <c r="J44" s="73"/>
      <c r="K44" s="73"/>
      <c r="L44" s="73"/>
      <c r="M44" s="73"/>
      <c r="N44" s="73"/>
      <c r="O44" s="73"/>
      <c r="P44" s="73"/>
      <c r="Q44" s="73"/>
      <c r="R44" s="73"/>
      <c r="S44" s="73"/>
    </row>
    <row r="45" spans="1:19" ht="12.75" customHeight="1" x14ac:dyDescent="0.2">
      <c r="A45" s="144"/>
      <c r="B45" s="144"/>
      <c r="C45" s="144"/>
      <c r="D45" s="144"/>
      <c r="E45" s="144"/>
      <c r="F45" s="144"/>
      <c r="G45" s="206"/>
      <c r="H45" s="73"/>
      <c r="I45" s="73"/>
      <c r="J45" s="73"/>
      <c r="K45" s="73"/>
      <c r="L45" s="73"/>
      <c r="M45" s="73"/>
      <c r="N45" s="73"/>
      <c r="O45" s="73"/>
      <c r="P45" s="73"/>
      <c r="Q45" s="73"/>
      <c r="R45" s="73"/>
      <c r="S45" s="73"/>
    </row>
    <row r="46" spans="1:19" ht="12.75" customHeight="1" x14ac:dyDescent="0.2">
      <c r="A46" s="144"/>
      <c r="B46" s="144"/>
      <c r="C46" s="144"/>
      <c r="D46" s="144"/>
      <c r="E46" s="144"/>
      <c r="F46" s="144"/>
      <c r="G46" s="206"/>
      <c r="H46" s="73"/>
      <c r="I46" s="73"/>
      <c r="J46" s="73"/>
      <c r="K46" s="73"/>
      <c r="L46" s="73"/>
      <c r="M46" s="73"/>
      <c r="N46" s="73"/>
      <c r="O46" s="73"/>
      <c r="P46" s="73"/>
      <c r="Q46" s="73"/>
      <c r="R46" s="73"/>
      <c r="S46" s="73"/>
    </row>
    <row r="47" spans="1:19" ht="12.75" customHeight="1" x14ac:dyDescent="0.2">
      <c r="A47" s="144"/>
      <c r="B47" s="144"/>
      <c r="C47" s="144"/>
      <c r="D47" s="144"/>
      <c r="E47" s="144"/>
      <c r="F47" s="144"/>
      <c r="G47" s="206"/>
      <c r="H47" s="73"/>
      <c r="I47" s="73"/>
      <c r="J47" s="73"/>
      <c r="K47" s="73"/>
      <c r="L47" s="73"/>
      <c r="M47" s="73"/>
      <c r="N47" s="73"/>
      <c r="O47" s="73"/>
      <c r="P47" s="73"/>
      <c r="Q47" s="73"/>
      <c r="R47" s="73"/>
      <c r="S47" s="73"/>
    </row>
    <row r="48" spans="1:19" ht="12.75" customHeight="1" x14ac:dyDescent="0.2">
      <c r="A48" s="144"/>
      <c r="B48" s="144"/>
      <c r="C48" s="144"/>
      <c r="D48" s="144"/>
      <c r="E48" s="144"/>
      <c r="F48" s="144"/>
      <c r="G48" s="206"/>
      <c r="H48" s="73"/>
      <c r="I48" s="73"/>
      <c r="J48" s="73"/>
      <c r="K48" s="73"/>
      <c r="L48" s="73"/>
      <c r="M48" s="73"/>
      <c r="N48" s="73"/>
      <c r="O48" s="73"/>
      <c r="P48" s="73"/>
      <c r="Q48" s="73"/>
      <c r="R48" s="73"/>
      <c r="S48" s="73"/>
    </row>
    <row r="49" spans="1:19" ht="12.75" customHeight="1" x14ac:dyDescent="0.2">
      <c r="A49" s="144"/>
      <c r="B49" s="144"/>
      <c r="C49" s="144"/>
      <c r="D49" s="144"/>
      <c r="E49" s="144"/>
      <c r="F49" s="144"/>
      <c r="G49" s="206"/>
      <c r="H49" s="73"/>
      <c r="I49" s="73"/>
      <c r="J49" s="73"/>
      <c r="K49" s="73"/>
      <c r="L49" s="73"/>
      <c r="M49" s="73"/>
      <c r="N49" s="73"/>
      <c r="O49" s="73"/>
      <c r="P49" s="73"/>
      <c r="Q49" s="73"/>
      <c r="R49" s="73"/>
      <c r="S49" s="73"/>
    </row>
    <row r="50" spans="1:19" ht="12.75" customHeight="1" x14ac:dyDescent="0.2">
      <c r="A50" s="144"/>
      <c r="B50" s="144"/>
      <c r="C50" s="144"/>
      <c r="D50" s="144"/>
      <c r="E50" s="144"/>
      <c r="F50" s="144"/>
      <c r="G50" s="206"/>
      <c r="H50" s="73"/>
      <c r="I50" s="73"/>
      <c r="J50" s="73"/>
      <c r="K50" s="73"/>
      <c r="L50" s="73"/>
      <c r="M50" s="73"/>
      <c r="N50" s="73"/>
      <c r="O50" s="73"/>
      <c r="P50" s="73"/>
      <c r="Q50" s="73"/>
      <c r="R50" s="73"/>
      <c r="S50" s="73"/>
    </row>
    <row r="51" spans="1:19" x14ac:dyDescent="0.2">
      <c r="A51" s="206"/>
      <c r="B51" s="206"/>
      <c r="C51" s="206"/>
      <c r="D51" s="206"/>
      <c r="E51" s="206"/>
      <c r="F51" s="206"/>
      <c r="G51" s="206"/>
      <c r="H51" s="73"/>
      <c r="I51" s="73"/>
      <c r="J51" s="73"/>
      <c r="K51" s="73"/>
      <c r="L51" s="73"/>
      <c r="M51" s="73"/>
      <c r="N51" s="73"/>
      <c r="O51" s="73"/>
      <c r="P51" s="73"/>
      <c r="Q51" s="73"/>
      <c r="R51" s="73"/>
      <c r="S51" s="73"/>
    </row>
    <row r="52" spans="1:19" x14ac:dyDescent="0.2">
      <c r="A52" s="73"/>
      <c r="B52" s="73"/>
      <c r="C52" s="73"/>
      <c r="D52" s="73"/>
      <c r="E52" s="73"/>
      <c r="F52" s="73"/>
      <c r="G52" s="73"/>
      <c r="H52" s="73"/>
      <c r="I52" s="73"/>
      <c r="J52" s="73"/>
      <c r="K52" s="73"/>
      <c r="L52" s="73"/>
      <c r="M52" s="73"/>
      <c r="N52" s="73"/>
      <c r="O52" s="73"/>
      <c r="P52" s="73"/>
      <c r="Q52" s="73"/>
      <c r="R52" s="73"/>
      <c r="S52" s="73"/>
    </row>
    <row r="53" spans="1:19" ht="15" x14ac:dyDescent="0.2">
      <c r="A53" s="73"/>
      <c r="B53" s="101"/>
      <c r="C53" s="101"/>
      <c r="D53" s="101"/>
      <c r="E53" s="101"/>
      <c r="F53" s="101"/>
      <c r="G53" s="73"/>
      <c r="H53" s="73"/>
      <c r="I53" s="73"/>
      <c r="J53" s="73"/>
      <c r="K53" s="73"/>
      <c r="L53" s="73"/>
      <c r="M53" s="73"/>
      <c r="N53" s="73"/>
      <c r="O53" s="73"/>
      <c r="P53" s="73"/>
      <c r="Q53" s="73"/>
      <c r="R53" s="73"/>
      <c r="S53" s="73"/>
    </row>
    <row r="54" spans="1:19" ht="15" x14ac:dyDescent="0.2">
      <c r="B54" s="72"/>
      <c r="C54" s="72"/>
      <c r="D54" s="72"/>
      <c r="E54" s="72"/>
      <c r="F54" s="72"/>
    </row>
  </sheetData>
  <mergeCells count="5">
    <mergeCell ref="A1:F2"/>
    <mergeCell ref="A5:A6"/>
    <mergeCell ref="C5:C6"/>
    <mergeCell ref="A19:F20"/>
    <mergeCell ref="A22:F29"/>
  </mergeCells>
  <conditionalFormatting sqref="A3">
    <cfRule type="expression" dxfId="5" priority="1">
      <formula>LEN(TRIM(#REF!))&gt;0</formula>
    </cfRule>
  </conditionalFormatting>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BF18C-D6A2-4094-8EC1-2E6956FBA0E3}">
  <dimension ref="A1:S54"/>
  <sheetViews>
    <sheetView zoomScaleNormal="100" workbookViewId="0">
      <selection activeCell="J17" sqref="J17"/>
    </sheetView>
  </sheetViews>
  <sheetFormatPr baseColWidth="10" defaultColWidth="9.140625" defaultRowHeight="12.75" x14ac:dyDescent="0.2"/>
  <cols>
    <col min="1" max="1" width="15.5703125" customWidth="1"/>
    <col min="2" max="2" width="10.85546875" bestFit="1" customWidth="1"/>
    <col min="3" max="3" width="19" customWidth="1"/>
    <col min="4" max="4" width="19.140625" customWidth="1"/>
    <col min="5" max="5" width="33.85546875" customWidth="1"/>
    <col min="6" max="6" width="18.7109375" customWidth="1"/>
    <col min="7" max="7" width="16.28515625" customWidth="1"/>
    <col min="8" max="1025" width="14.42578125" customWidth="1"/>
  </cols>
  <sheetData>
    <row r="1" spans="1:19" ht="15.75" customHeight="1" x14ac:dyDescent="0.2">
      <c r="A1" s="232" t="s">
        <v>156</v>
      </c>
      <c r="B1" s="232"/>
      <c r="C1" s="232"/>
      <c r="D1" s="232"/>
      <c r="E1" s="232"/>
      <c r="F1" s="232"/>
      <c r="G1" s="73"/>
      <c r="H1" s="73"/>
      <c r="I1" s="73"/>
      <c r="J1" s="73"/>
      <c r="K1" s="73"/>
      <c r="L1" s="73"/>
      <c r="M1" s="73"/>
      <c r="N1" s="73"/>
      <c r="O1" s="73"/>
      <c r="P1" s="73"/>
      <c r="Q1" s="73"/>
      <c r="R1" s="73"/>
      <c r="S1" s="73"/>
    </row>
    <row r="2" spans="1:19" ht="15.75" customHeight="1" x14ac:dyDescent="0.2">
      <c r="A2" s="232"/>
      <c r="B2" s="232"/>
      <c r="C2" s="232"/>
      <c r="D2" s="232"/>
      <c r="E2" s="232"/>
      <c r="F2" s="232"/>
      <c r="G2" s="73"/>
      <c r="H2" s="73"/>
      <c r="I2" s="73"/>
      <c r="J2" s="73"/>
      <c r="K2" s="73"/>
      <c r="L2" s="73"/>
      <c r="M2" s="73"/>
      <c r="N2" s="73"/>
      <c r="O2" s="73"/>
      <c r="P2" s="73"/>
      <c r="Q2" s="73"/>
      <c r="R2" s="73"/>
      <c r="S2" s="73"/>
    </row>
    <row r="3" spans="1:19" ht="15.75" customHeight="1" x14ac:dyDescent="0.25">
      <c r="A3" s="140" t="s">
        <v>1</v>
      </c>
      <c r="B3" s="73"/>
      <c r="C3" s="140" t="s">
        <v>2</v>
      </c>
      <c r="D3" s="75" t="s">
        <v>3</v>
      </c>
      <c r="E3" s="140" t="s">
        <v>4</v>
      </c>
      <c r="F3" s="140" t="s">
        <v>5</v>
      </c>
      <c r="G3" s="73"/>
      <c r="H3" s="73"/>
      <c r="I3" s="73"/>
      <c r="J3" s="73"/>
      <c r="K3" s="73"/>
      <c r="L3" s="73"/>
      <c r="M3" s="73"/>
      <c r="N3" s="73"/>
      <c r="O3" s="73"/>
      <c r="P3" s="73"/>
      <c r="Q3" s="73"/>
      <c r="R3" s="73"/>
      <c r="S3" s="73"/>
    </row>
    <row r="4" spans="1:19" ht="15.75" customHeight="1" x14ac:dyDescent="0.25">
      <c r="A4" s="141">
        <v>43934</v>
      </c>
      <c r="B4" s="133"/>
      <c r="C4" s="134">
        <v>43940</v>
      </c>
      <c r="D4" s="78" t="s">
        <v>6</v>
      </c>
      <c r="E4" s="79">
        <f>D16</f>
        <v>2.083333333333337E-2</v>
      </c>
      <c r="F4" s="80">
        <f>'Uke15'!F4 + E4</f>
        <v>1.1979166666666665</v>
      </c>
      <c r="G4" s="73"/>
      <c r="H4" s="189"/>
      <c r="I4" s="142">
        <f>B11-B11</f>
        <v>0</v>
      </c>
      <c r="J4" s="102"/>
      <c r="K4" s="73"/>
      <c r="L4" s="73"/>
      <c r="M4" s="73"/>
      <c r="N4" s="73"/>
      <c r="O4" s="73"/>
      <c r="P4" s="73"/>
      <c r="Q4" s="73"/>
      <c r="R4" s="73"/>
      <c r="S4" s="73"/>
    </row>
    <row r="5" spans="1:19" ht="15" customHeight="1" x14ac:dyDescent="0.25">
      <c r="A5" s="239" t="s">
        <v>7</v>
      </c>
      <c r="B5" s="73"/>
      <c r="C5" s="239" t="s">
        <v>8</v>
      </c>
      <c r="D5" s="82" t="s">
        <v>9</v>
      </c>
      <c r="E5" s="79">
        <f>D12+D13+D14+D15+D20+D21+D22+D23+D26+D28+D29+D31+D32</f>
        <v>0.29166666666666652</v>
      </c>
      <c r="F5" s="80">
        <f>'Uke15'!F5 + E5</f>
        <v>1.6284722222222237</v>
      </c>
      <c r="G5" s="73"/>
      <c r="H5" s="189"/>
      <c r="I5" s="73"/>
      <c r="J5" s="73"/>
      <c r="K5" s="73"/>
      <c r="L5" s="73"/>
      <c r="M5" s="73"/>
      <c r="N5" s="73"/>
      <c r="O5" s="73"/>
      <c r="P5" s="73"/>
      <c r="Q5" s="73"/>
      <c r="R5" s="73"/>
      <c r="S5" s="73"/>
    </row>
    <row r="6" spans="1:19" ht="15.75" customHeight="1" x14ac:dyDescent="0.25">
      <c r="A6" s="239"/>
      <c r="B6" s="73"/>
      <c r="C6" s="239"/>
      <c r="D6" s="83" t="s">
        <v>10</v>
      </c>
      <c r="E6" s="80">
        <f>D11+D17+D18+D19+D24</f>
        <v>0.17013888888888873</v>
      </c>
      <c r="F6" s="80">
        <f>'Uke15'!F6 + E6</f>
        <v>1.6215277777777772</v>
      </c>
      <c r="G6" s="73"/>
      <c r="H6" s="189"/>
      <c r="I6" s="189"/>
      <c r="J6" s="102"/>
      <c r="K6" s="73"/>
      <c r="L6" s="73"/>
      <c r="M6" s="73"/>
      <c r="N6" s="73"/>
      <c r="O6" s="73"/>
      <c r="P6" s="73"/>
      <c r="Q6" s="73"/>
      <c r="R6" s="73"/>
      <c r="S6" s="73"/>
    </row>
    <row r="7" spans="1:19" ht="15.75" x14ac:dyDescent="0.25">
      <c r="A7" s="135">
        <f>SUM(E4:E7)</f>
        <v>0.59374999999999967</v>
      </c>
      <c r="B7" s="133"/>
      <c r="C7" s="135">
        <f>SUM(F4:F7)</f>
        <v>6.0312500000000018</v>
      </c>
      <c r="D7" s="85" t="s">
        <v>46</v>
      </c>
      <c r="E7" s="86">
        <f>D25+D27+D30+D33</f>
        <v>0.11111111111111105</v>
      </c>
      <c r="F7" s="84">
        <f>'Uke15'!F7 + E7</f>
        <v>1.5833333333333344</v>
      </c>
      <c r="G7" s="73"/>
      <c r="H7" s="189"/>
      <c r="I7" s="189"/>
      <c r="J7" s="102"/>
      <c r="K7" s="73"/>
      <c r="L7" s="73"/>
      <c r="M7" s="73"/>
      <c r="N7" s="73"/>
      <c r="O7" s="73"/>
      <c r="P7" s="73"/>
      <c r="Q7" s="73"/>
      <c r="R7" s="73"/>
      <c r="S7" s="73"/>
    </row>
    <row r="8" spans="1:19" x14ac:dyDescent="0.2">
      <c r="A8" s="73"/>
      <c r="B8" s="73"/>
      <c r="C8" s="73"/>
      <c r="D8" s="73"/>
      <c r="E8" s="73"/>
      <c r="F8" s="73"/>
      <c r="G8" s="73"/>
      <c r="H8" s="73"/>
      <c r="I8" s="73"/>
      <c r="J8" s="73"/>
      <c r="K8" s="73"/>
      <c r="L8" s="73"/>
      <c r="M8" s="73"/>
      <c r="N8" s="73"/>
      <c r="O8" s="73"/>
      <c r="P8" s="73"/>
      <c r="Q8" s="73"/>
      <c r="R8" s="73"/>
      <c r="S8" s="73"/>
    </row>
    <row r="9" spans="1:19" x14ac:dyDescent="0.2">
      <c r="A9" s="73"/>
      <c r="B9" s="73"/>
      <c r="C9" s="73"/>
      <c r="D9" s="73"/>
      <c r="E9" s="73"/>
      <c r="F9" s="73"/>
      <c r="G9" s="73"/>
      <c r="H9" s="73"/>
      <c r="I9" s="73"/>
      <c r="J9" s="73"/>
      <c r="K9" s="73"/>
      <c r="L9" s="73"/>
      <c r="M9" s="73"/>
      <c r="N9" s="73"/>
      <c r="O9" s="73"/>
      <c r="P9" s="73"/>
      <c r="Q9" s="73"/>
      <c r="R9" s="73"/>
      <c r="S9" s="73"/>
    </row>
    <row r="10" spans="1:19" ht="15.75" x14ac:dyDescent="0.25">
      <c r="A10" s="140" t="s">
        <v>12</v>
      </c>
      <c r="B10" s="140" t="s">
        <v>57</v>
      </c>
      <c r="C10" s="140" t="s">
        <v>58</v>
      </c>
      <c r="D10" s="140" t="s">
        <v>59</v>
      </c>
      <c r="E10" s="140" t="s">
        <v>47</v>
      </c>
      <c r="F10" s="140" t="s">
        <v>39</v>
      </c>
      <c r="G10" s="73"/>
      <c r="H10" s="73"/>
      <c r="I10" s="73"/>
      <c r="J10" s="73"/>
      <c r="K10" s="73"/>
      <c r="L10" s="73"/>
      <c r="M10" s="73"/>
      <c r="N10" s="73"/>
      <c r="O10" s="73"/>
      <c r="P10" s="73"/>
      <c r="Q10" s="73"/>
      <c r="R10" s="73"/>
      <c r="S10" s="73"/>
    </row>
    <row r="11" spans="1:19" ht="15.75" x14ac:dyDescent="0.25">
      <c r="A11" s="145">
        <v>43934</v>
      </c>
      <c r="B11" s="146">
        <v>0.58333333333333337</v>
      </c>
      <c r="C11" s="146">
        <v>0.60416666666666663</v>
      </c>
      <c r="D11" s="146">
        <f t="shared" ref="D11:D12" si="0">C11-B11</f>
        <v>2.0833333333333259E-2</v>
      </c>
      <c r="E11" s="164" t="s">
        <v>48</v>
      </c>
      <c r="F11" s="112"/>
      <c r="G11" s="73"/>
      <c r="H11" s="73"/>
      <c r="I11" s="73"/>
      <c r="J11" s="73"/>
      <c r="K11" s="73"/>
      <c r="L11" s="73"/>
      <c r="M11" s="73"/>
      <c r="N11" s="73"/>
      <c r="O11" s="73"/>
      <c r="P11" s="73"/>
      <c r="Q11" s="73"/>
      <c r="R11" s="73"/>
      <c r="S11" s="73"/>
    </row>
    <row r="12" spans="1:19" ht="31.5" x14ac:dyDescent="0.25">
      <c r="A12" s="193">
        <v>43935</v>
      </c>
      <c r="B12" s="194">
        <v>0.5625</v>
      </c>
      <c r="C12" s="194">
        <v>0.57638888888888895</v>
      </c>
      <c r="D12" s="194">
        <f t="shared" si="0"/>
        <v>1.3888888888888951E-2</v>
      </c>
      <c r="E12" s="202" t="s">
        <v>157</v>
      </c>
      <c r="F12" s="207"/>
      <c r="G12" s="73"/>
      <c r="H12" s="73"/>
      <c r="I12" s="73"/>
      <c r="J12" s="73"/>
      <c r="K12" s="73"/>
      <c r="L12" s="73"/>
      <c r="M12" s="73"/>
      <c r="N12" s="73"/>
      <c r="O12" s="73"/>
      <c r="P12" s="73"/>
      <c r="Q12" s="73"/>
      <c r="R12" s="73"/>
      <c r="S12" s="73"/>
    </row>
    <row r="13" spans="1:19" ht="47.25" x14ac:dyDescent="0.25">
      <c r="A13" s="193">
        <v>43935</v>
      </c>
      <c r="B13" s="194">
        <v>0.57638888888888895</v>
      </c>
      <c r="C13" s="194">
        <v>0.60416666666666663</v>
      </c>
      <c r="D13" s="194">
        <f t="shared" ref="D13" si="1">C13-B13</f>
        <v>2.7777777777777679E-2</v>
      </c>
      <c r="E13" s="202" t="s">
        <v>158</v>
      </c>
      <c r="F13" s="203" t="s">
        <v>153</v>
      </c>
      <c r="G13" s="73"/>
      <c r="H13" s="73"/>
      <c r="I13" s="73"/>
      <c r="J13" s="73"/>
      <c r="K13" s="73"/>
      <c r="L13" s="73"/>
      <c r="M13" s="73"/>
      <c r="N13" s="73"/>
      <c r="O13" s="73"/>
      <c r="P13" s="73"/>
      <c r="Q13" s="73"/>
      <c r="R13" s="73"/>
      <c r="S13" s="73"/>
    </row>
    <row r="14" spans="1:19" ht="31.5" x14ac:dyDescent="0.25">
      <c r="A14" s="193">
        <v>43935</v>
      </c>
      <c r="B14" s="194">
        <v>0.70833333333333337</v>
      </c>
      <c r="C14" s="194">
        <v>0.72916666666666663</v>
      </c>
      <c r="D14" s="194">
        <f t="shared" ref="D14" si="2">C14-B14</f>
        <v>2.0833333333333259E-2</v>
      </c>
      <c r="E14" s="202" t="s">
        <v>159</v>
      </c>
      <c r="F14" s="213" t="s">
        <v>148</v>
      </c>
      <c r="G14" s="73"/>
      <c r="H14" s="73"/>
      <c r="I14" s="73"/>
      <c r="J14" s="73"/>
      <c r="K14" s="73"/>
      <c r="L14" s="73"/>
      <c r="M14" s="73"/>
      <c r="N14" s="73"/>
      <c r="O14" s="73"/>
      <c r="P14" s="73"/>
      <c r="Q14" s="73"/>
      <c r="R14" s="73"/>
      <c r="S14" s="73"/>
    </row>
    <row r="15" spans="1:19" ht="32.25" customHeight="1" x14ac:dyDescent="0.25">
      <c r="A15" s="193">
        <v>43936</v>
      </c>
      <c r="B15" s="194">
        <v>0.54166666666666663</v>
      </c>
      <c r="C15" s="194">
        <v>0.5625</v>
      </c>
      <c r="D15" s="194">
        <f t="shared" ref="D15" si="3">C15-B15</f>
        <v>2.083333333333337E-2</v>
      </c>
      <c r="E15" s="202" t="s">
        <v>160</v>
      </c>
      <c r="F15" s="203" t="s">
        <v>153</v>
      </c>
      <c r="G15" s="73"/>
      <c r="H15" s="73"/>
      <c r="I15" s="73"/>
      <c r="J15" s="73"/>
      <c r="K15" s="73"/>
      <c r="L15" s="73"/>
      <c r="M15" s="73"/>
      <c r="N15" s="73"/>
      <c r="O15" s="73"/>
      <c r="P15" s="73"/>
      <c r="Q15" s="73"/>
      <c r="R15" s="73"/>
      <c r="S15" s="73"/>
    </row>
    <row r="16" spans="1:19" ht="15.75" customHeight="1" x14ac:dyDescent="0.25">
      <c r="A16" s="44">
        <v>43936</v>
      </c>
      <c r="B16" s="159">
        <v>0.75</v>
      </c>
      <c r="C16" s="159">
        <v>0.77083333333333337</v>
      </c>
      <c r="D16" s="159">
        <f>C16-B16</f>
        <v>2.083333333333337E-2</v>
      </c>
      <c r="E16" s="174" t="s">
        <v>161</v>
      </c>
      <c r="F16" s="200"/>
      <c r="G16" s="73"/>
      <c r="H16" s="73"/>
      <c r="I16" s="73"/>
      <c r="J16" s="73"/>
      <c r="K16" s="73"/>
      <c r="L16" s="73"/>
      <c r="M16" s="73"/>
      <c r="N16" s="73"/>
      <c r="O16" s="73"/>
      <c r="P16" s="73"/>
      <c r="Q16" s="73"/>
      <c r="R16" s="73"/>
      <c r="S16" s="73"/>
    </row>
    <row r="17" spans="1:19" ht="87" customHeight="1" x14ac:dyDescent="0.25">
      <c r="A17" s="145">
        <v>43936</v>
      </c>
      <c r="B17" s="146">
        <v>0.77083333333333337</v>
      </c>
      <c r="C17" s="146">
        <v>0.80208333333333337</v>
      </c>
      <c r="D17" s="146">
        <f t="shared" ref="D17:D18" si="4">C17-B17</f>
        <v>3.125E-2</v>
      </c>
      <c r="E17" s="164" t="s">
        <v>162</v>
      </c>
      <c r="F17" s="200"/>
      <c r="G17" s="73"/>
      <c r="H17" s="73"/>
      <c r="I17" s="73"/>
      <c r="J17" s="73"/>
      <c r="K17" s="73"/>
      <c r="L17" s="73"/>
      <c r="M17" s="73"/>
      <c r="N17" s="73"/>
      <c r="O17" s="73"/>
      <c r="P17" s="73"/>
      <c r="Q17" s="73"/>
      <c r="R17" s="73"/>
      <c r="S17" s="73"/>
    </row>
    <row r="18" spans="1:19" ht="15.75" x14ac:dyDescent="0.25">
      <c r="A18" s="145">
        <v>43937</v>
      </c>
      <c r="B18" s="146">
        <v>0.58333333333333337</v>
      </c>
      <c r="C18" s="146">
        <v>0.60416666666666663</v>
      </c>
      <c r="D18" s="146">
        <f t="shared" si="4"/>
        <v>2.0833333333333259E-2</v>
      </c>
      <c r="E18" s="164" t="s">
        <v>48</v>
      </c>
      <c r="F18" s="201"/>
      <c r="G18" s="73"/>
      <c r="H18" s="73"/>
      <c r="I18" s="73"/>
      <c r="J18" s="73"/>
      <c r="K18" s="73"/>
      <c r="L18" s="73"/>
      <c r="M18" s="73"/>
      <c r="N18" s="73"/>
      <c r="O18" s="73"/>
      <c r="P18" s="73"/>
      <c r="Q18" s="73"/>
      <c r="R18" s="73"/>
      <c r="S18" s="73"/>
    </row>
    <row r="19" spans="1:19" ht="57.75" customHeight="1" x14ac:dyDescent="0.25">
      <c r="A19" s="145">
        <v>43937</v>
      </c>
      <c r="B19" s="146">
        <v>0.75</v>
      </c>
      <c r="C19" s="146">
        <v>0.81944444444444453</v>
      </c>
      <c r="D19" s="146">
        <f t="shared" ref="D19:D20" si="5">C19-B19</f>
        <v>6.9444444444444531E-2</v>
      </c>
      <c r="E19" s="208" t="s">
        <v>163</v>
      </c>
      <c r="F19" s="210"/>
      <c r="G19" s="73"/>
      <c r="H19" s="73"/>
      <c r="I19" s="73"/>
      <c r="J19" s="73"/>
      <c r="K19" s="73"/>
      <c r="L19" s="73"/>
      <c r="M19" s="73"/>
      <c r="N19" s="73"/>
      <c r="O19" s="73"/>
      <c r="P19" s="73"/>
      <c r="Q19" s="73"/>
      <c r="R19" s="73"/>
      <c r="S19" s="73"/>
    </row>
    <row r="20" spans="1:19" ht="15.75" x14ac:dyDescent="0.25">
      <c r="A20" s="193">
        <v>43937</v>
      </c>
      <c r="B20" s="194">
        <v>0.81944444444444453</v>
      </c>
      <c r="C20" s="194">
        <v>0.84375</v>
      </c>
      <c r="D20" s="194">
        <f t="shared" si="5"/>
        <v>2.4305555555555469E-2</v>
      </c>
      <c r="E20" s="202" t="s">
        <v>164</v>
      </c>
      <c r="F20" s="211" t="s">
        <v>143</v>
      </c>
      <c r="G20" s="73"/>
      <c r="H20" s="73"/>
      <c r="I20" s="73"/>
      <c r="J20" s="73"/>
      <c r="K20" s="73"/>
      <c r="L20" s="73"/>
      <c r="M20" s="73"/>
      <c r="N20" s="73"/>
      <c r="O20" s="73"/>
      <c r="P20" s="73"/>
      <c r="Q20" s="73"/>
      <c r="R20" s="73"/>
      <c r="S20" s="73"/>
    </row>
    <row r="21" spans="1:19" ht="15.75" x14ac:dyDescent="0.25">
      <c r="A21" s="193">
        <v>43937</v>
      </c>
      <c r="B21" s="194">
        <v>0.84375</v>
      </c>
      <c r="C21" s="194">
        <v>0.84722222222222221</v>
      </c>
      <c r="D21" s="194">
        <f t="shared" ref="D21" si="6">C21-B21</f>
        <v>3.4722222222222099E-3</v>
      </c>
      <c r="E21" s="202" t="s">
        <v>165</v>
      </c>
      <c r="F21" s="211" t="s">
        <v>153</v>
      </c>
      <c r="G21" s="73"/>
      <c r="H21" s="73"/>
      <c r="I21" s="73"/>
      <c r="J21" s="73"/>
      <c r="K21" s="73"/>
      <c r="L21" s="73"/>
      <c r="M21" s="73"/>
      <c r="N21" s="73"/>
      <c r="O21" s="73"/>
      <c r="P21" s="73"/>
      <c r="Q21" s="73"/>
      <c r="R21" s="73"/>
      <c r="S21" s="73"/>
    </row>
    <row r="22" spans="1:19" ht="31.5" x14ac:dyDescent="0.25">
      <c r="A22" s="193">
        <v>43938</v>
      </c>
      <c r="B22" s="194">
        <v>0.73611111111111116</v>
      </c>
      <c r="C22" s="194">
        <v>0.77083333333333337</v>
      </c>
      <c r="D22" s="194">
        <f t="shared" ref="D22" si="7">C22-B22</f>
        <v>3.472222222222221E-2</v>
      </c>
      <c r="E22" s="202" t="s">
        <v>166</v>
      </c>
      <c r="F22" s="211" t="s">
        <v>143</v>
      </c>
      <c r="G22" s="73"/>
      <c r="H22" s="73"/>
      <c r="I22" s="73"/>
      <c r="J22" s="73"/>
      <c r="K22" s="73"/>
      <c r="L22" s="73"/>
      <c r="M22" s="73"/>
      <c r="N22" s="73"/>
      <c r="O22" s="73"/>
      <c r="P22" s="73"/>
      <c r="Q22" s="73"/>
      <c r="R22" s="73"/>
      <c r="S22" s="73"/>
    </row>
    <row r="23" spans="1:19" ht="15.75" x14ac:dyDescent="0.25">
      <c r="A23" s="193">
        <v>43938</v>
      </c>
      <c r="B23" s="194">
        <v>0.77083333333333337</v>
      </c>
      <c r="C23" s="194">
        <v>0.80555555555555547</v>
      </c>
      <c r="D23" s="194">
        <f t="shared" ref="D23:D26" si="8">C23-B23</f>
        <v>3.4722222222222099E-2</v>
      </c>
      <c r="E23" s="202" t="s">
        <v>167</v>
      </c>
      <c r="F23" s="211" t="s">
        <v>153</v>
      </c>
      <c r="G23" s="73"/>
      <c r="H23" s="73"/>
      <c r="I23" s="73"/>
      <c r="J23" s="73"/>
      <c r="K23" s="73"/>
      <c r="L23" s="73"/>
      <c r="M23" s="73"/>
      <c r="N23" s="73"/>
      <c r="O23" s="73"/>
      <c r="P23" s="73"/>
      <c r="Q23" s="73"/>
      <c r="R23" s="73"/>
      <c r="S23" s="73"/>
    </row>
    <row r="24" spans="1:19" ht="15.75" x14ac:dyDescent="0.25">
      <c r="A24" s="145">
        <v>43939</v>
      </c>
      <c r="B24" s="146">
        <v>0.58333333333333337</v>
      </c>
      <c r="C24" s="146">
        <v>0.61111111111111105</v>
      </c>
      <c r="D24" s="146">
        <f t="shared" si="8"/>
        <v>2.7777777777777679E-2</v>
      </c>
      <c r="E24" s="208" t="s">
        <v>48</v>
      </c>
      <c r="F24" s="209"/>
      <c r="G24" s="73"/>
      <c r="H24" s="73"/>
      <c r="I24" s="73"/>
      <c r="J24" s="73"/>
      <c r="K24" s="73"/>
      <c r="L24" s="73"/>
      <c r="M24" s="73"/>
      <c r="N24" s="73"/>
      <c r="O24" s="73"/>
      <c r="P24" s="73"/>
      <c r="Q24" s="73"/>
      <c r="R24" s="73"/>
      <c r="S24" s="73"/>
    </row>
    <row r="25" spans="1:19" ht="31.5" x14ac:dyDescent="0.25">
      <c r="A25" s="195">
        <v>43939</v>
      </c>
      <c r="B25" s="196">
        <v>0.75</v>
      </c>
      <c r="C25" s="196">
        <v>0.80208333333333337</v>
      </c>
      <c r="D25" s="196">
        <f t="shared" si="8"/>
        <v>5.208333333333337E-2</v>
      </c>
      <c r="E25" s="212" t="s">
        <v>168</v>
      </c>
      <c r="F25" s="210"/>
      <c r="G25" s="73"/>
      <c r="H25" s="73"/>
      <c r="I25" s="73"/>
      <c r="J25" s="73"/>
      <c r="K25" s="73"/>
      <c r="L25" s="73"/>
      <c r="M25" s="73"/>
      <c r="N25" s="73"/>
      <c r="O25" s="73"/>
      <c r="P25" s="73"/>
      <c r="Q25" s="73"/>
      <c r="R25" s="73"/>
      <c r="S25" s="73"/>
    </row>
    <row r="26" spans="1:19" ht="31.5" x14ac:dyDescent="0.25">
      <c r="A26" s="193">
        <v>43939</v>
      </c>
      <c r="B26" s="194">
        <v>0.84375</v>
      </c>
      <c r="C26" s="194">
        <v>0.86111111111111116</v>
      </c>
      <c r="D26" s="194">
        <f t="shared" si="8"/>
        <v>1.736111111111116E-2</v>
      </c>
      <c r="E26" s="202" t="s">
        <v>169</v>
      </c>
      <c r="F26" s="203" t="s">
        <v>153</v>
      </c>
      <c r="G26" s="73"/>
      <c r="H26" s="73"/>
      <c r="I26" s="73"/>
      <c r="J26" s="73"/>
      <c r="K26" s="73"/>
      <c r="L26" s="73"/>
      <c r="M26" s="73"/>
      <c r="N26" s="73"/>
      <c r="O26" s="73"/>
      <c r="P26" s="73"/>
      <c r="Q26" s="73"/>
      <c r="R26" s="73"/>
      <c r="S26" s="73"/>
    </row>
    <row r="27" spans="1:19" ht="32.25" thickBot="1" x14ac:dyDescent="0.3">
      <c r="A27" s="195">
        <v>43940</v>
      </c>
      <c r="B27" s="196">
        <v>0.66666666666666663</v>
      </c>
      <c r="C27" s="196">
        <v>0.67708333333333337</v>
      </c>
      <c r="D27" s="196">
        <f t="shared" ref="D27" si="9">C27-B27</f>
        <v>1.0416666666666741E-2</v>
      </c>
      <c r="E27" s="212" t="s">
        <v>168</v>
      </c>
      <c r="F27" s="210"/>
      <c r="G27" s="73"/>
      <c r="H27" s="73"/>
      <c r="I27" s="73"/>
      <c r="J27" s="73"/>
      <c r="K27" s="73"/>
      <c r="L27" s="73"/>
      <c r="M27" s="73"/>
      <c r="N27" s="73"/>
      <c r="O27" s="73"/>
      <c r="P27" s="73"/>
      <c r="Q27" s="73"/>
      <c r="R27" s="73"/>
      <c r="S27" s="73"/>
    </row>
    <row r="28" spans="1:19" ht="48" thickBot="1" x14ac:dyDescent="0.3">
      <c r="A28" s="193">
        <v>43940</v>
      </c>
      <c r="B28" s="194">
        <v>0.67708333333333337</v>
      </c>
      <c r="C28" s="194">
        <v>0.70138888888888884</v>
      </c>
      <c r="D28" s="194">
        <f t="shared" ref="D28:D33" si="10">C28-B28</f>
        <v>2.4305555555555469E-2</v>
      </c>
      <c r="E28" s="202" t="s">
        <v>170</v>
      </c>
      <c r="F28" s="203" t="s">
        <v>153</v>
      </c>
      <c r="G28" s="73"/>
      <c r="H28" s="73"/>
      <c r="I28" s="73"/>
      <c r="J28" s="73"/>
      <c r="K28" s="73"/>
      <c r="L28" s="73"/>
      <c r="M28" s="73"/>
      <c r="N28" s="73"/>
      <c r="O28" s="73"/>
      <c r="P28" s="73"/>
      <c r="Q28" s="73"/>
      <c r="R28" s="73"/>
      <c r="S28" s="73"/>
    </row>
    <row r="29" spans="1:19" ht="32.25" thickBot="1" x14ac:dyDescent="0.3">
      <c r="A29" s="193">
        <v>43940</v>
      </c>
      <c r="B29" s="194">
        <v>0.70138888888888884</v>
      </c>
      <c r="C29" s="194">
        <v>0.71527777777777779</v>
      </c>
      <c r="D29" s="194">
        <f t="shared" si="10"/>
        <v>1.3888888888888951E-2</v>
      </c>
      <c r="E29" s="202" t="s">
        <v>171</v>
      </c>
      <c r="F29" s="203" t="s">
        <v>148</v>
      </c>
      <c r="G29" s="73"/>
      <c r="H29" s="73"/>
      <c r="I29" s="73"/>
      <c r="J29" s="73"/>
      <c r="K29" s="73"/>
      <c r="L29" s="73"/>
      <c r="M29" s="73"/>
      <c r="N29" s="73"/>
      <c r="O29" s="73"/>
      <c r="P29" s="73"/>
      <c r="Q29" s="73"/>
      <c r="R29" s="73"/>
      <c r="S29" s="73"/>
    </row>
    <row r="30" spans="1:19" ht="32.25" thickBot="1" x14ac:dyDescent="0.3">
      <c r="A30" s="195">
        <v>43940</v>
      </c>
      <c r="B30" s="196">
        <v>0.8125</v>
      </c>
      <c r="C30" s="196">
        <v>0.82638888888888884</v>
      </c>
      <c r="D30" s="196">
        <f t="shared" si="10"/>
        <v>1.388888888888884E-2</v>
      </c>
      <c r="E30" s="212" t="s">
        <v>168</v>
      </c>
      <c r="F30" s="210"/>
      <c r="G30" s="73"/>
      <c r="H30" s="73"/>
      <c r="I30" s="73"/>
      <c r="J30" s="73"/>
      <c r="K30" s="73"/>
      <c r="L30" s="73"/>
      <c r="M30" s="73"/>
      <c r="N30" s="73"/>
      <c r="O30" s="73"/>
      <c r="P30" s="73"/>
      <c r="Q30" s="73"/>
      <c r="R30" s="73"/>
      <c r="S30" s="73"/>
    </row>
    <row r="31" spans="1:19" ht="16.5" thickBot="1" x14ac:dyDescent="0.3">
      <c r="A31" s="193">
        <v>43940</v>
      </c>
      <c r="B31" s="194">
        <v>0.82638888888888884</v>
      </c>
      <c r="C31" s="194">
        <v>0.83333333333333337</v>
      </c>
      <c r="D31" s="194">
        <f t="shared" si="10"/>
        <v>6.9444444444445308E-3</v>
      </c>
      <c r="E31" s="202" t="s">
        <v>172</v>
      </c>
      <c r="F31" s="203" t="s">
        <v>153</v>
      </c>
      <c r="G31" s="73"/>
      <c r="H31" s="73"/>
      <c r="I31" s="73"/>
      <c r="J31" s="73"/>
      <c r="K31" s="73"/>
      <c r="L31" s="73"/>
      <c r="M31" s="73"/>
      <c r="N31" s="73"/>
      <c r="O31" s="73"/>
      <c r="P31" s="73"/>
      <c r="Q31" s="73"/>
      <c r="R31" s="73"/>
      <c r="S31" s="73"/>
    </row>
    <row r="32" spans="1:19" ht="15.75" x14ac:dyDescent="0.25">
      <c r="A32" s="193">
        <v>43940</v>
      </c>
      <c r="B32" s="194">
        <v>0.83333333333333337</v>
      </c>
      <c r="C32" s="194">
        <v>0.88194444444444453</v>
      </c>
      <c r="D32" s="194">
        <f t="shared" si="10"/>
        <v>4.861111111111116E-2</v>
      </c>
      <c r="E32" s="202" t="s">
        <v>173</v>
      </c>
      <c r="F32" s="203" t="s">
        <v>143</v>
      </c>
      <c r="G32" s="73"/>
      <c r="H32" s="73"/>
      <c r="I32" s="73"/>
      <c r="J32" s="73"/>
      <c r="K32" s="73"/>
      <c r="L32" s="73"/>
      <c r="M32" s="73"/>
      <c r="N32" s="73"/>
      <c r="O32" s="73"/>
      <c r="P32" s="73"/>
      <c r="Q32" s="73"/>
      <c r="R32" s="73"/>
      <c r="S32" s="73"/>
    </row>
    <row r="33" spans="1:19" ht="31.5" x14ac:dyDescent="0.25">
      <c r="A33" s="195">
        <v>43940</v>
      </c>
      <c r="B33" s="196">
        <v>0.88194444444444453</v>
      </c>
      <c r="C33" s="196">
        <v>0.91666666666666663</v>
      </c>
      <c r="D33" s="196">
        <f t="shared" si="10"/>
        <v>3.4722222222222099E-2</v>
      </c>
      <c r="E33" s="212" t="s">
        <v>174</v>
      </c>
      <c r="F33" s="214"/>
      <c r="G33" s="73"/>
      <c r="H33" s="73"/>
      <c r="I33" s="73"/>
      <c r="J33" s="73"/>
      <c r="K33" s="73"/>
      <c r="L33" s="73"/>
      <c r="M33" s="73"/>
      <c r="N33" s="73"/>
      <c r="O33" s="73"/>
      <c r="P33" s="73"/>
      <c r="Q33" s="73"/>
      <c r="R33" s="73"/>
      <c r="S33" s="73"/>
    </row>
    <row r="34" spans="1:19" x14ac:dyDescent="0.2">
      <c r="A34" s="73"/>
      <c r="B34" s="73"/>
      <c r="C34" s="73"/>
      <c r="D34" s="73"/>
      <c r="E34" s="73"/>
      <c r="F34" s="73"/>
      <c r="G34" s="73"/>
      <c r="H34" s="73"/>
      <c r="I34" s="73"/>
      <c r="J34" s="73"/>
      <c r="K34" s="73"/>
      <c r="L34" s="73"/>
      <c r="M34" s="73"/>
      <c r="N34" s="73"/>
      <c r="O34" s="73"/>
      <c r="P34" s="73"/>
      <c r="Q34" s="73"/>
      <c r="R34" s="73"/>
      <c r="S34" s="73"/>
    </row>
    <row r="35" spans="1:19" x14ac:dyDescent="0.2">
      <c r="A35" s="73"/>
      <c r="B35" s="73"/>
      <c r="C35" s="73"/>
      <c r="D35" s="73"/>
      <c r="E35" s="73"/>
      <c r="F35" s="73"/>
      <c r="G35" s="73"/>
      <c r="H35" s="73"/>
      <c r="I35" s="73"/>
      <c r="J35" s="73"/>
      <c r="K35" s="73"/>
      <c r="L35" s="73"/>
      <c r="M35" s="73"/>
      <c r="N35" s="73"/>
      <c r="O35" s="73"/>
      <c r="P35" s="73"/>
      <c r="Q35" s="73"/>
      <c r="R35" s="73"/>
      <c r="S35" s="73"/>
    </row>
    <row r="36" spans="1:19" x14ac:dyDescent="0.2">
      <c r="A36" s="73"/>
      <c r="B36" s="73"/>
      <c r="C36" s="73"/>
      <c r="D36" s="73"/>
      <c r="E36" s="73"/>
      <c r="F36" s="73"/>
      <c r="G36" s="73"/>
      <c r="H36" s="73"/>
      <c r="I36" s="73"/>
      <c r="J36" s="73"/>
      <c r="K36" s="73"/>
      <c r="L36" s="73"/>
      <c r="M36" s="73"/>
      <c r="N36" s="73"/>
      <c r="O36" s="73"/>
      <c r="P36" s="73"/>
      <c r="Q36" s="73"/>
      <c r="R36" s="73"/>
      <c r="S36" s="73"/>
    </row>
    <row r="37" spans="1:19" x14ac:dyDescent="0.2">
      <c r="A37" s="238" t="s">
        <v>23</v>
      </c>
      <c r="B37" s="238"/>
      <c r="C37" s="238"/>
      <c r="D37" s="238"/>
      <c r="E37" s="238"/>
      <c r="F37" s="238"/>
      <c r="G37" s="73"/>
      <c r="H37" s="73"/>
      <c r="I37" s="73"/>
      <c r="J37" s="73"/>
      <c r="K37" s="73"/>
      <c r="L37" s="73"/>
      <c r="M37" s="73"/>
      <c r="N37" s="73"/>
      <c r="O37" s="73"/>
      <c r="P37" s="73"/>
      <c r="Q37" s="73"/>
      <c r="R37" s="73"/>
      <c r="S37" s="73"/>
    </row>
    <row r="38" spans="1:19" x14ac:dyDescent="0.2">
      <c r="A38" s="240"/>
      <c r="B38" s="240"/>
      <c r="C38" s="240"/>
      <c r="D38" s="240"/>
      <c r="E38" s="240"/>
      <c r="F38" s="240"/>
      <c r="G38" s="73"/>
      <c r="H38" s="73"/>
      <c r="I38" s="73"/>
      <c r="J38" s="73"/>
      <c r="K38" s="73"/>
      <c r="L38" s="73"/>
      <c r="M38" s="73"/>
      <c r="N38" s="73"/>
      <c r="O38" s="73"/>
      <c r="P38" s="73"/>
      <c r="Q38" s="73"/>
      <c r="R38" s="73"/>
      <c r="S38" s="73"/>
    </row>
    <row r="39" spans="1:19" x14ac:dyDescent="0.2">
      <c r="A39" s="73"/>
      <c r="B39" s="73"/>
      <c r="C39" s="73"/>
      <c r="D39" s="73"/>
      <c r="E39" s="73"/>
      <c r="F39" s="73"/>
      <c r="G39" s="73"/>
      <c r="H39" s="73"/>
      <c r="I39" s="73"/>
      <c r="J39" s="73"/>
      <c r="K39" s="73"/>
      <c r="L39" s="73"/>
      <c r="M39" s="73"/>
      <c r="N39" s="73"/>
      <c r="O39" s="73"/>
      <c r="P39" s="73"/>
      <c r="Q39" s="73"/>
      <c r="R39" s="73"/>
      <c r="S39" s="73"/>
    </row>
    <row r="40" spans="1:19" ht="111.75" customHeight="1" x14ac:dyDescent="0.2">
      <c r="A40" s="236" t="s">
        <v>175</v>
      </c>
      <c r="B40" s="236"/>
      <c r="C40" s="236"/>
      <c r="D40" s="236"/>
      <c r="E40" s="236"/>
      <c r="F40" s="236"/>
      <c r="G40" s="73"/>
      <c r="H40" s="73"/>
      <c r="I40" s="73"/>
      <c r="J40" s="73"/>
      <c r="K40" s="73"/>
      <c r="L40" s="73"/>
      <c r="M40" s="73"/>
      <c r="N40" s="73"/>
      <c r="O40" s="73"/>
      <c r="P40" s="73"/>
      <c r="Q40" s="73"/>
      <c r="R40" s="73"/>
      <c r="S40" s="73"/>
    </row>
    <row r="41" spans="1:19" ht="118.5" customHeight="1" x14ac:dyDescent="0.2">
      <c r="A41" s="236"/>
      <c r="B41" s="236"/>
      <c r="C41" s="236"/>
      <c r="D41" s="236"/>
      <c r="E41" s="236"/>
      <c r="F41" s="236"/>
      <c r="G41" s="73"/>
      <c r="H41" s="73"/>
      <c r="I41" s="73"/>
      <c r="J41" s="73"/>
      <c r="K41" s="73"/>
      <c r="L41" s="73"/>
      <c r="M41" s="73"/>
      <c r="N41" s="73"/>
      <c r="O41" s="73"/>
      <c r="P41" s="73"/>
      <c r="Q41" s="73"/>
      <c r="R41" s="73"/>
      <c r="S41" s="73"/>
    </row>
    <row r="42" spans="1:19" ht="77.25" customHeight="1" x14ac:dyDescent="0.2">
      <c r="A42" s="236"/>
      <c r="B42" s="236"/>
      <c r="C42" s="236"/>
      <c r="D42" s="236"/>
      <c r="E42" s="236"/>
      <c r="F42" s="236"/>
      <c r="G42" s="73"/>
      <c r="H42" s="73"/>
      <c r="I42" s="73"/>
      <c r="J42" s="73"/>
      <c r="K42" s="73"/>
      <c r="L42" s="73"/>
      <c r="M42" s="73"/>
      <c r="N42" s="73"/>
      <c r="O42" s="73"/>
      <c r="P42" s="73"/>
      <c r="Q42" s="73"/>
      <c r="R42" s="73"/>
      <c r="S42" s="73"/>
    </row>
    <row r="43" spans="1:19" ht="174.75" customHeight="1" x14ac:dyDescent="0.2">
      <c r="A43" s="236"/>
      <c r="B43" s="236"/>
      <c r="C43" s="236"/>
      <c r="D43" s="236"/>
      <c r="E43" s="236"/>
      <c r="F43" s="236"/>
      <c r="G43" s="73"/>
      <c r="H43" s="73"/>
      <c r="I43" s="73"/>
      <c r="J43" s="73"/>
      <c r="K43" s="73"/>
      <c r="L43" s="73"/>
      <c r="M43" s="73"/>
      <c r="N43" s="73"/>
      <c r="O43" s="73"/>
      <c r="P43" s="73"/>
      <c r="Q43" s="73"/>
      <c r="R43" s="73"/>
      <c r="S43" s="73"/>
    </row>
    <row r="44" spans="1:19" x14ac:dyDescent="0.2">
      <c r="A44" s="236"/>
      <c r="B44" s="236"/>
      <c r="C44" s="236"/>
      <c r="D44" s="236"/>
      <c r="E44" s="236"/>
      <c r="F44" s="236"/>
      <c r="G44" s="73"/>
      <c r="H44" s="73"/>
      <c r="I44" s="73"/>
      <c r="J44" s="73"/>
      <c r="K44" s="73"/>
      <c r="L44" s="73"/>
      <c r="M44" s="73"/>
      <c r="N44" s="73"/>
      <c r="O44" s="73"/>
      <c r="P44" s="73"/>
      <c r="Q44" s="73"/>
      <c r="R44" s="73"/>
      <c r="S44" s="73"/>
    </row>
    <row r="45" spans="1:19" x14ac:dyDescent="0.2">
      <c r="A45" s="236"/>
      <c r="B45" s="236"/>
      <c r="C45" s="236"/>
      <c r="D45" s="236"/>
      <c r="E45" s="236"/>
      <c r="F45" s="236"/>
      <c r="G45" s="73"/>
      <c r="H45" s="73"/>
      <c r="I45" s="73"/>
      <c r="J45" s="73"/>
      <c r="K45" s="73"/>
      <c r="L45" s="73"/>
      <c r="M45" s="73"/>
      <c r="N45" s="73"/>
      <c r="O45" s="73"/>
      <c r="P45" s="73"/>
      <c r="Q45" s="73"/>
      <c r="R45" s="73"/>
      <c r="S45" s="73"/>
    </row>
    <row r="46" spans="1:19" x14ac:dyDescent="0.2">
      <c r="A46" s="236"/>
      <c r="B46" s="236"/>
      <c r="C46" s="236"/>
      <c r="D46" s="236"/>
      <c r="E46" s="236"/>
      <c r="F46" s="236"/>
      <c r="G46" s="73"/>
      <c r="H46" s="73"/>
      <c r="I46" s="73"/>
      <c r="J46" s="73"/>
      <c r="K46" s="73"/>
      <c r="L46" s="73"/>
      <c r="M46" s="73"/>
      <c r="N46" s="73"/>
      <c r="O46" s="73"/>
      <c r="P46" s="73"/>
      <c r="Q46" s="73"/>
      <c r="R46" s="73"/>
      <c r="S46" s="73"/>
    </row>
    <row r="47" spans="1:19" x14ac:dyDescent="0.2">
      <c r="A47" s="236"/>
      <c r="B47" s="236"/>
      <c r="C47" s="236"/>
      <c r="D47" s="236"/>
      <c r="E47" s="236"/>
      <c r="F47" s="236"/>
      <c r="G47" s="73"/>
      <c r="H47" s="73"/>
      <c r="I47" s="73"/>
      <c r="J47" s="73"/>
      <c r="K47" s="73"/>
      <c r="L47" s="73"/>
      <c r="M47" s="73"/>
      <c r="N47" s="73"/>
      <c r="O47" s="73"/>
      <c r="P47" s="73"/>
      <c r="Q47" s="73"/>
      <c r="R47" s="73"/>
      <c r="S47" s="73"/>
    </row>
    <row r="48" spans="1:19" x14ac:dyDescent="0.2">
      <c r="A48" s="236"/>
      <c r="B48" s="236"/>
      <c r="C48" s="236"/>
      <c r="D48" s="236"/>
      <c r="E48" s="236"/>
      <c r="F48" s="236"/>
      <c r="G48" s="73"/>
      <c r="H48" s="73"/>
      <c r="I48" s="73"/>
      <c r="J48" s="73"/>
      <c r="K48" s="73"/>
      <c r="L48" s="73"/>
      <c r="M48" s="73"/>
      <c r="N48" s="73"/>
      <c r="O48" s="73"/>
      <c r="P48" s="73"/>
      <c r="Q48" s="73"/>
      <c r="R48" s="73"/>
      <c r="S48" s="73"/>
    </row>
    <row r="49" spans="1:19" x14ac:dyDescent="0.2">
      <c r="A49" s="236"/>
      <c r="B49" s="236"/>
      <c r="C49" s="236"/>
      <c r="D49" s="236"/>
      <c r="E49" s="236"/>
      <c r="F49" s="236"/>
      <c r="G49" s="73"/>
      <c r="H49" s="73"/>
      <c r="I49" s="73"/>
      <c r="J49" s="73"/>
      <c r="K49" s="73"/>
      <c r="L49" s="73"/>
      <c r="M49" s="73"/>
      <c r="N49" s="73"/>
      <c r="O49" s="73"/>
      <c r="P49" s="73"/>
      <c r="Q49" s="73"/>
      <c r="R49" s="73"/>
      <c r="S49" s="73"/>
    </row>
    <row r="50" spans="1:19" x14ac:dyDescent="0.2">
      <c r="A50" s="236"/>
      <c r="B50" s="236"/>
      <c r="C50" s="236"/>
      <c r="D50" s="236"/>
      <c r="E50" s="236"/>
      <c r="F50" s="236"/>
      <c r="G50" s="73"/>
      <c r="H50" s="73"/>
      <c r="I50" s="73"/>
      <c r="J50" s="73"/>
      <c r="K50" s="73"/>
      <c r="L50" s="73"/>
      <c r="M50" s="73"/>
      <c r="N50" s="73"/>
      <c r="O50" s="73"/>
      <c r="P50" s="73"/>
      <c r="Q50" s="73"/>
      <c r="R50" s="73"/>
      <c r="S50" s="73"/>
    </row>
    <row r="51" spans="1:19" x14ac:dyDescent="0.2">
      <c r="A51" s="73"/>
      <c r="B51" s="73"/>
      <c r="C51" s="73"/>
      <c r="D51" s="73"/>
      <c r="E51" s="73"/>
      <c r="F51" s="73"/>
      <c r="G51" s="73"/>
      <c r="H51" s="73"/>
      <c r="I51" s="73"/>
      <c r="J51" s="73"/>
      <c r="K51" s="73"/>
      <c r="L51" s="73"/>
      <c r="M51" s="73"/>
      <c r="N51" s="73"/>
      <c r="O51" s="73"/>
      <c r="P51" s="73"/>
      <c r="Q51" s="73"/>
      <c r="R51" s="73"/>
      <c r="S51" s="73"/>
    </row>
    <row r="52" spans="1:19" x14ac:dyDescent="0.2">
      <c r="A52" s="73"/>
      <c r="B52" s="73"/>
      <c r="C52" s="73"/>
      <c r="D52" s="73"/>
      <c r="E52" s="73"/>
      <c r="F52" s="73"/>
      <c r="G52" s="73"/>
      <c r="H52" s="73"/>
      <c r="I52" s="73"/>
      <c r="J52" s="73"/>
      <c r="K52" s="73"/>
      <c r="L52" s="73"/>
      <c r="M52" s="73"/>
      <c r="N52" s="73"/>
      <c r="O52" s="73"/>
      <c r="P52" s="73"/>
      <c r="Q52" s="73"/>
      <c r="R52" s="73"/>
      <c r="S52" s="73"/>
    </row>
    <row r="53" spans="1:19" ht="15" x14ac:dyDescent="0.2">
      <c r="A53" s="73"/>
      <c r="B53" s="101"/>
      <c r="C53" s="101"/>
      <c r="D53" s="101"/>
      <c r="E53" s="101"/>
      <c r="F53" s="101"/>
      <c r="G53" s="73"/>
      <c r="H53" s="73"/>
      <c r="I53" s="73"/>
      <c r="J53" s="73"/>
      <c r="K53" s="73"/>
      <c r="L53" s="73"/>
      <c r="M53" s="73"/>
      <c r="N53" s="73"/>
      <c r="O53" s="73"/>
      <c r="P53" s="73"/>
      <c r="Q53" s="73"/>
      <c r="R53" s="73"/>
      <c r="S53" s="73"/>
    </row>
    <row r="54" spans="1:19" ht="15" x14ac:dyDescent="0.2">
      <c r="B54" s="72"/>
      <c r="C54" s="72"/>
      <c r="D54" s="72"/>
      <c r="E54" s="72"/>
      <c r="F54" s="72"/>
    </row>
  </sheetData>
  <mergeCells count="5">
    <mergeCell ref="A1:F2"/>
    <mergeCell ref="A5:A6"/>
    <mergeCell ref="C5:C6"/>
    <mergeCell ref="A37:F38"/>
    <mergeCell ref="A40:F50"/>
  </mergeCells>
  <conditionalFormatting sqref="A3">
    <cfRule type="expression" dxfId="4" priority="1">
      <formula>LEN(TRIM(#REF!))&gt;0</formula>
    </cfRule>
  </conditionalFormatting>
  <pageMargins left="0.74791666666666701" right="0.74791666666666701" top="0.98402777777777795" bottom="0.98402777777777795" header="0.51180555555555496" footer="0.51180555555555496"/>
  <pageSetup paperSize="9" firstPageNumber="0"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918E3-55B8-4CFF-B6F3-5318F841E048}">
  <dimension ref="A1:S54"/>
  <sheetViews>
    <sheetView zoomScaleNormal="100" workbookViewId="0">
      <selection activeCell="A24" sqref="A24:F25"/>
    </sheetView>
  </sheetViews>
  <sheetFormatPr baseColWidth="10" defaultColWidth="9.140625" defaultRowHeight="12.75" x14ac:dyDescent="0.2"/>
  <cols>
    <col min="1" max="1" width="15.5703125" customWidth="1"/>
    <col min="2" max="2" width="10.85546875" bestFit="1" customWidth="1"/>
    <col min="3" max="3" width="19" customWidth="1"/>
    <col min="4" max="4" width="19.140625" customWidth="1"/>
    <col min="5" max="5" width="33.85546875" customWidth="1"/>
    <col min="6" max="6" width="18.7109375" customWidth="1"/>
    <col min="7" max="7" width="16.28515625" customWidth="1"/>
    <col min="8" max="1025" width="14.42578125" customWidth="1"/>
  </cols>
  <sheetData>
    <row r="1" spans="1:19" ht="15.75" customHeight="1" x14ac:dyDescent="0.2">
      <c r="A1" s="232" t="s">
        <v>176</v>
      </c>
      <c r="B1" s="232"/>
      <c r="C1" s="232"/>
      <c r="D1" s="232"/>
      <c r="E1" s="232"/>
      <c r="F1" s="232"/>
      <c r="G1" s="73"/>
      <c r="H1" s="73"/>
      <c r="I1" s="73"/>
      <c r="J1" s="73"/>
      <c r="K1" s="73"/>
      <c r="L1" s="73"/>
      <c r="M1" s="73"/>
      <c r="N1" s="73"/>
      <c r="O1" s="73"/>
      <c r="P1" s="73"/>
      <c r="Q1" s="73"/>
      <c r="R1" s="73"/>
      <c r="S1" s="73"/>
    </row>
    <row r="2" spans="1:19" ht="15.75" customHeight="1" x14ac:dyDescent="0.2">
      <c r="A2" s="232"/>
      <c r="B2" s="232"/>
      <c r="C2" s="232"/>
      <c r="D2" s="232"/>
      <c r="E2" s="232"/>
      <c r="F2" s="232"/>
      <c r="G2" s="73"/>
      <c r="H2" s="73"/>
      <c r="I2" s="73"/>
      <c r="J2" s="73"/>
      <c r="K2" s="73"/>
      <c r="L2" s="73"/>
      <c r="M2" s="73"/>
      <c r="N2" s="73"/>
      <c r="O2" s="73"/>
      <c r="P2" s="73"/>
      <c r="Q2" s="73"/>
      <c r="R2" s="73"/>
      <c r="S2" s="73"/>
    </row>
    <row r="3" spans="1:19" ht="15.75" customHeight="1" x14ac:dyDescent="0.25">
      <c r="A3" s="140" t="s">
        <v>1</v>
      </c>
      <c r="B3" s="73"/>
      <c r="C3" s="140" t="s">
        <v>2</v>
      </c>
      <c r="D3" s="75" t="s">
        <v>3</v>
      </c>
      <c r="E3" s="140" t="s">
        <v>4</v>
      </c>
      <c r="F3" s="140" t="s">
        <v>5</v>
      </c>
      <c r="G3" s="73"/>
      <c r="H3" s="73"/>
      <c r="I3" s="73"/>
      <c r="J3" s="73"/>
      <c r="K3" s="73"/>
      <c r="L3" s="73"/>
      <c r="M3" s="73"/>
      <c r="N3" s="73"/>
      <c r="O3" s="73"/>
      <c r="P3" s="73"/>
      <c r="Q3" s="73"/>
      <c r="R3" s="73"/>
      <c r="S3" s="73"/>
    </row>
    <row r="4" spans="1:19" ht="15.75" customHeight="1" x14ac:dyDescent="0.25">
      <c r="A4" s="141">
        <v>43941</v>
      </c>
      <c r="B4" s="133"/>
      <c r="C4" s="134">
        <v>43947</v>
      </c>
      <c r="D4" s="78" t="s">
        <v>6</v>
      </c>
      <c r="E4" s="79">
        <f>D19+D20+D22</f>
        <v>0.13888888888888884</v>
      </c>
      <c r="F4" s="80">
        <f>'Uke16'!F4 + E4</f>
        <v>1.3368055555555554</v>
      </c>
      <c r="G4" s="73"/>
      <c r="H4" s="189"/>
      <c r="I4" s="142">
        <f>B11-B11</f>
        <v>0</v>
      </c>
      <c r="J4" s="102"/>
      <c r="K4" s="73"/>
      <c r="L4" s="73"/>
      <c r="M4" s="73"/>
      <c r="N4" s="73"/>
      <c r="O4" s="73"/>
      <c r="P4" s="73"/>
      <c r="Q4" s="73"/>
      <c r="R4" s="73"/>
      <c r="S4" s="73"/>
    </row>
    <row r="5" spans="1:19" ht="15" customHeight="1" x14ac:dyDescent="0.25">
      <c r="A5" s="239" t="s">
        <v>7</v>
      </c>
      <c r="B5" s="73"/>
      <c r="C5" s="239" t="s">
        <v>8</v>
      </c>
      <c r="D5" s="82" t="s">
        <v>9</v>
      </c>
      <c r="E5" s="79">
        <f>D15+D17+D21+D23+D24</f>
        <v>0.27083333333333337</v>
      </c>
      <c r="F5" s="80">
        <f>'Uke16'!F5 + E5</f>
        <v>1.8993055555555571</v>
      </c>
      <c r="G5" s="73"/>
      <c r="H5" s="189"/>
      <c r="I5" s="73"/>
      <c r="J5" s="73"/>
      <c r="K5" s="73"/>
      <c r="L5" s="73"/>
      <c r="M5" s="73"/>
      <c r="N5" s="73"/>
      <c r="O5" s="73"/>
      <c r="P5" s="73"/>
      <c r="Q5" s="73"/>
      <c r="R5" s="73"/>
      <c r="S5" s="73"/>
    </row>
    <row r="6" spans="1:19" ht="15.75" customHeight="1" x14ac:dyDescent="0.25">
      <c r="A6" s="239"/>
      <c r="B6" s="73"/>
      <c r="C6" s="239"/>
      <c r="D6" s="83" t="s">
        <v>10</v>
      </c>
      <c r="E6" s="80">
        <f>D11+D12+D14+D18</f>
        <v>0.12152777777777757</v>
      </c>
      <c r="F6" s="80">
        <f>'Uke16'!F6 + E6</f>
        <v>1.7430555555555549</v>
      </c>
      <c r="G6" s="73"/>
      <c r="H6" s="189"/>
      <c r="I6" s="189"/>
      <c r="J6" s="102"/>
      <c r="K6" s="73"/>
      <c r="L6" s="73"/>
      <c r="M6" s="73"/>
      <c r="N6" s="73"/>
      <c r="O6" s="73"/>
      <c r="P6" s="73"/>
      <c r="Q6" s="73"/>
      <c r="R6" s="73"/>
      <c r="S6" s="73"/>
    </row>
    <row r="7" spans="1:19" ht="15.75" x14ac:dyDescent="0.25">
      <c r="A7" s="135">
        <f>SUM(E4:E7)</f>
        <v>0.60416666666666652</v>
      </c>
      <c r="B7" s="133"/>
      <c r="C7" s="135">
        <f>SUM(F4:F7)</f>
        <v>6.6354166666666687</v>
      </c>
      <c r="D7" s="85" t="s">
        <v>46</v>
      </c>
      <c r="E7" s="86">
        <f>D13+D16+D25</f>
        <v>7.2916666666666685E-2</v>
      </c>
      <c r="F7" s="84">
        <f>'Uke16'!F7 + E7</f>
        <v>1.6562500000000011</v>
      </c>
      <c r="G7" s="73"/>
      <c r="H7" s="189"/>
      <c r="I7" s="189"/>
      <c r="J7" s="102"/>
      <c r="K7" s="73"/>
      <c r="L7" s="73"/>
      <c r="M7" s="73"/>
      <c r="N7" s="73"/>
      <c r="O7" s="73"/>
      <c r="P7" s="73"/>
      <c r="Q7" s="73"/>
      <c r="R7" s="73"/>
      <c r="S7" s="73"/>
    </row>
    <row r="8" spans="1:19" x14ac:dyDescent="0.2">
      <c r="A8" s="73"/>
      <c r="B8" s="73"/>
      <c r="C8" s="73"/>
      <c r="D8" s="73"/>
      <c r="E8" s="73"/>
      <c r="F8" s="73"/>
      <c r="G8" s="73"/>
      <c r="H8" s="73"/>
      <c r="I8" s="73"/>
      <c r="J8" s="73"/>
      <c r="K8" s="73"/>
      <c r="L8" s="73"/>
      <c r="M8" s="73"/>
      <c r="N8" s="73"/>
      <c r="O8" s="73"/>
      <c r="P8" s="73"/>
      <c r="Q8" s="73"/>
      <c r="R8" s="73"/>
      <c r="S8" s="73"/>
    </row>
    <row r="9" spans="1:19" x14ac:dyDescent="0.2">
      <c r="A9" s="73"/>
      <c r="B9" s="73"/>
      <c r="C9" s="73"/>
      <c r="D9" s="73"/>
      <c r="E9" s="73"/>
      <c r="F9" s="73"/>
      <c r="G9" s="73"/>
      <c r="H9" s="73"/>
      <c r="I9" s="73"/>
      <c r="J9" s="73"/>
      <c r="K9" s="73"/>
      <c r="L9" s="73"/>
      <c r="M9" s="73"/>
      <c r="N9" s="73"/>
      <c r="O9" s="73"/>
      <c r="P9" s="73"/>
      <c r="Q9" s="73"/>
      <c r="R9" s="73"/>
      <c r="S9" s="73"/>
    </row>
    <row r="10" spans="1:19" ht="15.75" x14ac:dyDescent="0.25">
      <c r="A10" s="140" t="s">
        <v>12</v>
      </c>
      <c r="B10" s="140" t="s">
        <v>57</v>
      </c>
      <c r="C10" s="140" t="s">
        <v>58</v>
      </c>
      <c r="D10" s="140" t="s">
        <v>59</v>
      </c>
      <c r="E10" s="140" t="s">
        <v>47</v>
      </c>
      <c r="F10" s="140" t="s">
        <v>39</v>
      </c>
      <c r="G10" s="73"/>
      <c r="H10" s="73"/>
      <c r="I10" s="73"/>
      <c r="J10" s="73"/>
      <c r="K10" s="73"/>
      <c r="L10" s="73"/>
      <c r="M10" s="73"/>
      <c r="N10" s="73"/>
      <c r="O10" s="73"/>
      <c r="P10" s="73"/>
      <c r="Q10" s="73"/>
      <c r="R10" s="73"/>
      <c r="S10" s="73"/>
    </row>
    <row r="11" spans="1:19" ht="31.5" x14ac:dyDescent="0.25">
      <c r="A11" s="145">
        <v>43941</v>
      </c>
      <c r="B11" s="146">
        <v>0.58333333333333337</v>
      </c>
      <c r="C11" s="146">
        <v>0.625</v>
      </c>
      <c r="D11" s="146">
        <f t="shared" ref="D11" si="0">C11-B11</f>
        <v>4.166666666666663E-2</v>
      </c>
      <c r="E11" s="208" t="s">
        <v>177</v>
      </c>
      <c r="F11" s="215"/>
      <c r="G11" s="73"/>
      <c r="H11" s="73"/>
      <c r="I11" s="73"/>
      <c r="J11" s="73"/>
      <c r="K11" s="73"/>
      <c r="L11" s="73"/>
      <c r="M11" s="73"/>
      <c r="N11" s="73"/>
      <c r="O11" s="73"/>
      <c r="P11" s="73"/>
      <c r="Q11" s="73"/>
      <c r="R11" s="73"/>
      <c r="S11" s="73"/>
    </row>
    <row r="12" spans="1:19" ht="15.75" x14ac:dyDescent="0.25">
      <c r="A12" s="145">
        <v>43941</v>
      </c>
      <c r="B12" s="146">
        <v>0.625</v>
      </c>
      <c r="C12" s="146">
        <v>0.65625</v>
      </c>
      <c r="D12" s="146">
        <f t="shared" ref="D12" si="1">C12-B12</f>
        <v>3.125E-2</v>
      </c>
      <c r="E12" s="208" t="s">
        <v>178</v>
      </c>
      <c r="F12" s="207"/>
      <c r="G12" s="73"/>
      <c r="H12" s="73"/>
      <c r="I12" s="73"/>
      <c r="J12" s="73"/>
      <c r="K12" s="73"/>
      <c r="L12" s="73"/>
      <c r="M12" s="73"/>
      <c r="N12" s="73"/>
      <c r="O12" s="73"/>
      <c r="P12" s="73"/>
      <c r="Q12" s="73"/>
      <c r="R12" s="73"/>
      <c r="S12" s="73"/>
    </row>
    <row r="13" spans="1:19" ht="31.5" x14ac:dyDescent="0.25">
      <c r="A13" s="195">
        <v>43942</v>
      </c>
      <c r="B13" s="196">
        <v>0.85416666666666663</v>
      </c>
      <c r="C13" s="196">
        <v>0.875</v>
      </c>
      <c r="D13" s="196">
        <f>C13-B13</f>
        <v>2.083333333333337E-2</v>
      </c>
      <c r="E13" s="212" t="s">
        <v>179</v>
      </c>
      <c r="F13" s="210"/>
      <c r="G13" s="73"/>
      <c r="H13" s="73"/>
      <c r="I13" s="73"/>
      <c r="J13" s="73"/>
      <c r="K13" s="73"/>
      <c r="L13" s="73"/>
      <c r="M13" s="73"/>
      <c r="N13" s="73"/>
      <c r="O13" s="73"/>
      <c r="P13" s="73"/>
      <c r="Q13" s="73"/>
      <c r="R13" s="73"/>
      <c r="S13" s="73"/>
    </row>
    <row r="14" spans="1:19" ht="15.75" x14ac:dyDescent="0.25">
      <c r="A14" s="145">
        <v>43944</v>
      </c>
      <c r="B14" s="146">
        <v>0.58333333333333337</v>
      </c>
      <c r="C14" s="146">
        <v>0.60416666666666663</v>
      </c>
      <c r="D14" s="146">
        <f t="shared" ref="D14" si="2">C14-B14</f>
        <v>2.0833333333333259E-2</v>
      </c>
      <c r="E14" s="208" t="s">
        <v>48</v>
      </c>
      <c r="F14" s="213"/>
      <c r="G14" s="73"/>
      <c r="H14" s="73"/>
      <c r="I14" s="73"/>
      <c r="J14" s="73"/>
      <c r="K14" s="73"/>
      <c r="L14" s="73"/>
      <c r="M14" s="73"/>
      <c r="N14" s="73"/>
      <c r="O14" s="73"/>
      <c r="P14" s="73"/>
      <c r="Q14" s="73"/>
      <c r="R14" s="73"/>
      <c r="S14" s="73"/>
    </row>
    <row r="15" spans="1:19" ht="15.75" x14ac:dyDescent="0.25">
      <c r="A15" s="193">
        <v>43945</v>
      </c>
      <c r="B15" s="194">
        <v>0.3125</v>
      </c>
      <c r="C15" s="194">
        <v>0.375</v>
      </c>
      <c r="D15" s="194">
        <f>C15-B15</f>
        <v>6.25E-2</v>
      </c>
      <c r="E15" s="202" t="s">
        <v>180</v>
      </c>
      <c r="F15" s="210"/>
      <c r="G15" s="73"/>
      <c r="H15" s="73"/>
      <c r="I15" s="73"/>
      <c r="J15" s="73"/>
      <c r="K15" s="73"/>
      <c r="L15" s="73"/>
      <c r="M15" s="73"/>
      <c r="N15" s="73"/>
      <c r="O15" s="73"/>
      <c r="P15" s="73"/>
      <c r="Q15" s="73"/>
      <c r="R15" s="73"/>
      <c r="S15" s="73"/>
    </row>
    <row r="16" spans="1:19" ht="15.75" customHeight="1" x14ac:dyDescent="0.25">
      <c r="A16" s="195">
        <v>43945</v>
      </c>
      <c r="B16" s="196">
        <v>0.3888888888888889</v>
      </c>
      <c r="C16" s="196">
        <v>0.39930555555555558</v>
      </c>
      <c r="D16" s="196">
        <f>C16-B16</f>
        <v>1.0416666666666685E-2</v>
      </c>
      <c r="E16" s="212" t="s">
        <v>130</v>
      </c>
      <c r="F16" s="213"/>
      <c r="G16" s="73"/>
      <c r="H16" s="73"/>
      <c r="I16" s="73"/>
      <c r="J16" s="73"/>
      <c r="K16" s="73"/>
      <c r="L16" s="73"/>
      <c r="M16" s="73"/>
      <c r="N16" s="73"/>
      <c r="O16" s="73"/>
      <c r="P16" s="73"/>
      <c r="Q16" s="73"/>
      <c r="R16" s="73"/>
      <c r="S16" s="73"/>
    </row>
    <row r="17" spans="1:19" ht="15.75" x14ac:dyDescent="0.25">
      <c r="A17" s="193">
        <v>43945</v>
      </c>
      <c r="B17" s="194">
        <v>0.72916666666666663</v>
      </c>
      <c r="C17" s="194">
        <v>0.77777777777777779</v>
      </c>
      <c r="D17" s="194">
        <f>C17-B17</f>
        <v>4.861111111111116E-2</v>
      </c>
      <c r="E17" s="202" t="s">
        <v>180</v>
      </c>
      <c r="F17" s="213"/>
      <c r="G17" s="73"/>
      <c r="H17" s="73"/>
      <c r="I17" s="73"/>
      <c r="J17" s="73"/>
      <c r="K17" s="73"/>
      <c r="L17" s="73"/>
      <c r="M17" s="73"/>
      <c r="N17" s="73"/>
      <c r="O17" s="73"/>
      <c r="P17" s="73"/>
      <c r="Q17" s="73"/>
      <c r="R17" s="73"/>
      <c r="S17" s="73"/>
    </row>
    <row r="18" spans="1:19" ht="15.75" x14ac:dyDescent="0.25">
      <c r="A18" s="145">
        <v>43946</v>
      </c>
      <c r="B18" s="146">
        <v>0.58333333333333337</v>
      </c>
      <c r="C18" s="146">
        <v>0.61111111111111105</v>
      </c>
      <c r="D18" s="146">
        <f t="shared" ref="D18" si="3">C18-B18</f>
        <v>2.7777777777777679E-2</v>
      </c>
      <c r="E18" s="208" t="s">
        <v>48</v>
      </c>
      <c r="F18" s="210"/>
      <c r="G18" s="73"/>
      <c r="H18" s="73"/>
      <c r="I18" s="73"/>
      <c r="J18" s="73"/>
      <c r="K18" s="73"/>
      <c r="L18" s="73"/>
      <c r="M18" s="73"/>
      <c r="N18" s="73"/>
      <c r="O18" s="73"/>
      <c r="P18" s="73"/>
      <c r="Q18" s="73"/>
      <c r="R18" s="73"/>
      <c r="S18" s="73"/>
    </row>
    <row r="19" spans="1:19" ht="31.5" x14ac:dyDescent="0.25">
      <c r="A19" s="44">
        <v>43946</v>
      </c>
      <c r="B19" s="159">
        <v>0.75</v>
      </c>
      <c r="C19" s="159">
        <v>0.8125</v>
      </c>
      <c r="D19" s="159">
        <f t="shared" ref="D19:D25" si="4">C19-B19</f>
        <v>6.25E-2</v>
      </c>
      <c r="E19" s="174" t="s">
        <v>181</v>
      </c>
      <c r="F19" s="210"/>
      <c r="G19" s="73"/>
      <c r="H19" s="73"/>
      <c r="I19" s="73"/>
      <c r="J19" s="73"/>
      <c r="K19" s="73"/>
      <c r="L19" s="73"/>
      <c r="M19" s="73"/>
      <c r="N19" s="73"/>
      <c r="O19" s="73"/>
      <c r="P19" s="73"/>
      <c r="Q19" s="73"/>
      <c r="R19" s="73"/>
      <c r="S19" s="73"/>
    </row>
    <row r="20" spans="1:19" ht="47.25" x14ac:dyDescent="0.25">
      <c r="A20" s="44">
        <v>43946</v>
      </c>
      <c r="B20" s="159">
        <v>0.83333333333333337</v>
      </c>
      <c r="C20" s="159">
        <v>0.875</v>
      </c>
      <c r="D20" s="159">
        <f t="shared" si="4"/>
        <v>4.166666666666663E-2</v>
      </c>
      <c r="E20" s="174" t="s">
        <v>182</v>
      </c>
      <c r="F20" s="211"/>
      <c r="G20" s="73"/>
      <c r="H20" s="73"/>
      <c r="I20" s="73"/>
      <c r="J20" s="73"/>
      <c r="K20" s="73"/>
      <c r="L20" s="73"/>
      <c r="M20" s="73"/>
      <c r="N20" s="73"/>
      <c r="O20" s="73"/>
      <c r="P20" s="73"/>
      <c r="Q20" s="73"/>
      <c r="R20" s="73"/>
      <c r="S20" s="73"/>
    </row>
    <row r="21" spans="1:19" ht="47.25" x14ac:dyDescent="0.25">
      <c r="A21" s="193">
        <v>43946</v>
      </c>
      <c r="B21" s="194">
        <v>0.875</v>
      </c>
      <c r="C21" s="194">
        <v>0.90277777777777779</v>
      </c>
      <c r="D21" s="194">
        <f t="shared" si="4"/>
        <v>2.777777777777779E-2</v>
      </c>
      <c r="E21" s="202" t="s">
        <v>183</v>
      </c>
      <c r="F21" s="211"/>
      <c r="G21" s="73"/>
      <c r="H21" s="73"/>
      <c r="I21" s="73"/>
      <c r="J21" s="73"/>
      <c r="K21" s="73"/>
      <c r="L21" s="73"/>
      <c r="M21" s="73"/>
      <c r="N21" s="73"/>
      <c r="O21" s="73"/>
      <c r="P21" s="73"/>
      <c r="Q21" s="73"/>
      <c r="R21" s="73"/>
      <c r="S21" s="73"/>
    </row>
    <row r="22" spans="1:19" ht="56.25" customHeight="1" x14ac:dyDescent="0.25">
      <c r="A22" s="44">
        <v>43947</v>
      </c>
      <c r="B22" s="159">
        <v>0.65277777777777779</v>
      </c>
      <c r="C22" s="159">
        <v>0.6875</v>
      </c>
      <c r="D22" s="159">
        <f t="shared" si="4"/>
        <v>3.472222222222221E-2</v>
      </c>
      <c r="E22" s="174" t="s">
        <v>184</v>
      </c>
      <c r="F22" s="211"/>
      <c r="G22" s="73"/>
      <c r="H22" s="73"/>
      <c r="I22" s="73"/>
      <c r="J22" s="73"/>
      <c r="K22" s="73"/>
      <c r="L22" s="73"/>
      <c r="M22" s="73"/>
      <c r="N22" s="73"/>
      <c r="O22" s="73"/>
      <c r="P22" s="73"/>
      <c r="Q22" s="73"/>
      <c r="R22" s="73"/>
      <c r="S22" s="73"/>
    </row>
    <row r="23" spans="1:19" ht="47.25" customHeight="1" x14ac:dyDescent="0.25">
      <c r="A23" s="193">
        <v>43947</v>
      </c>
      <c r="B23" s="194">
        <v>0.6875</v>
      </c>
      <c r="C23" s="194">
        <v>0.71527777777777779</v>
      </c>
      <c r="D23" s="194">
        <f t="shared" si="4"/>
        <v>2.777777777777779E-2</v>
      </c>
      <c r="E23" s="202" t="s">
        <v>185</v>
      </c>
      <c r="F23" s="211" t="s">
        <v>148</v>
      </c>
      <c r="G23" s="73"/>
      <c r="H23" s="73"/>
      <c r="I23" s="73"/>
      <c r="J23" s="73"/>
      <c r="K23" s="73"/>
      <c r="L23" s="73"/>
      <c r="M23" s="73"/>
      <c r="N23" s="73"/>
      <c r="O23" s="73"/>
      <c r="P23" s="73"/>
      <c r="Q23" s="73"/>
      <c r="R23" s="73"/>
      <c r="S23" s="73"/>
    </row>
    <row r="24" spans="1:19" ht="31.5" x14ac:dyDescent="0.25">
      <c r="A24" s="193">
        <v>43947</v>
      </c>
      <c r="B24" s="194">
        <v>0.75</v>
      </c>
      <c r="C24" s="194">
        <v>0.85416666666666663</v>
      </c>
      <c r="D24" s="194">
        <f t="shared" si="4"/>
        <v>0.10416666666666663</v>
      </c>
      <c r="E24" s="202" t="s">
        <v>186</v>
      </c>
      <c r="F24" s="211" t="s">
        <v>187</v>
      </c>
      <c r="G24" s="73"/>
      <c r="H24" s="73"/>
      <c r="I24" s="73"/>
      <c r="J24" s="73"/>
      <c r="K24" s="73"/>
      <c r="L24" s="73"/>
      <c r="M24" s="73"/>
      <c r="N24" s="73"/>
      <c r="O24" s="73"/>
      <c r="P24" s="73"/>
      <c r="Q24" s="73"/>
      <c r="R24" s="73"/>
      <c r="S24" s="73"/>
    </row>
    <row r="25" spans="1:19" ht="31.5" x14ac:dyDescent="0.25">
      <c r="A25" s="195">
        <v>43947</v>
      </c>
      <c r="B25" s="196">
        <v>0.875</v>
      </c>
      <c r="C25" s="196">
        <v>0.91666666666666663</v>
      </c>
      <c r="D25" s="196">
        <f t="shared" si="4"/>
        <v>4.166666666666663E-2</v>
      </c>
      <c r="E25" s="212" t="s">
        <v>188</v>
      </c>
      <c r="F25" s="214"/>
      <c r="G25" s="73"/>
      <c r="H25" s="73"/>
      <c r="I25" s="73"/>
      <c r="J25" s="73"/>
      <c r="K25" s="73"/>
      <c r="L25" s="73"/>
      <c r="M25" s="73"/>
      <c r="N25" s="73"/>
      <c r="O25" s="73"/>
      <c r="P25" s="73"/>
      <c r="Q25" s="73"/>
      <c r="R25" s="73"/>
      <c r="S25" s="73"/>
    </row>
    <row r="26" spans="1:19" ht="15.75" x14ac:dyDescent="0.25">
      <c r="A26" s="187"/>
      <c r="B26" s="188"/>
      <c r="C26" s="188"/>
      <c r="D26" s="188"/>
      <c r="E26" s="186"/>
      <c r="F26" s="204"/>
      <c r="G26" s="81"/>
      <c r="H26" s="73"/>
      <c r="I26" s="73"/>
      <c r="J26" s="73"/>
      <c r="K26" s="73"/>
      <c r="L26" s="73"/>
      <c r="M26" s="73"/>
      <c r="N26" s="73"/>
      <c r="O26" s="73"/>
      <c r="P26" s="73"/>
      <c r="Q26" s="73"/>
      <c r="R26" s="73"/>
      <c r="S26" s="73"/>
    </row>
    <row r="27" spans="1:19" ht="15.75" x14ac:dyDescent="0.25">
      <c r="A27" s="187"/>
      <c r="B27" s="188"/>
      <c r="C27" s="188"/>
      <c r="D27" s="188"/>
      <c r="E27" s="186"/>
      <c r="F27" s="204"/>
      <c r="G27" s="81"/>
      <c r="H27" s="73"/>
      <c r="I27" s="73"/>
      <c r="J27" s="73"/>
      <c r="K27" s="73"/>
      <c r="L27" s="73"/>
      <c r="M27" s="73"/>
      <c r="N27" s="73"/>
      <c r="O27" s="73"/>
      <c r="P27" s="73"/>
      <c r="Q27" s="73"/>
      <c r="R27" s="73"/>
      <c r="S27" s="73"/>
    </row>
    <row r="28" spans="1:19" ht="15.75" x14ac:dyDescent="0.25">
      <c r="A28" s="187"/>
      <c r="B28" s="188"/>
      <c r="C28" s="188"/>
      <c r="D28" s="188"/>
      <c r="E28" s="186"/>
      <c r="F28" s="204"/>
      <c r="G28" s="81"/>
      <c r="H28" s="73"/>
      <c r="I28" s="73"/>
      <c r="J28" s="73"/>
      <c r="K28" s="73"/>
      <c r="L28" s="73"/>
      <c r="M28" s="73"/>
      <c r="N28" s="73"/>
      <c r="O28" s="73"/>
      <c r="P28" s="73"/>
      <c r="Q28" s="73"/>
      <c r="R28" s="73"/>
      <c r="S28" s="73"/>
    </row>
    <row r="29" spans="1:19" ht="15.75" x14ac:dyDescent="0.25">
      <c r="A29" s="187"/>
      <c r="B29" s="188"/>
      <c r="C29" s="188"/>
      <c r="D29" s="188"/>
      <c r="E29" s="186"/>
      <c r="F29" s="204"/>
      <c r="G29" s="81"/>
      <c r="H29" s="73"/>
      <c r="I29" s="73"/>
      <c r="J29" s="73"/>
      <c r="K29" s="73"/>
      <c r="L29" s="73"/>
      <c r="M29" s="73"/>
      <c r="N29" s="73"/>
      <c r="O29" s="73"/>
      <c r="P29" s="73"/>
      <c r="Q29" s="73"/>
      <c r="R29" s="73"/>
      <c r="S29" s="73"/>
    </row>
    <row r="30" spans="1:19" ht="15.75" x14ac:dyDescent="0.25">
      <c r="A30" s="187"/>
      <c r="B30" s="188"/>
      <c r="C30" s="188"/>
      <c r="D30" s="188"/>
      <c r="E30" s="186"/>
      <c r="F30" s="204"/>
      <c r="G30" s="81"/>
      <c r="H30" s="73"/>
      <c r="I30" s="73"/>
      <c r="J30" s="73"/>
      <c r="K30" s="73"/>
      <c r="L30" s="73"/>
      <c r="M30" s="73"/>
      <c r="N30" s="73"/>
      <c r="O30" s="73"/>
      <c r="P30" s="73"/>
      <c r="Q30" s="73"/>
      <c r="R30" s="73"/>
      <c r="S30" s="73"/>
    </row>
    <row r="31" spans="1:19" ht="15.75" x14ac:dyDescent="0.25">
      <c r="A31" s="187"/>
      <c r="B31" s="188"/>
      <c r="C31" s="188"/>
      <c r="D31" s="188"/>
      <c r="E31" s="186"/>
      <c r="F31" s="204"/>
      <c r="G31" s="81"/>
      <c r="H31" s="73"/>
      <c r="I31" s="73"/>
      <c r="J31" s="73"/>
      <c r="K31" s="73"/>
      <c r="L31" s="73"/>
      <c r="M31" s="73"/>
      <c r="N31" s="73"/>
      <c r="O31" s="73"/>
      <c r="P31" s="73"/>
      <c r="Q31" s="73"/>
      <c r="R31" s="73"/>
      <c r="S31" s="73"/>
    </row>
    <row r="32" spans="1:19" ht="15.75" x14ac:dyDescent="0.25">
      <c r="A32" s="187"/>
      <c r="B32" s="188"/>
      <c r="C32" s="188"/>
      <c r="D32" s="188"/>
      <c r="E32" s="186"/>
      <c r="F32" s="204"/>
      <c r="G32" s="81"/>
      <c r="H32" s="73"/>
      <c r="I32" s="73"/>
      <c r="J32" s="73"/>
      <c r="K32" s="73"/>
      <c r="L32" s="73"/>
      <c r="M32" s="73"/>
      <c r="N32" s="73"/>
      <c r="O32" s="73"/>
      <c r="P32" s="73"/>
      <c r="Q32" s="73"/>
      <c r="R32" s="73"/>
      <c r="S32" s="73"/>
    </row>
    <row r="33" spans="1:19" ht="15.75" x14ac:dyDescent="0.25">
      <c r="A33" s="187"/>
      <c r="B33" s="188"/>
      <c r="C33" s="188"/>
      <c r="D33" s="188"/>
      <c r="E33" s="186"/>
      <c r="F33" s="204"/>
      <c r="G33" s="81"/>
      <c r="H33" s="73"/>
      <c r="I33" s="73"/>
      <c r="J33" s="73"/>
      <c r="K33" s="73"/>
      <c r="L33" s="73"/>
      <c r="M33" s="73"/>
      <c r="N33" s="73"/>
      <c r="O33" s="73"/>
      <c r="P33" s="73"/>
      <c r="Q33" s="73"/>
      <c r="R33" s="73"/>
      <c r="S33" s="73"/>
    </row>
    <row r="34" spans="1:19" x14ac:dyDescent="0.2">
      <c r="A34" s="81"/>
      <c r="B34" s="81"/>
      <c r="C34" s="81"/>
      <c r="D34" s="81"/>
      <c r="E34" s="81"/>
      <c r="F34" s="81"/>
      <c r="G34" s="81"/>
      <c r="H34" s="73"/>
      <c r="I34" s="73"/>
      <c r="J34" s="73"/>
      <c r="K34" s="73"/>
      <c r="L34" s="73"/>
      <c r="M34" s="73"/>
      <c r="N34" s="73"/>
      <c r="O34" s="73"/>
      <c r="P34" s="73"/>
      <c r="Q34" s="73"/>
      <c r="R34" s="73"/>
      <c r="S34" s="73"/>
    </row>
    <row r="35" spans="1:19" x14ac:dyDescent="0.2">
      <c r="A35" s="81"/>
      <c r="B35" s="81"/>
      <c r="C35" s="81"/>
      <c r="D35" s="81"/>
      <c r="E35" s="81"/>
      <c r="F35" s="81"/>
      <c r="G35" s="81"/>
      <c r="H35" s="73"/>
      <c r="I35" s="73"/>
      <c r="J35" s="73"/>
      <c r="K35" s="73"/>
      <c r="L35" s="73"/>
      <c r="M35" s="73"/>
      <c r="N35" s="73"/>
      <c r="O35" s="73"/>
      <c r="P35" s="73"/>
      <c r="Q35" s="73"/>
      <c r="R35" s="73"/>
      <c r="S35" s="73"/>
    </row>
    <row r="36" spans="1:19" x14ac:dyDescent="0.2">
      <c r="A36" s="81"/>
      <c r="B36" s="81"/>
      <c r="C36" s="81"/>
      <c r="D36" s="81"/>
      <c r="E36" s="81"/>
      <c r="F36" s="81"/>
      <c r="G36" s="81"/>
      <c r="H36" s="73"/>
      <c r="I36" s="73"/>
      <c r="J36" s="73"/>
      <c r="K36" s="73"/>
      <c r="L36" s="73"/>
      <c r="M36" s="73"/>
      <c r="N36" s="73"/>
      <c r="O36" s="73"/>
      <c r="P36" s="73"/>
      <c r="Q36" s="73"/>
      <c r="R36" s="73"/>
      <c r="S36" s="73"/>
    </row>
    <row r="37" spans="1:19" x14ac:dyDescent="0.2">
      <c r="A37" s="238" t="s">
        <v>23</v>
      </c>
      <c r="B37" s="238"/>
      <c r="C37" s="238"/>
      <c r="D37" s="238"/>
      <c r="E37" s="238"/>
      <c r="F37" s="238"/>
      <c r="G37" s="73"/>
      <c r="H37" s="73"/>
      <c r="I37" s="73"/>
      <c r="J37" s="73"/>
      <c r="K37" s="73"/>
      <c r="L37" s="73"/>
      <c r="M37" s="73"/>
      <c r="N37" s="73"/>
      <c r="O37" s="73"/>
      <c r="P37" s="73"/>
      <c r="Q37" s="73"/>
      <c r="R37" s="73"/>
      <c r="S37" s="73"/>
    </row>
    <row r="38" spans="1:19" x14ac:dyDescent="0.2">
      <c r="A38" s="240"/>
      <c r="B38" s="240"/>
      <c r="C38" s="240"/>
      <c r="D38" s="240"/>
      <c r="E38" s="240"/>
      <c r="F38" s="240"/>
      <c r="G38" s="73"/>
      <c r="H38" s="73"/>
      <c r="I38" s="73"/>
      <c r="J38" s="73"/>
      <c r="K38" s="73"/>
      <c r="L38" s="73"/>
      <c r="M38" s="73"/>
      <c r="N38" s="73"/>
      <c r="O38" s="73"/>
      <c r="P38" s="73"/>
      <c r="Q38" s="73"/>
      <c r="R38" s="73"/>
      <c r="S38" s="73"/>
    </row>
    <row r="39" spans="1:19" x14ac:dyDescent="0.2">
      <c r="A39" s="73"/>
      <c r="B39" s="73"/>
      <c r="C39" s="73"/>
      <c r="D39" s="73"/>
      <c r="E39" s="73"/>
      <c r="F39" s="73"/>
      <c r="G39" s="73"/>
      <c r="H39" s="73"/>
      <c r="I39" s="73"/>
      <c r="J39" s="73"/>
      <c r="K39" s="73"/>
      <c r="L39" s="73"/>
      <c r="M39" s="73"/>
      <c r="N39" s="73"/>
      <c r="O39" s="73"/>
      <c r="P39" s="73"/>
      <c r="Q39" s="73"/>
      <c r="R39" s="73"/>
      <c r="S39" s="73"/>
    </row>
    <row r="40" spans="1:19" ht="374.25" customHeight="1" x14ac:dyDescent="0.2">
      <c r="A40" s="236" t="s">
        <v>189</v>
      </c>
      <c r="B40" s="236"/>
      <c r="C40" s="236"/>
      <c r="D40" s="236"/>
      <c r="E40" s="236"/>
      <c r="F40" s="236"/>
      <c r="G40" s="73"/>
      <c r="H40" s="73"/>
      <c r="I40" s="73"/>
      <c r="J40" s="73"/>
      <c r="K40" s="73"/>
      <c r="L40" s="73"/>
      <c r="M40" s="73"/>
      <c r="N40" s="73"/>
      <c r="O40" s="73"/>
      <c r="P40" s="73"/>
      <c r="Q40" s="73"/>
      <c r="R40" s="73"/>
      <c r="S40" s="73"/>
    </row>
    <row r="41" spans="1:19" x14ac:dyDescent="0.2">
      <c r="A41" s="236"/>
      <c r="B41" s="236"/>
      <c r="C41" s="236"/>
      <c r="D41" s="236"/>
      <c r="E41" s="236"/>
      <c r="F41" s="236"/>
      <c r="G41" s="73"/>
      <c r="H41" s="73"/>
      <c r="I41" s="73"/>
      <c r="J41" s="73"/>
      <c r="K41" s="73"/>
      <c r="L41" s="73"/>
      <c r="M41" s="73"/>
      <c r="N41" s="73"/>
      <c r="O41" s="73"/>
      <c r="P41" s="73"/>
      <c r="Q41" s="73"/>
      <c r="R41" s="73"/>
      <c r="S41" s="73"/>
    </row>
    <row r="42" spans="1:19" x14ac:dyDescent="0.2">
      <c r="A42" s="236"/>
      <c r="B42" s="236"/>
      <c r="C42" s="236"/>
      <c r="D42" s="236"/>
      <c r="E42" s="236"/>
      <c r="F42" s="236"/>
      <c r="G42" s="73"/>
      <c r="H42" s="73"/>
      <c r="I42" s="73"/>
      <c r="J42" s="73"/>
      <c r="K42" s="73"/>
      <c r="L42" s="73"/>
      <c r="M42" s="73"/>
      <c r="N42" s="73"/>
      <c r="O42" s="73"/>
      <c r="P42" s="73"/>
      <c r="Q42" s="73"/>
      <c r="R42" s="73"/>
      <c r="S42" s="73"/>
    </row>
    <row r="43" spans="1:19" x14ac:dyDescent="0.2">
      <c r="A43" s="236"/>
      <c r="B43" s="236"/>
      <c r="C43" s="236"/>
      <c r="D43" s="236"/>
      <c r="E43" s="236"/>
      <c r="F43" s="236"/>
      <c r="G43" s="73"/>
      <c r="H43" s="73"/>
      <c r="I43" s="73"/>
      <c r="J43" s="73"/>
      <c r="K43" s="73"/>
      <c r="L43" s="73"/>
      <c r="M43" s="73"/>
      <c r="N43" s="73"/>
      <c r="O43" s="73"/>
      <c r="P43" s="73"/>
      <c r="Q43" s="73"/>
      <c r="R43" s="73"/>
      <c r="S43" s="73"/>
    </row>
    <row r="44" spans="1:19" x14ac:dyDescent="0.2">
      <c r="A44" s="236"/>
      <c r="B44" s="236"/>
      <c r="C44" s="236"/>
      <c r="D44" s="236"/>
      <c r="E44" s="236"/>
      <c r="F44" s="236"/>
      <c r="G44" s="73"/>
      <c r="H44" s="73"/>
      <c r="I44" s="73"/>
      <c r="J44" s="73"/>
      <c r="K44" s="73"/>
      <c r="L44" s="73"/>
      <c r="M44" s="73"/>
      <c r="N44" s="73"/>
      <c r="O44" s="73"/>
      <c r="P44" s="73"/>
      <c r="Q44" s="73"/>
      <c r="R44" s="73"/>
      <c r="S44" s="73"/>
    </row>
    <row r="45" spans="1:19" x14ac:dyDescent="0.2">
      <c r="A45" s="236"/>
      <c r="B45" s="236"/>
      <c r="C45" s="236"/>
      <c r="D45" s="236"/>
      <c r="E45" s="236"/>
      <c r="F45" s="236"/>
      <c r="G45" s="73"/>
      <c r="H45" s="73"/>
      <c r="I45" s="73"/>
      <c r="J45" s="73"/>
      <c r="K45" s="73"/>
      <c r="L45" s="73"/>
      <c r="M45" s="73"/>
      <c r="N45" s="73"/>
      <c r="O45" s="73"/>
      <c r="P45" s="73"/>
      <c r="Q45" s="73"/>
      <c r="R45" s="73"/>
      <c r="S45" s="73"/>
    </row>
    <row r="46" spans="1:19" x14ac:dyDescent="0.2">
      <c r="A46" s="236"/>
      <c r="B46" s="236"/>
      <c r="C46" s="236"/>
      <c r="D46" s="236"/>
      <c r="E46" s="236"/>
      <c r="F46" s="236"/>
      <c r="G46" s="73"/>
      <c r="H46" s="73"/>
      <c r="I46" s="73"/>
      <c r="J46" s="73"/>
      <c r="K46" s="73"/>
      <c r="L46" s="73"/>
      <c r="M46" s="73"/>
      <c r="N46" s="73"/>
      <c r="O46" s="73"/>
      <c r="P46" s="73"/>
      <c r="Q46" s="73"/>
      <c r="R46" s="73"/>
      <c r="S46" s="73"/>
    </row>
    <row r="47" spans="1:19" x14ac:dyDescent="0.2">
      <c r="A47" s="236"/>
      <c r="B47" s="236"/>
      <c r="C47" s="236"/>
      <c r="D47" s="236"/>
      <c r="E47" s="236"/>
      <c r="F47" s="236"/>
      <c r="G47" s="73"/>
      <c r="H47" s="73"/>
      <c r="I47" s="73"/>
      <c r="J47" s="73"/>
      <c r="K47" s="73"/>
      <c r="L47" s="73"/>
      <c r="M47" s="73"/>
      <c r="N47" s="73"/>
      <c r="O47" s="73"/>
      <c r="P47" s="73"/>
      <c r="Q47" s="73"/>
      <c r="R47" s="73"/>
      <c r="S47" s="73"/>
    </row>
    <row r="48" spans="1:19" x14ac:dyDescent="0.2">
      <c r="A48" s="236"/>
      <c r="B48" s="236"/>
      <c r="C48" s="236"/>
      <c r="D48" s="236"/>
      <c r="E48" s="236"/>
      <c r="F48" s="236"/>
      <c r="G48" s="73"/>
      <c r="H48" s="73"/>
      <c r="I48" s="73"/>
      <c r="J48" s="73"/>
      <c r="K48" s="73"/>
      <c r="L48" s="73"/>
      <c r="M48" s="73"/>
      <c r="N48" s="73"/>
      <c r="O48" s="73"/>
      <c r="P48" s="73"/>
      <c r="Q48" s="73"/>
      <c r="R48" s="73"/>
      <c r="S48" s="73"/>
    </row>
    <row r="49" spans="1:19" x14ac:dyDescent="0.2">
      <c r="A49" s="236"/>
      <c r="B49" s="236"/>
      <c r="C49" s="236"/>
      <c r="D49" s="236"/>
      <c r="E49" s="236"/>
      <c r="F49" s="236"/>
      <c r="G49" s="73"/>
      <c r="H49" s="73"/>
      <c r="I49" s="73"/>
      <c r="J49" s="73"/>
      <c r="K49" s="73"/>
      <c r="L49" s="73"/>
      <c r="M49" s="73"/>
      <c r="N49" s="73"/>
      <c r="O49" s="73"/>
      <c r="P49" s="73"/>
      <c r="Q49" s="73"/>
      <c r="R49" s="73"/>
      <c r="S49" s="73"/>
    </row>
    <row r="50" spans="1:19" x14ac:dyDescent="0.2">
      <c r="A50" s="236"/>
      <c r="B50" s="236"/>
      <c r="C50" s="236"/>
      <c r="D50" s="236"/>
      <c r="E50" s="236"/>
      <c r="F50" s="236"/>
      <c r="G50" s="73"/>
      <c r="H50" s="73"/>
      <c r="I50" s="73"/>
      <c r="J50" s="73"/>
      <c r="K50" s="73"/>
      <c r="L50" s="73"/>
      <c r="M50" s="73"/>
      <c r="N50" s="73"/>
      <c r="O50" s="73"/>
      <c r="P50" s="73"/>
      <c r="Q50" s="73"/>
      <c r="R50" s="73"/>
      <c r="S50" s="73"/>
    </row>
    <row r="51" spans="1:19" x14ac:dyDescent="0.2">
      <c r="A51" s="73"/>
      <c r="B51" s="73"/>
      <c r="C51" s="73"/>
      <c r="D51" s="73"/>
      <c r="E51" s="73"/>
      <c r="F51" s="73"/>
      <c r="G51" s="73"/>
      <c r="H51" s="73"/>
      <c r="I51" s="73"/>
      <c r="J51" s="73"/>
      <c r="K51" s="73"/>
      <c r="L51" s="73"/>
      <c r="M51" s="73"/>
      <c r="N51" s="73"/>
      <c r="O51" s="73"/>
      <c r="P51" s="73"/>
      <c r="Q51" s="73"/>
      <c r="R51" s="73"/>
      <c r="S51" s="73"/>
    </row>
    <row r="52" spans="1:19" x14ac:dyDescent="0.2">
      <c r="A52" s="73"/>
      <c r="B52" s="73"/>
      <c r="C52" s="73"/>
      <c r="D52" s="73"/>
      <c r="E52" s="73"/>
      <c r="F52" s="73"/>
      <c r="G52" s="73"/>
      <c r="H52" s="73"/>
      <c r="I52" s="73"/>
      <c r="J52" s="73"/>
      <c r="K52" s="73"/>
      <c r="L52" s="73"/>
      <c r="M52" s="73"/>
      <c r="N52" s="73"/>
      <c r="O52" s="73"/>
      <c r="P52" s="73"/>
      <c r="Q52" s="73"/>
      <c r="R52" s="73"/>
      <c r="S52" s="73"/>
    </row>
    <row r="53" spans="1:19" ht="15" x14ac:dyDescent="0.2">
      <c r="A53" s="73"/>
      <c r="B53" s="101"/>
      <c r="C53" s="101"/>
      <c r="D53" s="101"/>
      <c r="E53" s="101"/>
      <c r="F53" s="101"/>
      <c r="G53" s="73"/>
      <c r="H53" s="73"/>
      <c r="I53" s="73"/>
      <c r="J53" s="73"/>
      <c r="K53" s="73"/>
      <c r="L53" s="73"/>
      <c r="M53" s="73"/>
      <c r="N53" s="73"/>
      <c r="O53" s="73"/>
      <c r="P53" s="73"/>
      <c r="Q53" s="73"/>
      <c r="R53" s="73"/>
      <c r="S53" s="73"/>
    </row>
    <row r="54" spans="1:19" ht="15" x14ac:dyDescent="0.2">
      <c r="B54" s="72"/>
      <c r="C54" s="72"/>
      <c r="D54" s="72"/>
      <c r="E54" s="72"/>
      <c r="F54" s="72"/>
    </row>
  </sheetData>
  <mergeCells count="5">
    <mergeCell ref="A1:F2"/>
    <mergeCell ref="A5:A6"/>
    <mergeCell ref="C5:C6"/>
    <mergeCell ref="A37:F38"/>
    <mergeCell ref="A40:F50"/>
  </mergeCells>
  <conditionalFormatting sqref="A3">
    <cfRule type="expression" dxfId="3" priority="1">
      <formula>LEN(TRIM(#REF!))&gt;0</formula>
    </cfRule>
  </conditionalFormatting>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14B84-A4E7-460A-AB06-09F67958A710}">
  <dimension ref="A1:S54"/>
  <sheetViews>
    <sheetView zoomScaleNormal="100" workbookViewId="0">
      <selection activeCell="E5" sqref="E5"/>
    </sheetView>
  </sheetViews>
  <sheetFormatPr baseColWidth="10" defaultColWidth="9.140625" defaultRowHeight="12.75" x14ac:dyDescent="0.2"/>
  <cols>
    <col min="1" max="1" width="15.5703125" customWidth="1"/>
    <col min="2" max="2" width="10.85546875" bestFit="1" customWidth="1"/>
    <col min="3" max="3" width="19" customWidth="1"/>
    <col min="4" max="4" width="19.140625" customWidth="1"/>
    <col min="5" max="5" width="33.85546875" customWidth="1"/>
    <col min="6" max="6" width="18.7109375" customWidth="1"/>
    <col min="7" max="7" width="16.28515625" customWidth="1"/>
    <col min="8" max="1025" width="14.42578125" customWidth="1"/>
  </cols>
  <sheetData>
    <row r="1" spans="1:19" ht="15.75" customHeight="1" x14ac:dyDescent="0.2">
      <c r="A1" s="232" t="s">
        <v>190</v>
      </c>
      <c r="B1" s="232"/>
      <c r="C1" s="232"/>
      <c r="D1" s="232"/>
      <c r="E1" s="232"/>
      <c r="F1" s="232"/>
      <c r="G1" s="73"/>
      <c r="H1" s="73"/>
      <c r="I1" s="73"/>
      <c r="J1" s="73"/>
      <c r="K1" s="73"/>
      <c r="L1" s="73"/>
      <c r="M1" s="73"/>
      <c r="N1" s="73"/>
      <c r="O1" s="73"/>
      <c r="P1" s="73"/>
      <c r="Q1" s="73"/>
      <c r="R1" s="73"/>
      <c r="S1" s="73"/>
    </row>
    <row r="2" spans="1:19" ht="15.75" customHeight="1" x14ac:dyDescent="0.2">
      <c r="A2" s="232"/>
      <c r="B2" s="232"/>
      <c r="C2" s="232"/>
      <c r="D2" s="232"/>
      <c r="E2" s="232"/>
      <c r="F2" s="232"/>
      <c r="G2" s="73"/>
      <c r="H2" s="73"/>
      <c r="I2" s="73"/>
      <c r="J2" s="73"/>
      <c r="K2" s="73"/>
      <c r="L2" s="73"/>
      <c r="M2" s="73"/>
      <c r="N2" s="73"/>
      <c r="O2" s="73"/>
      <c r="P2" s="73"/>
      <c r="Q2" s="73"/>
      <c r="R2" s="73"/>
      <c r="S2" s="73"/>
    </row>
    <row r="3" spans="1:19" ht="15.75" customHeight="1" x14ac:dyDescent="0.25">
      <c r="A3" s="140" t="s">
        <v>1</v>
      </c>
      <c r="B3" s="73"/>
      <c r="C3" s="140" t="s">
        <v>2</v>
      </c>
      <c r="D3" s="75" t="s">
        <v>3</v>
      </c>
      <c r="E3" s="140" t="s">
        <v>4</v>
      </c>
      <c r="F3" s="140" t="s">
        <v>5</v>
      </c>
      <c r="G3" s="73"/>
      <c r="H3" s="73"/>
      <c r="I3" s="73"/>
      <c r="J3" s="73"/>
      <c r="K3" s="73"/>
      <c r="L3" s="73"/>
      <c r="M3" s="73"/>
      <c r="N3" s="73"/>
      <c r="O3" s="73"/>
      <c r="P3" s="73"/>
      <c r="Q3" s="73"/>
      <c r="R3" s="73"/>
      <c r="S3" s="73"/>
    </row>
    <row r="4" spans="1:19" ht="15.75" customHeight="1" x14ac:dyDescent="0.25">
      <c r="A4" s="141">
        <v>43948</v>
      </c>
      <c r="B4" s="133"/>
      <c r="C4" s="134">
        <v>43954</v>
      </c>
      <c r="D4" s="78" t="s">
        <v>6</v>
      </c>
      <c r="E4" s="79">
        <v>0</v>
      </c>
      <c r="F4" s="80">
        <f>'Uke17'!F4 + E4</f>
        <v>1.3368055555555554</v>
      </c>
      <c r="G4" s="73"/>
      <c r="H4" s="189"/>
      <c r="I4" s="142">
        <f>B11-B11</f>
        <v>0</v>
      </c>
      <c r="J4" s="102"/>
      <c r="K4" s="73"/>
      <c r="L4" s="73"/>
      <c r="M4" s="73"/>
      <c r="N4" s="73"/>
      <c r="O4" s="73"/>
      <c r="P4" s="73"/>
      <c r="Q4" s="73"/>
      <c r="R4" s="73"/>
      <c r="S4" s="73"/>
    </row>
    <row r="5" spans="1:19" ht="15" customHeight="1" x14ac:dyDescent="0.25">
      <c r="A5" s="239" t="s">
        <v>7</v>
      </c>
      <c r="B5" s="73"/>
      <c r="C5" s="239" t="s">
        <v>8</v>
      </c>
      <c r="D5" s="82" t="s">
        <v>9</v>
      </c>
      <c r="E5" s="79">
        <f>D12+D13+D14+D15+D16+D17+D18+D20+D21+D22+D23+D25</f>
        <v>1.0590277777777777</v>
      </c>
      <c r="F5" s="80">
        <f>'Uke17'!F5 + E5</f>
        <v>2.9583333333333348</v>
      </c>
      <c r="G5" s="73"/>
      <c r="H5" s="189"/>
      <c r="I5" s="73"/>
      <c r="J5" s="73"/>
      <c r="K5" s="73"/>
      <c r="L5" s="73"/>
      <c r="M5" s="73"/>
      <c r="N5" s="73"/>
      <c r="O5" s="73"/>
      <c r="P5" s="73"/>
      <c r="Q5" s="73"/>
      <c r="R5" s="73"/>
      <c r="S5" s="73"/>
    </row>
    <row r="6" spans="1:19" ht="15.75" customHeight="1" x14ac:dyDescent="0.25">
      <c r="A6" s="239"/>
      <c r="B6" s="73"/>
      <c r="C6" s="239"/>
      <c r="D6" s="83" t="s">
        <v>10</v>
      </c>
      <c r="E6" s="80">
        <f>D11+D19+D24</f>
        <v>8.3333333333333259E-2</v>
      </c>
      <c r="F6" s="80">
        <f>'Uke17'!F6 + E6</f>
        <v>1.8263888888888882</v>
      </c>
      <c r="G6" s="73"/>
      <c r="H6" s="189"/>
      <c r="I6" s="189"/>
      <c r="J6" s="102"/>
      <c r="K6" s="73"/>
      <c r="L6" s="73"/>
      <c r="M6" s="73"/>
      <c r="N6" s="73"/>
      <c r="O6" s="73"/>
      <c r="P6" s="73"/>
      <c r="Q6" s="73"/>
      <c r="R6" s="73"/>
      <c r="S6" s="73"/>
    </row>
    <row r="7" spans="1:19" ht="15.75" x14ac:dyDescent="0.25">
      <c r="A7" s="135">
        <f>SUM(E4:E7)</f>
        <v>1.1840277777777777</v>
      </c>
      <c r="B7" s="133"/>
      <c r="C7" s="135">
        <f>SUM(F4:F7)</f>
        <v>7.8194444444444464</v>
      </c>
      <c r="D7" s="85" t="s">
        <v>46</v>
      </c>
      <c r="E7" s="86">
        <f>D26</f>
        <v>4.166666666666663E-2</v>
      </c>
      <c r="F7" s="84">
        <f>'Uke17'!F7 + E7</f>
        <v>1.6979166666666679</v>
      </c>
      <c r="G7" s="73"/>
      <c r="H7" s="189"/>
      <c r="I7" s="189"/>
      <c r="J7" s="102"/>
      <c r="K7" s="73"/>
      <c r="L7" s="73"/>
      <c r="M7" s="73"/>
      <c r="N7" s="73"/>
      <c r="O7" s="73"/>
      <c r="P7" s="73"/>
      <c r="Q7" s="73"/>
      <c r="R7" s="73"/>
      <c r="S7" s="73"/>
    </row>
    <row r="8" spans="1:19" x14ac:dyDescent="0.2">
      <c r="A8" s="73"/>
      <c r="B8" s="73"/>
      <c r="C8" s="73"/>
      <c r="D8" s="73"/>
      <c r="E8" s="73"/>
      <c r="F8" s="73"/>
      <c r="G8" s="73"/>
      <c r="H8" s="73"/>
      <c r="I8" s="73"/>
      <c r="J8" s="73"/>
      <c r="K8" s="73"/>
      <c r="L8" s="73"/>
      <c r="M8" s="73"/>
      <c r="N8" s="73"/>
      <c r="O8" s="73"/>
      <c r="P8" s="73"/>
      <c r="Q8" s="73"/>
      <c r="R8" s="73"/>
      <c r="S8" s="73"/>
    </row>
    <row r="9" spans="1:19" x14ac:dyDescent="0.2">
      <c r="A9" s="73"/>
      <c r="B9" s="73"/>
      <c r="C9" s="73"/>
      <c r="D9" s="73"/>
      <c r="E9" s="73"/>
      <c r="F9" s="73"/>
      <c r="G9" s="73"/>
      <c r="H9" s="73"/>
      <c r="I9" s="73"/>
      <c r="J9" s="73"/>
      <c r="K9" s="73"/>
      <c r="L9" s="73"/>
      <c r="M9" s="73"/>
      <c r="N9" s="73"/>
      <c r="O9" s="73"/>
      <c r="P9" s="73"/>
      <c r="Q9" s="73"/>
      <c r="R9" s="73"/>
      <c r="S9" s="73"/>
    </row>
    <row r="10" spans="1:19" ht="15.75" x14ac:dyDescent="0.25">
      <c r="A10" s="140" t="s">
        <v>12</v>
      </c>
      <c r="B10" s="140" t="s">
        <v>57</v>
      </c>
      <c r="C10" s="140" t="s">
        <v>58</v>
      </c>
      <c r="D10" s="140" t="s">
        <v>59</v>
      </c>
      <c r="E10" s="140" t="s">
        <v>47</v>
      </c>
      <c r="F10" s="140" t="s">
        <v>39</v>
      </c>
      <c r="G10" s="73"/>
      <c r="H10" s="73"/>
      <c r="I10" s="73"/>
      <c r="J10" s="73"/>
      <c r="K10" s="73"/>
      <c r="L10" s="73"/>
      <c r="M10" s="73"/>
      <c r="N10" s="73"/>
      <c r="O10" s="73"/>
      <c r="P10" s="73"/>
      <c r="Q10" s="73"/>
      <c r="R10" s="73"/>
      <c r="S10" s="73"/>
    </row>
    <row r="11" spans="1:19" ht="15.75" x14ac:dyDescent="0.25">
      <c r="A11" s="145">
        <v>43948</v>
      </c>
      <c r="B11" s="146">
        <v>0.58333333333333337</v>
      </c>
      <c r="C11" s="146">
        <v>0.60763888888888895</v>
      </c>
      <c r="D11" s="146">
        <f t="shared" ref="D11" si="0">C11-B11</f>
        <v>2.430555555555558E-2</v>
      </c>
      <c r="E11" s="208" t="s">
        <v>48</v>
      </c>
      <c r="F11" s="216"/>
      <c r="G11" s="73"/>
      <c r="H11" s="73"/>
      <c r="I11" s="73"/>
      <c r="J11" s="73"/>
      <c r="K11" s="73"/>
      <c r="L11" s="73"/>
      <c r="M11" s="73"/>
      <c r="N11" s="73"/>
      <c r="O11" s="73"/>
      <c r="P11" s="73"/>
      <c r="Q11" s="73"/>
      <c r="R11" s="73"/>
      <c r="S11" s="73"/>
    </row>
    <row r="12" spans="1:19" ht="15.75" x14ac:dyDescent="0.25">
      <c r="A12" s="193">
        <v>43948</v>
      </c>
      <c r="B12" s="194">
        <v>0.75</v>
      </c>
      <c r="C12" s="194">
        <v>0.91666666666666663</v>
      </c>
      <c r="D12" s="194">
        <f t="shared" ref="D12:D18" si="1">C12-B12</f>
        <v>0.16666666666666663</v>
      </c>
      <c r="E12" s="202" t="s">
        <v>191</v>
      </c>
      <c r="F12" s="211" t="s">
        <v>187</v>
      </c>
      <c r="G12" s="73"/>
      <c r="H12" s="73"/>
      <c r="I12" s="73"/>
      <c r="J12" s="73"/>
      <c r="K12" s="73"/>
      <c r="L12" s="73"/>
      <c r="M12" s="73"/>
      <c r="N12" s="73"/>
      <c r="O12" s="73"/>
      <c r="P12" s="73"/>
      <c r="Q12" s="73"/>
      <c r="R12" s="73"/>
      <c r="S12" s="73"/>
    </row>
    <row r="13" spans="1:19" ht="15.75" x14ac:dyDescent="0.25">
      <c r="A13" s="193">
        <v>43949</v>
      </c>
      <c r="B13" s="194">
        <v>0.16666666666666666</v>
      </c>
      <c r="C13" s="194">
        <v>0.29166666666666669</v>
      </c>
      <c r="D13" s="194">
        <f t="shared" si="1"/>
        <v>0.12500000000000003</v>
      </c>
      <c r="E13" s="202" t="s">
        <v>191</v>
      </c>
      <c r="F13" s="211" t="s">
        <v>187</v>
      </c>
      <c r="G13" s="73"/>
      <c r="H13" s="73"/>
      <c r="I13" s="73"/>
      <c r="J13" s="73"/>
      <c r="K13" s="73"/>
      <c r="L13" s="73"/>
      <c r="M13" s="73"/>
      <c r="N13" s="73"/>
      <c r="O13" s="73"/>
      <c r="P13" s="73"/>
      <c r="Q13" s="73"/>
      <c r="R13" s="73"/>
      <c r="S13" s="73"/>
    </row>
    <row r="14" spans="1:19" ht="15.75" x14ac:dyDescent="0.25">
      <c r="A14" s="193">
        <v>43949</v>
      </c>
      <c r="B14" s="194">
        <v>0.66666666666666663</v>
      </c>
      <c r="C14" s="194">
        <v>0.75</v>
      </c>
      <c r="D14" s="194">
        <f t="shared" si="1"/>
        <v>8.333333333333337E-2</v>
      </c>
      <c r="E14" s="202" t="s">
        <v>191</v>
      </c>
      <c r="F14" s="211" t="s">
        <v>187</v>
      </c>
      <c r="G14" s="73"/>
      <c r="H14" s="73"/>
      <c r="I14" s="73"/>
      <c r="J14" s="73"/>
      <c r="K14" s="73"/>
      <c r="L14" s="73"/>
      <c r="M14" s="73"/>
      <c r="N14" s="73"/>
      <c r="O14" s="73"/>
      <c r="P14" s="73"/>
      <c r="Q14" s="73"/>
      <c r="R14" s="73"/>
      <c r="S14" s="73"/>
    </row>
    <row r="15" spans="1:19" ht="15.75" x14ac:dyDescent="0.25">
      <c r="A15" s="193">
        <v>43949</v>
      </c>
      <c r="B15" s="194">
        <v>0.8125</v>
      </c>
      <c r="C15" s="194">
        <v>0.875</v>
      </c>
      <c r="D15" s="194">
        <f t="shared" si="1"/>
        <v>6.25E-2</v>
      </c>
      <c r="E15" s="202" t="s">
        <v>191</v>
      </c>
      <c r="F15" s="211" t="s">
        <v>187</v>
      </c>
      <c r="G15" s="73"/>
      <c r="H15" s="73"/>
      <c r="I15" s="73"/>
      <c r="J15" s="73"/>
      <c r="K15" s="73"/>
      <c r="L15" s="73"/>
      <c r="M15" s="73"/>
      <c r="N15" s="73"/>
      <c r="O15" s="73"/>
      <c r="P15" s="73"/>
      <c r="Q15" s="73"/>
      <c r="R15" s="73"/>
      <c r="S15" s="73"/>
    </row>
    <row r="16" spans="1:19" ht="15.75" customHeight="1" x14ac:dyDescent="0.25">
      <c r="A16" s="193">
        <v>43950</v>
      </c>
      <c r="B16" s="194">
        <v>0.5625</v>
      </c>
      <c r="C16" s="194">
        <v>0.66666666666666663</v>
      </c>
      <c r="D16" s="194">
        <f t="shared" si="1"/>
        <v>0.10416666666666663</v>
      </c>
      <c r="E16" s="202" t="s">
        <v>191</v>
      </c>
      <c r="F16" s="211" t="s">
        <v>187</v>
      </c>
      <c r="G16" s="73"/>
      <c r="H16" s="73"/>
      <c r="I16" s="73"/>
      <c r="J16" s="73"/>
      <c r="K16" s="73"/>
      <c r="L16" s="73"/>
      <c r="M16" s="73"/>
      <c r="N16" s="73"/>
      <c r="O16" s="73"/>
      <c r="P16" s="73"/>
      <c r="Q16" s="73"/>
      <c r="R16" s="73"/>
      <c r="S16" s="73"/>
    </row>
    <row r="17" spans="1:19" ht="15.75" x14ac:dyDescent="0.25">
      <c r="A17" s="193">
        <v>43950</v>
      </c>
      <c r="B17" s="194">
        <v>0.83333333333333337</v>
      </c>
      <c r="C17" s="194">
        <v>0.89583333333333337</v>
      </c>
      <c r="D17" s="194">
        <f t="shared" si="1"/>
        <v>6.25E-2</v>
      </c>
      <c r="E17" s="202" t="s">
        <v>191</v>
      </c>
      <c r="F17" s="211" t="s">
        <v>187</v>
      </c>
      <c r="G17" s="73"/>
      <c r="H17" s="73"/>
      <c r="I17" s="73"/>
      <c r="J17" s="73"/>
      <c r="K17" s="73"/>
      <c r="L17" s="73"/>
      <c r="M17" s="73"/>
      <c r="N17" s="73"/>
      <c r="O17" s="73"/>
      <c r="P17" s="73"/>
      <c r="Q17" s="73"/>
      <c r="R17" s="73"/>
      <c r="S17" s="73"/>
    </row>
    <row r="18" spans="1:19" ht="15.75" x14ac:dyDescent="0.25">
      <c r="A18" s="193">
        <v>43951</v>
      </c>
      <c r="B18" s="194">
        <v>0.5</v>
      </c>
      <c r="C18" s="194">
        <v>0.5625</v>
      </c>
      <c r="D18" s="194">
        <f t="shared" si="1"/>
        <v>6.25E-2</v>
      </c>
      <c r="E18" s="202" t="s">
        <v>191</v>
      </c>
      <c r="F18" s="211" t="s">
        <v>187</v>
      </c>
      <c r="G18" s="73"/>
      <c r="H18" s="73"/>
      <c r="I18" s="73"/>
      <c r="J18" s="73"/>
      <c r="K18" s="73"/>
      <c r="L18" s="73"/>
      <c r="M18" s="73"/>
      <c r="N18" s="73"/>
      <c r="O18" s="73"/>
      <c r="P18" s="73"/>
      <c r="Q18" s="73"/>
      <c r="R18" s="73"/>
      <c r="S18" s="73"/>
    </row>
    <row r="19" spans="1:19" ht="15.75" x14ac:dyDescent="0.25">
      <c r="A19" s="145">
        <v>43951</v>
      </c>
      <c r="B19" s="146">
        <v>0.58333333333333337</v>
      </c>
      <c r="C19" s="146">
        <v>0.61458333333333337</v>
      </c>
      <c r="D19" s="146">
        <f>C19-B19</f>
        <v>3.125E-2</v>
      </c>
      <c r="E19" s="208" t="s">
        <v>48</v>
      </c>
      <c r="F19" s="210"/>
      <c r="G19" s="73"/>
      <c r="H19" s="73"/>
      <c r="I19" s="73"/>
      <c r="J19" s="73"/>
      <c r="K19" s="73"/>
      <c r="L19" s="73"/>
      <c r="M19" s="73"/>
      <c r="N19" s="73"/>
      <c r="O19" s="73"/>
      <c r="P19" s="73"/>
      <c r="Q19" s="73"/>
      <c r="R19" s="73"/>
      <c r="S19" s="73"/>
    </row>
    <row r="20" spans="1:19" ht="15.75" x14ac:dyDescent="0.25">
      <c r="A20" s="193">
        <v>43951</v>
      </c>
      <c r="B20" s="194">
        <v>0.8125</v>
      </c>
      <c r="C20" s="194">
        <v>0.91666666666666663</v>
      </c>
      <c r="D20" s="194">
        <f t="shared" ref="D20" si="2">C20-B20</f>
        <v>0.10416666666666663</v>
      </c>
      <c r="E20" s="202" t="s">
        <v>191</v>
      </c>
      <c r="F20" s="211" t="s">
        <v>187</v>
      </c>
      <c r="G20" s="73"/>
      <c r="H20" s="73"/>
      <c r="I20" s="73"/>
      <c r="J20" s="73"/>
      <c r="K20" s="73"/>
      <c r="L20" s="73"/>
      <c r="M20" s="73"/>
      <c r="N20" s="73"/>
      <c r="O20" s="73"/>
      <c r="P20" s="73"/>
      <c r="Q20" s="73"/>
      <c r="R20" s="73"/>
      <c r="S20" s="73"/>
    </row>
    <row r="21" spans="1:19" ht="15.75" x14ac:dyDescent="0.25">
      <c r="A21" s="193">
        <v>43952</v>
      </c>
      <c r="B21" s="194">
        <v>0.58333333333333337</v>
      </c>
      <c r="C21" s="194">
        <v>0.66666666666666663</v>
      </c>
      <c r="D21" s="194">
        <f t="shared" ref="D21" si="3">C21-B21</f>
        <v>8.3333333333333259E-2</v>
      </c>
      <c r="E21" s="202" t="s">
        <v>191</v>
      </c>
      <c r="F21" s="211" t="s">
        <v>187</v>
      </c>
      <c r="G21" s="73"/>
      <c r="H21" s="73"/>
      <c r="I21" s="73"/>
      <c r="J21" s="73"/>
      <c r="K21" s="73"/>
      <c r="L21" s="73"/>
      <c r="M21" s="73"/>
      <c r="N21" s="73"/>
      <c r="O21" s="73"/>
      <c r="P21" s="73"/>
      <c r="Q21" s="73"/>
      <c r="R21" s="73"/>
      <c r="S21" s="73"/>
    </row>
    <row r="22" spans="1:19" ht="15.75" x14ac:dyDescent="0.25">
      <c r="A22" s="193">
        <v>43952</v>
      </c>
      <c r="B22" s="194">
        <v>0.91666666666666663</v>
      </c>
      <c r="C22" s="194">
        <v>0.99652777777777779</v>
      </c>
      <c r="D22" s="194">
        <f t="shared" ref="D22" si="4">C22-B22</f>
        <v>7.986111111111116E-2</v>
      </c>
      <c r="E22" s="202" t="s">
        <v>191</v>
      </c>
      <c r="F22" s="211" t="s">
        <v>187</v>
      </c>
      <c r="G22" s="73"/>
      <c r="H22" s="73"/>
      <c r="I22" s="73"/>
      <c r="J22" s="73"/>
      <c r="K22" s="73"/>
      <c r="L22" s="73"/>
      <c r="M22" s="73"/>
      <c r="N22" s="73"/>
      <c r="O22" s="73"/>
      <c r="P22" s="73"/>
      <c r="Q22" s="73"/>
      <c r="R22" s="73"/>
      <c r="S22" s="73"/>
    </row>
    <row r="23" spans="1:19" ht="31.5" x14ac:dyDescent="0.25">
      <c r="A23" s="193">
        <v>43953</v>
      </c>
      <c r="B23" s="194">
        <v>0.25</v>
      </c>
      <c r="C23" s="194">
        <v>0.33333333333333331</v>
      </c>
      <c r="D23" s="194">
        <f t="shared" ref="D23" si="5">C23-B23</f>
        <v>8.3333333333333315E-2</v>
      </c>
      <c r="E23" s="202" t="s">
        <v>192</v>
      </c>
      <c r="F23" s="211" t="s">
        <v>187</v>
      </c>
      <c r="G23" s="73"/>
      <c r="H23" s="73"/>
      <c r="I23" s="73"/>
      <c r="J23" s="73"/>
      <c r="K23" s="73"/>
      <c r="L23" s="73"/>
      <c r="M23" s="73"/>
      <c r="N23" s="73"/>
      <c r="O23" s="73"/>
      <c r="P23" s="73"/>
      <c r="Q23" s="73"/>
      <c r="R23" s="73"/>
      <c r="S23" s="73"/>
    </row>
    <row r="24" spans="1:19" ht="15.75" x14ac:dyDescent="0.25">
      <c r="A24" s="145">
        <v>43953</v>
      </c>
      <c r="B24" s="146">
        <v>0.58333333333333337</v>
      </c>
      <c r="C24" s="146">
        <v>0.61111111111111105</v>
      </c>
      <c r="D24" s="146">
        <f>C24-B24</f>
        <v>2.7777777777777679E-2</v>
      </c>
      <c r="E24" s="208" t="s">
        <v>48</v>
      </c>
      <c r="F24" s="211"/>
      <c r="G24" s="73"/>
      <c r="H24" s="73"/>
      <c r="I24" s="73"/>
      <c r="J24" s="73"/>
      <c r="K24" s="73"/>
      <c r="L24" s="73"/>
      <c r="M24" s="73"/>
      <c r="N24" s="73"/>
      <c r="O24" s="73"/>
      <c r="P24" s="73"/>
      <c r="Q24" s="73"/>
      <c r="R24" s="73"/>
      <c r="S24" s="73"/>
    </row>
    <row r="25" spans="1:19" ht="47.25" x14ac:dyDescent="0.25">
      <c r="A25" s="193">
        <v>43954</v>
      </c>
      <c r="B25" s="194">
        <v>0.75</v>
      </c>
      <c r="C25" s="194">
        <v>0.79166666666666663</v>
      </c>
      <c r="D25" s="194">
        <f t="shared" ref="D25:D26" si="6">C25-B25</f>
        <v>4.166666666666663E-2</v>
      </c>
      <c r="E25" s="202" t="s">
        <v>193</v>
      </c>
      <c r="F25" s="211" t="s">
        <v>187</v>
      </c>
      <c r="G25" s="73"/>
      <c r="H25" s="73"/>
      <c r="I25" s="73"/>
      <c r="J25" s="73"/>
      <c r="K25" s="73"/>
      <c r="L25" s="73"/>
      <c r="M25" s="73"/>
      <c r="N25" s="73"/>
      <c r="O25" s="73"/>
      <c r="P25" s="73"/>
      <c r="Q25" s="73"/>
      <c r="R25" s="73"/>
      <c r="S25" s="73"/>
    </row>
    <row r="26" spans="1:19" ht="31.5" x14ac:dyDescent="0.25">
      <c r="A26" s="195">
        <v>43954</v>
      </c>
      <c r="B26" s="196">
        <v>0.89583333333333337</v>
      </c>
      <c r="C26" s="196">
        <v>0.9375</v>
      </c>
      <c r="D26" s="196">
        <f t="shared" si="6"/>
        <v>4.166666666666663E-2</v>
      </c>
      <c r="E26" s="212" t="s">
        <v>188</v>
      </c>
      <c r="F26" s="214"/>
      <c r="G26" s="81"/>
      <c r="H26" s="73"/>
      <c r="I26" s="73"/>
      <c r="J26" s="73"/>
      <c r="K26" s="73"/>
      <c r="L26" s="73"/>
      <c r="M26" s="73"/>
      <c r="N26" s="73"/>
      <c r="O26" s="73"/>
      <c r="P26" s="73"/>
      <c r="Q26" s="73"/>
      <c r="R26" s="73"/>
      <c r="S26" s="73"/>
    </row>
    <row r="27" spans="1:19" ht="15.75" x14ac:dyDescent="0.25">
      <c r="A27" s="187"/>
      <c r="B27" s="188"/>
      <c r="C27" s="188"/>
      <c r="D27" s="188"/>
      <c r="E27" s="186"/>
      <c r="F27" s="204"/>
      <c r="G27" s="81"/>
      <c r="H27" s="73"/>
      <c r="I27" s="73"/>
      <c r="J27" s="73"/>
      <c r="K27" s="73"/>
      <c r="L27" s="73"/>
      <c r="M27" s="73"/>
      <c r="N27" s="73"/>
      <c r="O27" s="73"/>
      <c r="P27" s="73"/>
      <c r="Q27" s="73"/>
      <c r="R27" s="73"/>
      <c r="S27" s="73"/>
    </row>
    <row r="28" spans="1:19" ht="15.75" x14ac:dyDescent="0.25">
      <c r="A28" s="187"/>
      <c r="B28" s="188"/>
      <c r="C28" s="188"/>
      <c r="D28" s="188"/>
      <c r="E28" s="186"/>
      <c r="F28" s="204"/>
      <c r="G28" s="81"/>
      <c r="H28" s="73"/>
      <c r="I28" s="73"/>
      <c r="J28" s="73"/>
      <c r="K28" s="73"/>
      <c r="L28" s="73"/>
      <c r="M28" s="73"/>
      <c r="N28" s="73"/>
      <c r="O28" s="73"/>
      <c r="P28" s="73"/>
      <c r="Q28" s="73"/>
      <c r="R28" s="73"/>
      <c r="S28" s="73"/>
    </row>
    <row r="29" spans="1:19" ht="15.75" x14ac:dyDescent="0.25">
      <c r="A29" s="187"/>
      <c r="B29" s="188"/>
      <c r="C29" s="188"/>
      <c r="D29" s="188"/>
      <c r="E29" s="186"/>
      <c r="F29" s="204"/>
      <c r="G29" s="81"/>
      <c r="H29" s="73"/>
      <c r="I29" s="73"/>
      <c r="J29" s="73"/>
      <c r="K29" s="73"/>
      <c r="L29" s="73"/>
      <c r="M29" s="73"/>
      <c r="N29" s="73"/>
      <c r="O29" s="73"/>
      <c r="P29" s="73"/>
      <c r="Q29" s="73"/>
      <c r="R29" s="73"/>
      <c r="S29" s="73"/>
    </row>
    <row r="30" spans="1:19" ht="15.75" x14ac:dyDescent="0.25">
      <c r="A30" s="187"/>
      <c r="B30" s="188"/>
      <c r="C30" s="188"/>
      <c r="D30" s="188"/>
      <c r="E30" s="186"/>
      <c r="F30" s="204"/>
      <c r="G30" s="81"/>
      <c r="H30" s="73"/>
      <c r="I30" s="73"/>
      <c r="J30" s="73"/>
      <c r="K30" s="73"/>
      <c r="L30" s="73"/>
      <c r="M30" s="73"/>
      <c r="N30" s="73"/>
      <c r="O30" s="73"/>
      <c r="P30" s="73"/>
      <c r="Q30" s="73"/>
      <c r="R30" s="73"/>
      <c r="S30" s="73"/>
    </row>
    <row r="31" spans="1:19" ht="15.75" x14ac:dyDescent="0.25">
      <c r="A31" s="187"/>
      <c r="B31" s="188"/>
      <c r="C31" s="188"/>
      <c r="D31" s="188"/>
      <c r="E31" s="186"/>
      <c r="F31" s="204"/>
      <c r="G31" s="81"/>
      <c r="H31" s="73"/>
      <c r="I31" s="73"/>
      <c r="J31" s="73"/>
      <c r="K31" s="73"/>
      <c r="L31" s="73"/>
      <c r="M31" s="73"/>
      <c r="N31" s="73"/>
      <c r="O31" s="73"/>
      <c r="P31" s="73"/>
      <c r="Q31" s="73"/>
      <c r="R31" s="73"/>
      <c r="S31" s="73"/>
    </row>
    <row r="32" spans="1:19" ht="15.75" x14ac:dyDescent="0.25">
      <c r="A32" s="187"/>
      <c r="B32" s="188"/>
      <c r="C32" s="188"/>
      <c r="D32" s="188"/>
      <c r="E32" s="186"/>
      <c r="F32" s="204"/>
      <c r="G32" s="81"/>
      <c r="H32" s="73"/>
      <c r="I32" s="73"/>
      <c r="J32" s="73"/>
      <c r="K32" s="73"/>
      <c r="L32" s="73"/>
      <c r="M32" s="73"/>
      <c r="N32" s="73"/>
      <c r="O32" s="73"/>
      <c r="P32" s="73"/>
      <c r="Q32" s="73"/>
      <c r="R32" s="73"/>
      <c r="S32" s="73"/>
    </row>
    <row r="33" spans="1:19" ht="15.75" x14ac:dyDescent="0.25">
      <c r="A33" s="187"/>
      <c r="B33" s="188"/>
      <c r="C33" s="188"/>
      <c r="D33" s="188"/>
      <c r="E33" s="186"/>
      <c r="F33" s="204"/>
      <c r="G33" s="81"/>
      <c r="H33" s="73"/>
      <c r="I33" s="73"/>
      <c r="J33" s="73"/>
      <c r="K33" s="73"/>
      <c r="L33" s="73"/>
      <c r="M33" s="73"/>
      <c r="N33" s="73"/>
      <c r="O33" s="73"/>
      <c r="P33" s="73"/>
      <c r="Q33" s="73"/>
      <c r="R33" s="73"/>
      <c r="S33" s="73"/>
    </row>
    <row r="34" spans="1:19" x14ac:dyDescent="0.2">
      <c r="A34" s="81"/>
      <c r="B34" s="81"/>
      <c r="C34" s="81"/>
      <c r="D34" s="81"/>
      <c r="E34" s="81"/>
      <c r="F34" s="81"/>
      <c r="G34" s="81"/>
      <c r="H34" s="73"/>
      <c r="I34" s="73"/>
      <c r="J34" s="73"/>
      <c r="K34" s="73"/>
      <c r="L34" s="73"/>
      <c r="M34" s="73"/>
      <c r="N34" s="73"/>
      <c r="O34" s="73"/>
      <c r="P34" s="73"/>
      <c r="Q34" s="73"/>
      <c r="R34" s="73"/>
      <c r="S34" s="73"/>
    </row>
    <row r="35" spans="1:19" x14ac:dyDescent="0.2">
      <c r="A35" s="81"/>
      <c r="B35" s="81"/>
      <c r="C35" s="81"/>
      <c r="D35" s="81"/>
      <c r="E35" s="81"/>
      <c r="F35" s="81"/>
      <c r="G35" s="81"/>
      <c r="H35" s="73"/>
      <c r="I35" s="73"/>
      <c r="J35" s="73"/>
      <c r="K35" s="73"/>
      <c r="L35" s="73"/>
      <c r="M35" s="73"/>
      <c r="N35" s="73"/>
      <c r="O35" s="73"/>
      <c r="P35" s="73"/>
      <c r="Q35" s="73"/>
      <c r="R35" s="73"/>
      <c r="S35" s="73"/>
    </row>
    <row r="36" spans="1:19" x14ac:dyDescent="0.2">
      <c r="A36" s="81"/>
      <c r="B36" s="81"/>
      <c r="C36" s="81"/>
      <c r="D36" s="81"/>
      <c r="E36" s="81"/>
      <c r="F36" s="81"/>
      <c r="G36" s="81"/>
      <c r="H36" s="73"/>
      <c r="I36" s="73"/>
      <c r="J36" s="73"/>
      <c r="K36" s="73"/>
      <c r="L36" s="73"/>
      <c r="M36" s="73"/>
      <c r="N36" s="73"/>
      <c r="O36" s="73"/>
      <c r="P36" s="73"/>
      <c r="Q36" s="73"/>
      <c r="R36" s="73"/>
      <c r="S36" s="73"/>
    </row>
    <row r="37" spans="1:19" ht="12.75" customHeight="1" x14ac:dyDescent="0.2">
      <c r="A37" s="238" t="s">
        <v>23</v>
      </c>
      <c r="B37" s="238"/>
      <c r="C37" s="238"/>
      <c r="D37" s="238"/>
      <c r="E37" s="238"/>
      <c r="F37" s="238"/>
      <c r="G37" s="73"/>
      <c r="H37" s="73"/>
      <c r="I37" s="73"/>
      <c r="J37" s="73"/>
      <c r="K37" s="73"/>
      <c r="L37" s="73"/>
      <c r="M37" s="73"/>
      <c r="N37" s="73"/>
      <c r="O37" s="73"/>
      <c r="P37" s="73"/>
      <c r="Q37" s="73"/>
      <c r="R37" s="73"/>
      <c r="S37" s="73"/>
    </row>
    <row r="38" spans="1:19" ht="12.75" customHeight="1" x14ac:dyDescent="0.2">
      <c r="A38" s="240"/>
      <c r="B38" s="240"/>
      <c r="C38" s="240"/>
      <c r="D38" s="240"/>
      <c r="E38" s="240"/>
      <c r="F38" s="240"/>
      <c r="G38" s="73"/>
      <c r="H38" s="73"/>
      <c r="I38" s="73"/>
      <c r="J38" s="73"/>
      <c r="K38" s="73"/>
      <c r="L38" s="73"/>
      <c r="M38" s="73"/>
      <c r="N38" s="73"/>
      <c r="O38" s="73"/>
      <c r="P38" s="73"/>
      <c r="Q38" s="73"/>
      <c r="R38" s="73"/>
      <c r="S38" s="73"/>
    </row>
    <row r="39" spans="1:19" x14ac:dyDescent="0.2">
      <c r="A39" s="73"/>
      <c r="B39" s="73"/>
      <c r="C39" s="73"/>
      <c r="D39" s="73"/>
      <c r="E39" s="73"/>
      <c r="F39" s="73"/>
      <c r="G39" s="73"/>
      <c r="H39" s="73"/>
      <c r="I39" s="73"/>
      <c r="J39" s="73"/>
      <c r="K39" s="73"/>
      <c r="L39" s="73"/>
      <c r="M39" s="73"/>
      <c r="N39" s="73"/>
      <c r="O39" s="73"/>
      <c r="P39" s="73"/>
      <c r="Q39" s="73"/>
      <c r="R39" s="73"/>
      <c r="S39" s="73"/>
    </row>
    <row r="40" spans="1:19" ht="251.25" customHeight="1" x14ac:dyDescent="0.2">
      <c r="A40" s="236" t="s">
        <v>194</v>
      </c>
      <c r="B40" s="236"/>
      <c r="C40" s="236"/>
      <c r="D40" s="236"/>
      <c r="E40" s="236"/>
      <c r="F40" s="236"/>
      <c r="G40" s="73"/>
      <c r="H40" s="73"/>
      <c r="I40" s="73"/>
      <c r="J40" s="73"/>
      <c r="K40" s="73"/>
      <c r="L40" s="73"/>
      <c r="M40" s="73"/>
      <c r="N40" s="73"/>
      <c r="O40" s="73"/>
      <c r="P40" s="73"/>
      <c r="Q40" s="73"/>
      <c r="R40" s="73"/>
      <c r="S40" s="73"/>
    </row>
    <row r="41" spans="1:19" ht="12.75" customHeight="1" x14ac:dyDescent="0.2">
      <c r="A41" s="236"/>
      <c r="B41" s="236"/>
      <c r="C41" s="236"/>
      <c r="D41" s="236"/>
      <c r="E41" s="236"/>
      <c r="F41" s="236"/>
      <c r="G41" s="73"/>
      <c r="H41" s="73"/>
      <c r="I41" s="73"/>
      <c r="J41" s="73"/>
      <c r="K41" s="73"/>
      <c r="L41" s="73"/>
      <c r="M41" s="73"/>
      <c r="N41" s="73"/>
      <c r="O41" s="73"/>
      <c r="P41" s="73"/>
      <c r="Q41" s="73"/>
      <c r="R41" s="73"/>
      <c r="S41" s="73"/>
    </row>
    <row r="42" spans="1:19" ht="12.75" customHeight="1" x14ac:dyDescent="0.2">
      <c r="A42" s="236"/>
      <c r="B42" s="236"/>
      <c r="C42" s="236"/>
      <c r="D42" s="236"/>
      <c r="E42" s="236"/>
      <c r="F42" s="236"/>
      <c r="G42" s="73"/>
      <c r="H42" s="73"/>
      <c r="I42" s="73"/>
      <c r="J42" s="73"/>
      <c r="K42" s="73"/>
      <c r="L42" s="73"/>
      <c r="M42" s="73"/>
      <c r="N42" s="73"/>
      <c r="O42" s="73"/>
      <c r="P42" s="73"/>
      <c r="Q42" s="73"/>
      <c r="R42" s="73"/>
      <c r="S42" s="73"/>
    </row>
    <row r="43" spans="1:19" ht="12.75" customHeight="1" x14ac:dyDescent="0.2">
      <c r="A43" s="236"/>
      <c r="B43" s="236"/>
      <c r="C43" s="236"/>
      <c r="D43" s="236"/>
      <c r="E43" s="236"/>
      <c r="F43" s="236"/>
      <c r="G43" s="73"/>
      <c r="H43" s="73"/>
      <c r="I43" s="73"/>
      <c r="J43" s="73"/>
      <c r="K43" s="73"/>
      <c r="L43" s="73"/>
      <c r="M43" s="73"/>
      <c r="N43" s="73"/>
      <c r="O43" s="73"/>
      <c r="P43" s="73"/>
      <c r="Q43" s="73"/>
      <c r="R43" s="73"/>
      <c r="S43" s="73"/>
    </row>
    <row r="44" spans="1:19" ht="12.75" customHeight="1" x14ac:dyDescent="0.2">
      <c r="A44" s="236"/>
      <c r="B44" s="236"/>
      <c r="C44" s="236"/>
      <c r="D44" s="236"/>
      <c r="E44" s="236"/>
      <c r="F44" s="236"/>
      <c r="G44" s="73"/>
      <c r="H44" s="73"/>
      <c r="I44" s="73"/>
      <c r="J44" s="73"/>
      <c r="K44" s="73"/>
      <c r="L44" s="73"/>
      <c r="M44" s="73"/>
      <c r="N44" s="73"/>
      <c r="O44" s="73"/>
      <c r="P44" s="73"/>
      <c r="Q44" s="73"/>
      <c r="R44" s="73"/>
      <c r="S44" s="73"/>
    </row>
    <row r="45" spans="1:19" ht="12.75" customHeight="1" x14ac:dyDescent="0.2">
      <c r="A45" s="236"/>
      <c r="B45" s="236"/>
      <c r="C45" s="236"/>
      <c r="D45" s="236"/>
      <c r="E45" s="236"/>
      <c r="F45" s="236"/>
      <c r="G45" s="73"/>
      <c r="H45" s="73"/>
      <c r="I45" s="73"/>
      <c r="J45" s="73"/>
      <c r="K45" s="73"/>
      <c r="L45" s="73"/>
      <c r="M45" s="73"/>
      <c r="N45" s="73"/>
      <c r="O45" s="73"/>
      <c r="P45" s="73"/>
      <c r="Q45" s="73"/>
      <c r="R45" s="73"/>
      <c r="S45" s="73"/>
    </row>
    <row r="46" spans="1:19" ht="12.75" customHeight="1" x14ac:dyDescent="0.2">
      <c r="A46" s="236"/>
      <c r="B46" s="236"/>
      <c r="C46" s="236"/>
      <c r="D46" s="236"/>
      <c r="E46" s="236"/>
      <c r="F46" s="236"/>
      <c r="G46" s="73"/>
      <c r="H46" s="73"/>
      <c r="I46" s="73"/>
      <c r="J46" s="73"/>
      <c r="K46" s="73"/>
      <c r="L46" s="73"/>
      <c r="M46" s="73"/>
      <c r="N46" s="73"/>
      <c r="O46" s="73"/>
      <c r="P46" s="73"/>
      <c r="Q46" s="73"/>
      <c r="R46" s="73"/>
      <c r="S46" s="73"/>
    </row>
    <row r="47" spans="1:19" ht="12.75" customHeight="1" x14ac:dyDescent="0.2">
      <c r="A47" s="236"/>
      <c r="B47" s="236"/>
      <c r="C47" s="236"/>
      <c r="D47" s="236"/>
      <c r="E47" s="236"/>
      <c r="F47" s="236"/>
      <c r="G47" s="73"/>
      <c r="H47" s="73"/>
      <c r="I47" s="73"/>
      <c r="J47" s="73"/>
      <c r="K47" s="73"/>
      <c r="L47" s="73"/>
      <c r="M47" s="73"/>
      <c r="N47" s="73"/>
      <c r="O47" s="73"/>
      <c r="P47" s="73"/>
      <c r="Q47" s="73"/>
      <c r="R47" s="73"/>
      <c r="S47" s="73"/>
    </row>
    <row r="48" spans="1:19" ht="12.75" customHeight="1" x14ac:dyDescent="0.2">
      <c r="A48" s="236"/>
      <c r="B48" s="236"/>
      <c r="C48" s="236"/>
      <c r="D48" s="236"/>
      <c r="E48" s="236"/>
      <c r="F48" s="236"/>
      <c r="G48" s="73"/>
      <c r="H48" s="73"/>
      <c r="I48" s="73"/>
      <c r="J48" s="73"/>
      <c r="K48" s="73"/>
      <c r="L48" s="73"/>
      <c r="M48" s="73"/>
      <c r="N48" s="73"/>
      <c r="O48" s="73"/>
      <c r="P48" s="73"/>
      <c r="Q48" s="73"/>
      <c r="R48" s="73"/>
      <c r="S48" s="73"/>
    </row>
    <row r="49" spans="1:19" ht="12.75" customHeight="1" x14ac:dyDescent="0.2">
      <c r="A49" s="236"/>
      <c r="B49" s="236"/>
      <c r="C49" s="236"/>
      <c r="D49" s="236"/>
      <c r="E49" s="236"/>
      <c r="F49" s="236"/>
      <c r="G49" s="73"/>
      <c r="H49" s="73"/>
      <c r="I49" s="73"/>
      <c r="J49" s="73"/>
      <c r="K49" s="73"/>
      <c r="L49" s="73"/>
      <c r="M49" s="73"/>
      <c r="N49" s="73"/>
      <c r="O49" s="73"/>
      <c r="P49" s="73"/>
      <c r="Q49" s="73"/>
      <c r="R49" s="73"/>
      <c r="S49" s="73"/>
    </row>
    <row r="50" spans="1:19" ht="12.75" customHeight="1" x14ac:dyDescent="0.2">
      <c r="A50" s="236"/>
      <c r="B50" s="236"/>
      <c r="C50" s="236"/>
      <c r="D50" s="236"/>
      <c r="E50" s="236"/>
      <c r="F50" s="236"/>
      <c r="G50" s="73"/>
      <c r="H50" s="73"/>
      <c r="I50" s="73"/>
      <c r="J50" s="73"/>
      <c r="K50" s="73"/>
      <c r="L50" s="73"/>
      <c r="M50" s="73"/>
      <c r="N50" s="73"/>
      <c r="O50" s="73"/>
      <c r="P50" s="73"/>
      <c r="Q50" s="73"/>
      <c r="R50" s="73"/>
      <c r="S50" s="73"/>
    </row>
    <row r="51" spans="1:19" x14ac:dyDescent="0.2">
      <c r="A51" s="73"/>
      <c r="B51" s="73"/>
      <c r="C51" s="73"/>
      <c r="D51" s="73"/>
      <c r="E51" s="73"/>
      <c r="F51" s="73"/>
      <c r="G51" s="73"/>
      <c r="H51" s="73"/>
      <c r="I51" s="73"/>
      <c r="J51" s="73"/>
      <c r="K51" s="73"/>
      <c r="L51" s="73"/>
      <c r="M51" s="73"/>
      <c r="N51" s="73"/>
      <c r="O51" s="73"/>
      <c r="P51" s="73"/>
      <c r="Q51" s="73"/>
      <c r="R51" s="73"/>
      <c r="S51" s="73"/>
    </row>
    <row r="52" spans="1:19" x14ac:dyDescent="0.2">
      <c r="A52" s="73"/>
      <c r="B52" s="73"/>
      <c r="C52" s="73"/>
      <c r="D52" s="73"/>
      <c r="E52" s="73"/>
      <c r="F52" s="73"/>
      <c r="G52" s="73"/>
      <c r="H52" s="73"/>
      <c r="I52" s="73"/>
      <c r="J52" s="73"/>
      <c r="K52" s="73"/>
      <c r="L52" s="73"/>
      <c r="M52" s="73"/>
      <c r="N52" s="73"/>
      <c r="O52" s="73"/>
      <c r="P52" s="73"/>
      <c r="Q52" s="73"/>
      <c r="R52" s="73"/>
      <c r="S52" s="73"/>
    </row>
    <row r="53" spans="1:19" ht="15" x14ac:dyDescent="0.2">
      <c r="A53" s="73"/>
      <c r="B53" s="101"/>
      <c r="C53" s="101"/>
      <c r="D53" s="101"/>
      <c r="E53" s="101"/>
      <c r="F53" s="101"/>
      <c r="G53" s="73"/>
      <c r="H53" s="73"/>
      <c r="I53" s="73"/>
      <c r="J53" s="73"/>
      <c r="K53" s="73"/>
      <c r="L53" s="73"/>
      <c r="M53" s="73"/>
      <c r="N53" s="73"/>
      <c r="O53" s="73"/>
      <c r="P53" s="73"/>
      <c r="Q53" s="73"/>
      <c r="R53" s="73"/>
      <c r="S53" s="73"/>
    </row>
    <row r="54" spans="1:19" ht="15" x14ac:dyDescent="0.2">
      <c r="B54" s="72"/>
      <c r="C54" s="72"/>
      <c r="D54" s="72"/>
      <c r="E54" s="72"/>
      <c r="F54" s="72"/>
    </row>
  </sheetData>
  <mergeCells count="5">
    <mergeCell ref="A1:F2"/>
    <mergeCell ref="A5:A6"/>
    <mergeCell ref="C5:C6"/>
    <mergeCell ref="A37:F38"/>
    <mergeCell ref="A40:F50"/>
  </mergeCells>
  <conditionalFormatting sqref="A3">
    <cfRule type="expression" dxfId="2" priority="1">
      <formula>LEN(TRIM(#REF!))&gt;0</formula>
    </cfRule>
  </conditionalFormatting>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9C063-B872-47FD-8DC9-49775E99C084}">
  <dimension ref="A1:S55"/>
  <sheetViews>
    <sheetView zoomScaleNormal="100" workbookViewId="0">
      <selection activeCell="E5" sqref="E5"/>
    </sheetView>
  </sheetViews>
  <sheetFormatPr baseColWidth="10" defaultColWidth="9.140625" defaultRowHeight="12.75" x14ac:dyDescent="0.2"/>
  <cols>
    <col min="1" max="1" width="15.5703125" customWidth="1"/>
    <col min="2" max="2" width="10.85546875" bestFit="1" customWidth="1"/>
    <col min="3" max="3" width="19" customWidth="1"/>
    <col min="4" max="4" width="19.140625" customWidth="1"/>
    <col min="5" max="5" width="33.85546875" customWidth="1"/>
    <col min="6" max="6" width="18.7109375" customWidth="1"/>
    <col min="7" max="7" width="16.28515625" customWidth="1"/>
    <col min="8" max="1025" width="14.42578125" customWidth="1"/>
  </cols>
  <sheetData>
    <row r="1" spans="1:19" ht="15.75" customHeight="1" x14ac:dyDescent="0.2">
      <c r="A1" s="232" t="s">
        <v>195</v>
      </c>
      <c r="B1" s="232"/>
      <c r="C1" s="232"/>
      <c r="D1" s="232"/>
      <c r="E1" s="232"/>
      <c r="F1" s="232"/>
      <c r="G1" s="73"/>
      <c r="H1" s="73"/>
      <c r="I1" s="73"/>
      <c r="J1" s="73"/>
      <c r="K1" s="73"/>
      <c r="L1" s="73"/>
      <c r="M1" s="73"/>
      <c r="N1" s="73"/>
      <c r="O1" s="73"/>
      <c r="P1" s="73"/>
      <c r="Q1" s="73"/>
      <c r="R1" s="73"/>
      <c r="S1" s="73"/>
    </row>
    <row r="2" spans="1:19" ht="15.75" customHeight="1" x14ac:dyDescent="0.2">
      <c r="A2" s="232"/>
      <c r="B2" s="232"/>
      <c r="C2" s="232"/>
      <c r="D2" s="232"/>
      <c r="E2" s="232"/>
      <c r="F2" s="232"/>
      <c r="G2" s="73"/>
      <c r="H2" s="73"/>
      <c r="I2" s="73"/>
      <c r="J2" s="73"/>
      <c r="K2" s="73"/>
      <c r="L2" s="73"/>
      <c r="M2" s="73"/>
      <c r="N2" s="73"/>
      <c r="O2" s="73"/>
      <c r="P2" s="73"/>
      <c r="Q2" s="73"/>
      <c r="R2" s="73"/>
      <c r="S2" s="73"/>
    </row>
    <row r="3" spans="1:19" ht="15.75" customHeight="1" x14ac:dyDescent="0.25">
      <c r="A3" s="140" t="s">
        <v>1</v>
      </c>
      <c r="B3" s="73"/>
      <c r="C3" s="140" t="s">
        <v>2</v>
      </c>
      <c r="D3" s="75" t="s">
        <v>3</v>
      </c>
      <c r="E3" s="140" t="s">
        <v>4</v>
      </c>
      <c r="F3" s="140" t="s">
        <v>5</v>
      </c>
      <c r="G3" s="73"/>
      <c r="H3" s="73"/>
      <c r="I3" s="73"/>
      <c r="J3" s="73"/>
      <c r="K3" s="73"/>
      <c r="L3" s="73"/>
      <c r="M3" s="73"/>
      <c r="N3" s="73"/>
      <c r="O3" s="73"/>
      <c r="P3" s="73"/>
      <c r="Q3" s="73"/>
      <c r="R3" s="73"/>
      <c r="S3" s="73"/>
    </row>
    <row r="4" spans="1:19" ht="15.75" customHeight="1" x14ac:dyDescent="0.25">
      <c r="A4" s="141">
        <v>43955</v>
      </c>
      <c r="B4" s="133"/>
      <c r="C4" s="134">
        <v>43961</v>
      </c>
      <c r="D4" s="78" t="s">
        <v>6</v>
      </c>
      <c r="E4" s="79">
        <v>0</v>
      </c>
      <c r="F4" s="80">
        <f>'Uke18'!F4 + E4</f>
        <v>1.3368055555555554</v>
      </c>
      <c r="G4" s="73"/>
      <c r="H4" s="189"/>
      <c r="I4" s="142">
        <f>B11-B11</f>
        <v>0</v>
      </c>
      <c r="J4" s="102"/>
      <c r="K4" s="73"/>
      <c r="L4" s="73"/>
      <c r="M4" s="73"/>
      <c r="N4" s="73"/>
      <c r="O4" s="73"/>
      <c r="P4" s="73"/>
      <c r="Q4" s="73"/>
      <c r="R4" s="73"/>
      <c r="S4" s="73"/>
    </row>
    <row r="5" spans="1:19" ht="15" customHeight="1" x14ac:dyDescent="0.25">
      <c r="A5" s="239" t="s">
        <v>7</v>
      </c>
      <c r="B5" s="73"/>
      <c r="C5" s="239" t="s">
        <v>8</v>
      </c>
      <c r="D5" s="82" t="s">
        <v>9</v>
      </c>
      <c r="E5" s="79">
        <f>D12+D13+D15+D17+D18+D19+D21</f>
        <v>0.33333333333333309</v>
      </c>
      <c r="F5" s="80">
        <f>'Uke18'!F5 + E5</f>
        <v>3.2916666666666679</v>
      </c>
      <c r="G5" s="73"/>
      <c r="H5" s="189"/>
      <c r="I5" s="73"/>
      <c r="J5" s="73"/>
      <c r="K5" s="73"/>
      <c r="L5" s="73"/>
      <c r="M5" s="73"/>
      <c r="N5" s="73"/>
      <c r="O5" s="73"/>
      <c r="P5" s="73"/>
      <c r="Q5" s="73"/>
      <c r="R5" s="73"/>
      <c r="S5" s="73"/>
    </row>
    <row r="6" spans="1:19" ht="15.75" customHeight="1" x14ac:dyDescent="0.25">
      <c r="A6" s="239"/>
      <c r="B6" s="73"/>
      <c r="C6" s="239"/>
      <c r="D6" s="83" t="s">
        <v>10</v>
      </c>
      <c r="E6" s="80">
        <f>D11+D14+D16+D20+D23+D24</f>
        <v>9.7222222222221877E-2</v>
      </c>
      <c r="F6" s="80">
        <f>'Uke18'!F6 + E6</f>
        <v>1.9236111111111101</v>
      </c>
      <c r="G6" s="73"/>
      <c r="H6" s="189"/>
      <c r="I6" s="189"/>
      <c r="J6" s="102"/>
      <c r="K6" s="73"/>
      <c r="L6" s="73"/>
      <c r="M6" s="73"/>
      <c r="N6" s="73"/>
      <c r="O6" s="73"/>
      <c r="P6" s="73"/>
      <c r="Q6" s="73"/>
      <c r="R6" s="73"/>
      <c r="S6" s="73"/>
    </row>
    <row r="7" spans="1:19" ht="15.75" x14ac:dyDescent="0.25">
      <c r="A7" s="135">
        <f>SUM(E4:E7)</f>
        <v>0.62152777777777724</v>
      </c>
      <c r="B7" s="133"/>
      <c r="C7" s="135">
        <f>SUM(F4:F7)</f>
        <v>8.4409722222222232</v>
      </c>
      <c r="D7" s="85" t="s">
        <v>46</v>
      </c>
      <c r="E7" s="86">
        <f>D22+D25+D27+D26</f>
        <v>0.19097222222222232</v>
      </c>
      <c r="F7" s="84">
        <f>'Uke18'!F7 + E7</f>
        <v>1.8888888888888902</v>
      </c>
      <c r="G7" s="73"/>
      <c r="H7" s="189"/>
      <c r="I7" s="189"/>
      <c r="J7" s="102"/>
      <c r="K7" s="73"/>
      <c r="L7" s="73"/>
      <c r="M7" s="73"/>
      <c r="N7" s="73"/>
      <c r="O7" s="73"/>
      <c r="P7" s="73"/>
      <c r="Q7" s="73"/>
      <c r="R7" s="73"/>
      <c r="S7" s="73"/>
    </row>
    <row r="8" spans="1:19" x14ac:dyDescent="0.2">
      <c r="A8" s="73"/>
      <c r="B8" s="73"/>
      <c r="C8" s="73"/>
      <c r="D8" s="73"/>
      <c r="E8" s="73"/>
      <c r="F8" s="73"/>
      <c r="G8" s="73"/>
      <c r="H8" s="73"/>
      <c r="I8" s="73"/>
      <c r="J8" s="73"/>
      <c r="K8" s="73"/>
      <c r="L8" s="73"/>
      <c r="M8" s="73"/>
      <c r="N8" s="73"/>
      <c r="O8" s="73"/>
      <c r="P8" s="73"/>
      <c r="Q8" s="73"/>
      <c r="R8" s="73"/>
      <c r="S8" s="73"/>
    </row>
    <row r="9" spans="1:19" x14ac:dyDescent="0.2">
      <c r="A9" s="73"/>
      <c r="B9" s="73"/>
      <c r="C9" s="73"/>
      <c r="D9" s="73"/>
      <c r="E9" s="73"/>
      <c r="F9" s="73"/>
      <c r="G9" s="73"/>
      <c r="H9" s="73"/>
      <c r="I9" s="73"/>
      <c r="J9" s="73"/>
      <c r="K9" s="73"/>
      <c r="L9" s="73"/>
      <c r="M9" s="73"/>
      <c r="N9" s="73"/>
      <c r="O9" s="73"/>
      <c r="P9" s="73"/>
      <c r="Q9" s="73"/>
      <c r="R9" s="73"/>
      <c r="S9" s="73"/>
    </row>
    <row r="10" spans="1:19" ht="15.75" x14ac:dyDescent="0.25">
      <c r="A10" s="140" t="s">
        <v>12</v>
      </c>
      <c r="B10" s="140" t="s">
        <v>57</v>
      </c>
      <c r="C10" s="140" t="s">
        <v>58</v>
      </c>
      <c r="D10" s="140" t="s">
        <v>59</v>
      </c>
      <c r="E10" s="140" t="s">
        <v>47</v>
      </c>
      <c r="F10" s="140" t="s">
        <v>39</v>
      </c>
      <c r="G10" s="73"/>
      <c r="H10" s="73"/>
      <c r="I10" s="73"/>
      <c r="J10" s="73"/>
      <c r="K10" s="73"/>
      <c r="L10" s="73"/>
      <c r="M10" s="73"/>
      <c r="N10" s="73"/>
      <c r="O10" s="73"/>
      <c r="P10" s="73"/>
      <c r="Q10" s="73"/>
      <c r="R10" s="73"/>
      <c r="S10" s="73"/>
    </row>
    <row r="11" spans="1:19" ht="15.75" x14ac:dyDescent="0.25">
      <c r="A11" s="145">
        <v>43955</v>
      </c>
      <c r="B11" s="146">
        <v>0.58333333333333337</v>
      </c>
      <c r="C11" s="146">
        <v>0.60416666666666663</v>
      </c>
      <c r="D11" s="146">
        <f t="shared" ref="D11:D12" si="0">C11-B11</f>
        <v>2.0833333333333259E-2</v>
      </c>
      <c r="E11" s="208" t="s">
        <v>48</v>
      </c>
      <c r="F11" s="216"/>
      <c r="G11" s="73"/>
      <c r="H11" s="73"/>
      <c r="I11" s="73"/>
      <c r="J11" s="73"/>
      <c r="K11" s="73"/>
      <c r="L11" s="73"/>
      <c r="M11" s="73"/>
      <c r="N11" s="73"/>
      <c r="O11" s="73"/>
      <c r="P11" s="73"/>
      <c r="Q11" s="73"/>
      <c r="R11" s="73"/>
      <c r="S11" s="73"/>
    </row>
    <row r="12" spans="1:19" ht="31.5" x14ac:dyDescent="0.25">
      <c r="A12" s="193">
        <v>43955</v>
      </c>
      <c r="B12" s="194">
        <v>0.83333333333333337</v>
      </c>
      <c r="C12" s="194">
        <v>0.89583333333333337</v>
      </c>
      <c r="D12" s="194">
        <f t="shared" si="0"/>
        <v>6.25E-2</v>
      </c>
      <c r="E12" s="202" t="s">
        <v>196</v>
      </c>
      <c r="F12" s="211" t="s">
        <v>187</v>
      </c>
      <c r="G12" s="73"/>
      <c r="H12" s="73"/>
      <c r="I12" s="73"/>
      <c r="J12" s="73"/>
      <c r="K12" s="73"/>
      <c r="L12" s="73"/>
      <c r="M12" s="73"/>
      <c r="N12" s="73"/>
      <c r="O12" s="73"/>
      <c r="P12" s="73"/>
      <c r="Q12" s="73"/>
      <c r="R12" s="73"/>
      <c r="S12" s="73"/>
    </row>
    <row r="13" spans="1:19" ht="15.75" x14ac:dyDescent="0.25">
      <c r="A13" s="193">
        <v>43956</v>
      </c>
      <c r="B13" s="194">
        <v>0.64583333333333337</v>
      </c>
      <c r="C13" s="194">
        <v>0.66666666666666663</v>
      </c>
      <c r="D13" s="194">
        <f t="shared" ref="D13:D14" si="1">C13-B13</f>
        <v>2.0833333333333259E-2</v>
      </c>
      <c r="E13" s="202" t="s">
        <v>197</v>
      </c>
      <c r="F13" s="211"/>
      <c r="G13" s="73"/>
      <c r="H13" s="73"/>
      <c r="I13" s="73"/>
      <c r="J13" s="73"/>
      <c r="K13" s="73"/>
      <c r="L13" s="73"/>
      <c r="M13" s="73"/>
      <c r="N13" s="73"/>
      <c r="O13" s="73"/>
      <c r="P13" s="73"/>
      <c r="Q13" s="73"/>
      <c r="R13" s="73"/>
      <c r="S13" s="73"/>
    </row>
    <row r="14" spans="1:19" ht="15.75" x14ac:dyDescent="0.25">
      <c r="A14" s="145">
        <v>43957</v>
      </c>
      <c r="B14" s="146">
        <v>0.58333333333333337</v>
      </c>
      <c r="C14" s="146">
        <v>0.60416666666666663</v>
      </c>
      <c r="D14" s="146">
        <f t="shared" si="1"/>
        <v>2.0833333333333259E-2</v>
      </c>
      <c r="E14" s="208" t="s">
        <v>48</v>
      </c>
      <c r="F14" s="211"/>
      <c r="G14" s="73"/>
      <c r="H14" s="73"/>
      <c r="I14" s="73"/>
      <c r="J14" s="73"/>
      <c r="K14" s="73"/>
      <c r="L14" s="73"/>
      <c r="M14" s="73"/>
      <c r="N14" s="73"/>
      <c r="O14" s="73"/>
      <c r="P14" s="73"/>
      <c r="Q14" s="73"/>
      <c r="R14" s="73"/>
      <c r="S14" s="73"/>
    </row>
    <row r="15" spans="1:19" ht="15.75" x14ac:dyDescent="0.25">
      <c r="A15" s="193">
        <v>43957</v>
      </c>
      <c r="B15" s="194">
        <v>0.70833333333333337</v>
      </c>
      <c r="C15" s="194">
        <v>0.79166666666666663</v>
      </c>
      <c r="D15" s="194">
        <f t="shared" ref="D15:D16" si="2">C15-B15</f>
        <v>8.3333333333333259E-2</v>
      </c>
      <c r="E15" s="202" t="s">
        <v>198</v>
      </c>
      <c r="F15" s="211"/>
      <c r="G15" s="73"/>
      <c r="H15" s="73"/>
      <c r="I15" s="73"/>
      <c r="J15" s="73"/>
      <c r="K15" s="73"/>
      <c r="L15" s="73"/>
      <c r="M15" s="73"/>
      <c r="N15" s="73"/>
      <c r="O15" s="73"/>
      <c r="P15" s="73"/>
      <c r="Q15" s="73"/>
      <c r="R15" s="73"/>
      <c r="S15" s="73"/>
    </row>
    <row r="16" spans="1:19" ht="15.75" customHeight="1" x14ac:dyDescent="0.25">
      <c r="A16" s="145">
        <v>43959</v>
      </c>
      <c r="B16" s="146">
        <v>0.58333333333333337</v>
      </c>
      <c r="C16" s="146">
        <v>0.60416666666666663</v>
      </c>
      <c r="D16" s="146">
        <f t="shared" si="2"/>
        <v>2.0833333333333259E-2</v>
      </c>
      <c r="E16" s="208" t="s">
        <v>48</v>
      </c>
      <c r="F16" s="211"/>
      <c r="G16" s="73"/>
      <c r="H16" s="73"/>
      <c r="I16" s="73"/>
      <c r="J16" s="73"/>
      <c r="K16" s="73"/>
      <c r="L16" s="73"/>
      <c r="M16" s="73"/>
      <c r="N16" s="73"/>
      <c r="O16" s="73"/>
      <c r="P16" s="73"/>
      <c r="Q16" s="73"/>
      <c r="R16" s="73"/>
      <c r="S16" s="73"/>
    </row>
    <row r="17" spans="1:19" ht="47.25" x14ac:dyDescent="0.25">
      <c r="A17" s="193">
        <v>43959</v>
      </c>
      <c r="B17" s="194">
        <v>0.70833333333333337</v>
      </c>
      <c r="C17" s="194">
        <v>0.75</v>
      </c>
      <c r="D17" s="194">
        <f t="shared" ref="D17" si="3">C17-B17</f>
        <v>4.166666666666663E-2</v>
      </c>
      <c r="E17" s="202" t="s">
        <v>199</v>
      </c>
      <c r="F17" s="211"/>
      <c r="G17" s="73"/>
      <c r="H17" s="73"/>
      <c r="I17" s="73"/>
      <c r="J17" s="73"/>
      <c r="K17" s="73"/>
      <c r="L17" s="73"/>
      <c r="M17" s="73"/>
      <c r="N17" s="73"/>
      <c r="O17" s="73"/>
      <c r="P17" s="73"/>
      <c r="Q17" s="73"/>
      <c r="R17" s="73"/>
      <c r="S17" s="73"/>
    </row>
    <row r="18" spans="1:19" ht="47.25" x14ac:dyDescent="0.25">
      <c r="A18" s="193">
        <v>43959</v>
      </c>
      <c r="B18" s="194">
        <v>0.83333333333333337</v>
      </c>
      <c r="C18" s="194">
        <v>0.875</v>
      </c>
      <c r="D18" s="194">
        <f t="shared" ref="D18" si="4">C18-B18</f>
        <v>4.166666666666663E-2</v>
      </c>
      <c r="E18" s="202" t="s">
        <v>200</v>
      </c>
      <c r="F18" s="211" t="s">
        <v>201</v>
      </c>
      <c r="G18" s="73"/>
      <c r="H18" s="73"/>
      <c r="I18" s="73"/>
      <c r="J18" s="73"/>
      <c r="K18" s="73"/>
      <c r="L18" s="73"/>
      <c r="M18" s="73"/>
      <c r="N18" s="73"/>
      <c r="O18" s="73"/>
      <c r="P18" s="73"/>
      <c r="Q18" s="73"/>
      <c r="R18" s="73"/>
      <c r="S18" s="73"/>
    </row>
    <row r="19" spans="1:19" ht="47.25" x14ac:dyDescent="0.25">
      <c r="A19" s="193">
        <v>43960</v>
      </c>
      <c r="B19" s="194">
        <v>0.47916666666666669</v>
      </c>
      <c r="C19" s="194">
        <v>0.54166666666666663</v>
      </c>
      <c r="D19" s="194">
        <f t="shared" ref="D19:D20" si="5">C19-B19</f>
        <v>6.2499999999999944E-2</v>
      </c>
      <c r="E19" s="202" t="s">
        <v>200</v>
      </c>
      <c r="F19" s="211" t="s">
        <v>201</v>
      </c>
      <c r="G19" s="73"/>
      <c r="H19" s="73"/>
      <c r="I19" s="73"/>
      <c r="J19" s="73"/>
      <c r="K19" s="73"/>
      <c r="L19" s="73"/>
      <c r="M19" s="73"/>
      <c r="N19" s="73"/>
      <c r="O19" s="73"/>
      <c r="P19" s="73"/>
      <c r="Q19" s="73"/>
      <c r="R19" s="73"/>
      <c r="S19" s="73"/>
    </row>
    <row r="20" spans="1:19" ht="31.5" x14ac:dyDescent="0.25">
      <c r="A20" s="145">
        <v>43960</v>
      </c>
      <c r="B20" s="146">
        <v>0.54166666666666663</v>
      </c>
      <c r="C20" s="146">
        <v>0.54861111111111105</v>
      </c>
      <c r="D20" s="146">
        <f t="shared" si="5"/>
        <v>6.9444444444444198E-3</v>
      </c>
      <c r="E20" s="208" t="s">
        <v>202</v>
      </c>
      <c r="F20" s="211"/>
      <c r="G20" s="73"/>
      <c r="H20" s="73"/>
      <c r="I20" s="73"/>
      <c r="J20" s="73"/>
      <c r="K20" s="73"/>
      <c r="L20" s="73"/>
      <c r="M20" s="73"/>
      <c r="N20" s="73"/>
      <c r="O20" s="73"/>
      <c r="P20" s="73"/>
      <c r="Q20" s="73"/>
      <c r="R20" s="73"/>
      <c r="S20" s="73"/>
    </row>
    <row r="21" spans="1:19" ht="47.25" x14ac:dyDescent="0.25">
      <c r="A21" s="193">
        <v>43960</v>
      </c>
      <c r="B21" s="194">
        <v>0.60416666666666663</v>
      </c>
      <c r="C21" s="194">
        <v>0.625</v>
      </c>
      <c r="D21" s="194">
        <f t="shared" ref="D21:D23" si="6">C21-B21</f>
        <v>2.083333333333337E-2</v>
      </c>
      <c r="E21" s="202" t="s">
        <v>200</v>
      </c>
      <c r="F21" s="211" t="s">
        <v>201</v>
      </c>
      <c r="G21" s="73"/>
      <c r="H21" s="73"/>
      <c r="I21" s="73"/>
      <c r="J21" s="73"/>
      <c r="K21" s="73"/>
      <c r="L21" s="73"/>
      <c r="M21" s="73"/>
      <c r="N21" s="73"/>
      <c r="O21" s="73"/>
      <c r="P21" s="73"/>
      <c r="Q21" s="73"/>
      <c r="R21" s="73"/>
      <c r="S21" s="73"/>
    </row>
    <row r="22" spans="1:19" ht="31.5" x14ac:dyDescent="0.25">
      <c r="A22" s="195">
        <v>43960</v>
      </c>
      <c r="B22" s="196">
        <v>0.75</v>
      </c>
      <c r="C22" s="196">
        <v>0.8125</v>
      </c>
      <c r="D22" s="196">
        <f t="shared" si="6"/>
        <v>6.25E-2</v>
      </c>
      <c r="E22" s="212" t="s">
        <v>203</v>
      </c>
      <c r="F22" s="211"/>
      <c r="G22" s="73"/>
      <c r="H22" s="73"/>
      <c r="I22" s="73"/>
      <c r="J22" s="73"/>
      <c r="K22" s="73"/>
      <c r="L22" s="73"/>
      <c r="M22" s="73"/>
      <c r="N22" s="73"/>
      <c r="O22" s="73"/>
      <c r="P22" s="73"/>
      <c r="Q22" s="73"/>
      <c r="R22" s="73"/>
      <c r="S22" s="73"/>
    </row>
    <row r="23" spans="1:19" ht="15.75" x14ac:dyDescent="0.25">
      <c r="A23" s="145">
        <v>43961</v>
      </c>
      <c r="B23" s="146">
        <v>0.58333333333333337</v>
      </c>
      <c r="C23" s="146">
        <v>0.59722222222222221</v>
      </c>
      <c r="D23" s="146">
        <f t="shared" si="6"/>
        <v>1.388888888888884E-2</v>
      </c>
      <c r="E23" s="208" t="s">
        <v>48</v>
      </c>
      <c r="F23" s="211"/>
      <c r="G23" s="73"/>
      <c r="H23" s="73"/>
      <c r="I23" s="73"/>
      <c r="J23" s="73"/>
      <c r="K23" s="73"/>
      <c r="L23" s="73"/>
      <c r="M23" s="73"/>
      <c r="N23" s="73"/>
      <c r="O23" s="73"/>
      <c r="P23" s="73"/>
      <c r="Q23" s="73"/>
      <c r="R23" s="73"/>
      <c r="S23" s="73"/>
    </row>
    <row r="24" spans="1:19" ht="15.75" customHeight="1" x14ac:dyDescent="0.25">
      <c r="A24" s="218">
        <v>43961</v>
      </c>
      <c r="B24" s="219">
        <v>0.65625</v>
      </c>
      <c r="C24" s="219">
        <v>0.67013888888888884</v>
      </c>
      <c r="D24" s="219">
        <f t="shared" ref="D24:D26" si="7">C24-B24</f>
        <v>1.388888888888884E-2</v>
      </c>
      <c r="E24" s="220" t="s">
        <v>204</v>
      </c>
      <c r="F24" s="211"/>
      <c r="G24" s="73"/>
      <c r="H24" s="73"/>
      <c r="I24" s="73"/>
      <c r="J24" s="73"/>
      <c r="K24" s="73"/>
      <c r="L24" s="73"/>
      <c r="M24" s="73"/>
      <c r="N24" s="73"/>
      <c r="O24" s="73"/>
      <c r="P24" s="73"/>
      <c r="Q24" s="73"/>
      <c r="R24" s="73"/>
      <c r="S24" s="73"/>
    </row>
    <row r="25" spans="1:19" ht="31.5" x14ac:dyDescent="0.25">
      <c r="A25" s="195">
        <v>43961</v>
      </c>
      <c r="B25" s="196">
        <v>0.77083333333333337</v>
      </c>
      <c r="C25" s="196">
        <v>0.86111111111111116</v>
      </c>
      <c r="D25" s="196">
        <f t="shared" si="7"/>
        <v>9.027777777777779E-2</v>
      </c>
      <c r="E25" s="212" t="s">
        <v>205</v>
      </c>
      <c r="F25" s="211"/>
      <c r="G25" s="73"/>
      <c r="H25" s="73"/>
      <c r="I25" s="73"/>
      <c r="J25" s="73"/>
      <c r="K25" s="73"/>
      <c r="L25" s="73"/>
      <c r="M25" s="73"/>
      <c r="N25" s="73"/>
      <c r="O25" s="73"/>
      <c r="P25" s="73"/>
      <c r="Q25" s="73"/>
      <c r="R25" s="73"/>
      <c r="S25" s="73"/>
    </row>
    <row r="26" spans="1:19" ht="15.75" x14ac:dyDescent="0.25">
      <c r="A26" s="195">
        <v>43961</v>
      </c>
      <c r="B26" s="196">
        <v>0.86111111111111116</v>
      </c>
      <c r="C26" s="196">
        <v>0.88194444444444453</v>
      </c>
      <c r="D26" s="196">
        <f t="shared" si="7"/>
        <v>2.083333333333337E-2</v>
      </c>
      <c r="E26" s="212" t="s">
        <v>206</v>
      </c>
      <c r="F26" s="211"/>
      <c r="G26" s="73"/>
      <c r="H26" s="73"/>
      <c r="I26" s="73"/>
      <c r="J26" s="73"/>
      <c r="K26" s="73"/>
      <c r="L26" s="73"/>
      <c r="M26" s="73"/>
      <c r="N26" s="73"/>
      <c r="O26" s="73"/>
      <c r="P26" s="73"/>
      <c r="Q26" s="73"/>
      <c r="R26" s="73"/>
      <c r="S26" s="73"/>
    </row>
    <row r="27" spans="1:19" ht="31.5" x14ac:dyDescent="0.25">
      <c r="A27" s="195">
        <v>43961</v>
      </c>
      <c r="B27" s="196">
        <v>0.89583333333333337</v>
      </c>
      <c r="C27" s="196">
        <v>0.91319444444444453</v>
      </c>
      <c r="D27" s="196">
        <f t="shared" ref="D27" si="8">C27-B27</f>
        <v>1.736111111111116E-2</v>
      </c>
      <c r="E27" s="212" t="s">
        <v>205</v>
      </c>
      <c r="F27" s="214"/>
      <c r="G27" s="81"/>
      <c r="H27" s="73"/>
      <c r="I27" s="73"/>
      <c r="J27" s="73"/>
      <c r="K27" s="73"/>
      <c r="L27" s="73"/>
      <c r="M27" s="73"/>
      <c r="N27" s="73"/>
      <c r="O27" s="73"/>
      <c r="P27" s="73"/>
      <c r="Q27" s="73"/>
      <c r="R27" s="73"/>
      <c r="S27" s="73"/>
    </row>
    <row r="28" spans="1:19" ht="15.75" x14ac:dyDescent="0.25">
      <c r="A28" s="187"/>
      <c r="B28" s="188"/>
      <c r="C28" s="188"/>
      <c r="D28" s="188"/>
      <c r="E28" s="186"/>
      <c r="F28" s="204"/>
      <c r="G28" s="81"/>
      <c r="H28" s="73"/>
      <c r="I28" s="73"/>
      <c r="J28" s="73"/>
      <c r="K28" s="73"/>
      <c r="L28" s="73"/>
      <c r="M28" s="73"/>
      <c r="N28" s="73"/>
      <c r="O28" s="73"/>
      <c r="P28" s="73"/>
      <c r="Q28" s="73"/>
      <c r="R28" s="73"/>
      <c r="S28" s="73"/>
    </row>
    <row r="29" spans="1:19" ht="15.75" customHeight="1" x14ac:dyDescent="0.2">
      <c r="A29" s="238" t="s">
        <v>23</v>
      </c>
      <c r="B29" s="238"/>
      <c r="C29" s="238"/>
      <c r="D29" s="238"/>
      <c r="E29" s="238"/>
      <c r="F29" s="238"/>
      <c r="G29" s="81"/>
      <c r="H29" s="73"/>
      <c r="I29" s="73"/>
      <c r="J29" s="73"/>
      <c r="K29" s="73"/>
      <c r="L29" s="73"/>
      <c r="M29" s="73"/>
      <c r="N29" s="73"/>
      <c r="O29" s="73"/>
      <c r="P29" s="73"/>
      <c r="Q29" s="73"/>
      <c r="R29" s="73"/>
      <c r="S29" s="73"/>
    </row>
    <row r="30" spans="1:19" ht="15.75" customHeight="1" x14ac:dyDescent="0.2">
      <c r="A30" s="240"/>
      <c r="B30" s="240"/>
      <c r="C30" s="240"/>
      <c r="D30" s="240"/>
      <c r="E30" s="240"/>
      <c r="F30" s="240"/>
      <c r="G30" s="81"/>
      <c r="H30" s="73"/>
      <c r="I30" s="73"/>
      <c r="J30" s="73"/>
      <c r="K30" s="73"/>
      <c r="L30" s="73"/>
      <c r="M30" s="73"/>
      <c r="N30" s="73"/>
      <c r="O30" s="73"/>
      <c r="P30" s="73"/>
      <c r="Q30" s="73"/>
      <c r="R30" s="73"/>
      <c r="S30" s="73"/>
    </row>
    <row r="31" spans="1:19" ht="15.75" x14ac:dyDescent="0.25">
      <c r="A31" s="187"/>
      <c r="B31" s="188"/>
      <c r="C31" s="188"/>
      <c r="D31" s="188"/>
      <c r="E31" s="186"/>
      <c r="F31" s="204"/>
      <c r="G31" s="81"/>
      <c r="H31" s="73"/>
      <c r="I31" s="73"/>
      <c r="J31" s="73"/>
      <c r="K31" s="73"/>
      <c r="L31" s="73"/>
      <c r="M31" s="73"/>
      <c r="N31" s="73"/>
      <c r="O31" s="73"/>
      <c r="P31" s="73"/>
      <c r="Q31" s="73"/>
      <c r="R31" s="73"/>
      <c r="S31" s="73"/>
    </row>
    <row r="32" spans="1:19" ht="376.5" customHeight="1" x14ac:dyDescent="0.2">
      <c r="A32" s="241" t="s">
        <v>207</v>
      </c>
      <c r="B32" s="242"/>
      <c r="C32" s="242"/>
      <c r="D32" s="242"/>
      <c r="E32" s="242"/>
      <c r="F32" s="243"/>
      <c r="G32" s="81"/>
      <c r="H32" s="73"/>
      <c r="I32" s="73"/>
      <c r="J32" s="73"/>
      <c r="K32" s="73"/>
      <c r="L32" s="73"/>
      <c r="M32" s="73"/>
      <c r="N32" s="73"/>
      <c r="O32" s="73"/>
      <c r="P32" s="73"/>
      <c r="Q32" s="73"/>
      <c r="R32" s="73"/>
      <c r="S32" s="73"/>
    </row>
    <row r="33" spans="1:19" x14ac:dyDescent="0.2">
      <c r="A33" s="244"/>
      <c r="B33" s="245"/>
      <c r="C33" s="245"/>
      <c r="D33" s="245"/>
      <c r="E33" s="245"/>
      <c r="F33" s="246"/>
      <c r="G33" s="81"/>
      <c r="H33" s="73"/>
      <c r="I33" s="73"/>
      <c r="J33" s="73"/>
      <c r="K33" s="73"/>
      <c r="L33" s="73"/>
      <c r="M33" s="73"/>
      <c r="N33" s="73"/>
      <c r="O33" s="73"/>
      <c r="P33" s="73"/>
      <c r="Q33" s="73"/>
      <c r="R33" s="73"/>
      <c r="S33" s="73"/>
    </row>
    <row r="34" spans="1:19" x14ac:dyDescent="0.2">
      <c r="A34" s="244"/>
      <c r="B34" s="245"/>
      <c r="C34" s="245"/>
      <c r="D34" s="245"/>
      <c r="E34" s="245"/>
      <c r="F34" s="246"/>
      <c r="G34" s="81"/>
      <c r="H34" s="73"/>
      <c r="I34" s="73"/>
      <c r="J34" s="73"/>
      <c r="K34" s="73"/>
      <c r="L34" s="73"/>
      <c r="M34" s="73"/>
      <c r="N34" s="73"/>
      <c r="O34" s="73"/>
      <c r="P34" s="73"/>
      <c r="Q34" s="73"/>
      <c r="R34" s="73"/>
      <c r="S34" s="73"/>
    </row>
    <row r="35" spans="1:19" x14ac:dyDescent="0.2">
      <c r="A35" s="244"/>
      <c r="B35" s="245"/>
      <c r="C35" s="245"/>
      <c r="D35" s="245"/>
      <c r="E35" s="245"/>
      <c r="F35" s="246"/>
      <c r="G35" s="81"/>
      <c r="H35" s="73"/>
      <c r="I35" s="73"/>
      <c r="J35" s="73"/>
      <c r="K35" s="73"/>
      <c r="L35" s="73"/>
      <c r="M35" s="73"/>
      <c r="N35" s="73"/>
      <c r="O35" s="73"/>
      <c r="P35" s="73"/>
      <c r="Q35" s="73"/>
      <c r="R35" s="73"/>
      <c r="S35" s="73"/>
    </row>
    <row r="36" spans="1:19" x14ac:dyDescent="0.2">
      <c r="A36" s="244"/>
      <c r="B36" s="245"/>
      <c r="C36" s="245"/>
      <c r="D36" s="245"/>
      <c r="E36" s="245"/>
      <c r="F36" s="246"/>
      <c r="G36" s="81"/>
      <c r="H36" s="73"/>
      <c r="I36" s="73"/>
      <c r="J36" s="73"/>
      <c r="K36" s="73"/>
      <c r="L36" s="73"/>
      <c r="M36" s="73"/>
      <c r="N36" s="73"/>
      <c r="O36" s="73"/>
      <c r="P36" s="73"/>
      <c r="Q36" s="73"/>
      <c r="R36" s="73"/>
      <c r="S36" s="73"/>
    </row>
    <row r="37" spans="1:19" x14ac:dyDescent="0.2">
      <c r="A37" s="244"/>
      <c r="B37" s="245"/>
      <c r="C37" s="245"/>
      <c r="D37" s="245"/>
      <c r="E37" s="245"/>
      <c r="F37" s="246"/>
      <c r="G37" s="81"/>
      <c r="H37" s="73"/>
      <c r="I37" s="73"/>
      <c r="J37" s="73"/>
      <c r="K37" s="73"/>
      <c r="L37" s="73"/>
      <c r="M37" s="73"/>
      <c r="N37" s="73"/>
      <c r="O37" s="73"/>
      <c r="P37" s="73"/>
      <c r="Q37" s="73"/>
      <c r="R37" s="73"/>
      <c r="S37" s="73"/>
    </row>
    <row r="38" spans="1:19" ht="12.75" customHeight="1" x14ac:dyDescent="0.2">
      <c r="A38" s="244"/>
      <c r="B38" s="245"/>
      <c r="C38" s="245"/>
      <c r="D38" s="245"/>
      <c r="E38" s="245"/>
      <c r="F38" s="246"/>
      <c r="G38" s="73"/>
      <c r="H38" s="73"/>
      <c r="I38" s="73"/>
      <c r="J38" s="73"/>
      <c r="K38" s="73"/>
      <c r="L38" s="73"/>
      <c r="M38" s="73"/>
      <c r="N38" s="73"/>
      <c r="O38" s="73"/>
      <c r="P38" s="73"/>
      <c r="Q38" s="73"/>
      <c r="R38" s="73"/>
      <c r="S38" s="73"/>
    </row>
    <row r="39" spans="1:19" ht="12.75" customHeight="1" x14ac:dyDescent="0.2">
      <c r="A39" s="244"/>
      <c r="B39" s="245"/>
      <c r="C39" s="245"/>
      <c r="D39" s="245"/>
      <c r="E39" s="245"/>
      <c r="F39" s="246"/>
      <c r="G39" s="73"/>
      <c r="H39" s="73"/>
      <c r="I39" s="73"/>
      <c r="J39" s="73"/>
      <c r="K39" s="73"/>
      <c r="L39" s="73"/>
      <c r="M39" s="73"/>
      <c r="N39" s="73"/>
      <c r="O39" s="73"/>
      <c r="P39" s="73"/>
      <c r="Q39" s="73"/>
      <c r="R39" s="73"/>
      <c r="S39" s="73"/>
    </row>
    <row r="40" spans="1:19" ht="18.75" customHeight="1" x14ac:dyDescent="0.2">
      <c r="A40" s="244"/>
      <c r="B40" s="245"/>
      <c r="C40" s="245"/>
      <c r="D40" s="245"/>
      <c r="E40" s="245"/>
      <c r="F40" s="246"/>
      <c r="G40" s="73"/>
      <c r="H40" s="73"/>
      <c r="I40" s="73"/>
      <c r="J40" s="73"/>
      <c r="K40" s="73"/>
      <c r="L40" s="73"/>
      <c r="M40" s="73"/>
      <c r="N40" s="73"/>
      <c r="O40" s="73"/>
      <c r="P40" s="73"/>
      <c r="Q40" s="73"/>
      <c r="R40" s="73"/>
      <c r="S40" s="73"/>
    </row>
    <row r="41" spans="1:19" ht="251.25" hidden="1" customHeight="1" x14ac:dyDescent="0.2">
      <c r="A41" s="244"/>
      <c r="B41" s="245"/>
      <c r="C41" s="245"/>
      <c r="D41" s="245"/>
      <c r="E41" s="245"/>
      <c r="F41" s="246"/>
      <c r="G41" s="73"/>
      <c r="H41" s="73"/>
      <c r="I41" s="73"/>
      <c r="J41" s="73"/>
      <c r="K41" s="73"/>
      <c r="L41" s="73"/>
      <c r="M41" s="73"/>
      <c r="N41" s="73"/>
      <c r="O41" s="73"/>
      <c r="P41" s="73"/>
      <c r="Q41" s="73"/>
      <c r="R41" s="73"/>
      <c r="S41" s="73"/>
    </row>
    <row r="42" spans="1:19" ht="12.75" customHeight="1" x14ac:dyDescent="0.2">
      <c r="A42" s="247"/>
      <c r="B42" s="248"/>
      <c r="C42" s="248"/>
      <c r="D42" s="248"/>
      <c r="E42" s="248"/>
      <c r="F42" s="249"/>
      <c r="G42" s="73"/>
      <c r="H42" s="73"/>
      <c r="I42" s="73"/>
      <c r="J42" s="73"/>
      <c r="K42" s="73"/>
      <c r="L42" s="73"/>
      <c r="M42" s="73"/>
      <c r="N42" s="73"/>
      <c r="O42" s="73"/>
      <c r="P42" s="73"/>
      <c r="Q42" s="73"/>
      <c r="R42" s="73"/>
      <c r="S42" s="73"/>
    </row>
    <row r="43" spans="1:19" ht="12.75" customHeight="1" x14ac:dyDescent="0.2">
      <c r="A43" s="217"/>
      <c r="B43" s="217"/>
      <c r="C43" s="217"/>
      <c r="D43" s="217"/>
      <c r="E43" s="217"/>
      <c r="F43" s="217"/>
      <c r="G43" s="73"/>
      <c r="H43" s="73"/>
      <c r="I43" s="73"/>
      <c r="J43" s="73"/>
      <c r="K43" s="73"/>
      <c r="L43" s="73"/>
      <c r="M43" s="73"/>
      <c r="N43" s="73"/>
      <c r="O43" s="73"/>
      <c r="P43" s="73"/>
      <c r="Q43" s="73"/>
      <c r="R43" s="73"/>
      <c r="S43" s="73"/>
    </row>
    <row r="44" spans="1:19" ht="12.75" customHeight="1" x14ac:dyDescent="0.2">
      <c r="A44" s="217"/>
      <c r="B44" s="217"/>
      <c r="C44" s="217"/>
      <c r="D44" s="217"/>
      <c r="E44" s="217"/>
      <c r="F44" s="217"/>
      <c r="G44" s="73"/>
      <c r="H44" s="73"/>
      <c r="I44" s="73"/>
      <c r="J44" s="73"/>
      <c r="K44" s="73"/>
      <c r="L44" s="73"/>
      <c r="M44" s="73"/>
      <c r="N44" s="73"/>
      <c r="O44" s="73"/>
      <c r="P44" s="73"/>
      <c r="Q44" s="73"/>
      <c r="R44" s="73"/>
      <c r="S44" s="73"/>
    </row>
    <row r="45" spans="1:19" ht="12.75" customHeight="1" x14ac:dyDescent="0.2">
      <c r="A45" s="217"/>
      <c r="B45" s="217"/>
      <c r="C45" s="217"/>
      <c r="D45" s="217"/>
      <c r="E45" s="217"/>
      <c r="F45" s="217"/>
      <c r="G45" s="73"/>
      <c r="H45" s="73"/>
      <c r="I45" s="73"/>
      <c r="J45" s="73"/>
      <c r="K45" s="73"/>
      <c r="L45" s="73"/>
      <c r="M45" s="73"/>
      <c r="N45" s="73"/>
      <c r="O45" s="73"/>
      <c r="P45" s="73"/>
      <c r="Q45" s="73"/>
      <c r="R45" s="73"/>
      <c r="S45" s="73"/>
    </row>
    <row r="46" spans="1:19" ht="12.75" customHeight="1" x14ac:dyDescent="0.2">
      <c r="A46" s="217"/>
      <c r="B46" s="217"/>
      <c r="C46" s="217"/>
      <c r="D46" s="217"/>
      <c r="E46" s="217"/>
      <c r="F46" s="217"/>
      <c r="G46" s="73"/>
      <c r="H46" s="73"/>
      <c r="I46" s="73"/>
      <c r="J46" s="73"/>
      <c r="K46" s="73"/>
      <c r="L46" s="73"/>
      <c r="M46" s="73"/>
      <c r="N46" s="73"/>
      <c r="O46" s="73"/>
      <c r="P46" s="73"/>
      <c r="Q46" s="73"/>
      <c r="R46" s="73"/>
      <c r="S46" s="73"/>
    </row>
    <row r="47" spans="1:19" ht="12.75" customHeight="1" x14ac:dyDescent="0.2">
      <c r="A47" s="217"/>
      <c r="B47" s="217"/>
      <c r="C47" s="217"/>
      <c r="D47" s="217"/>
      <c r="E47" s="217"/>
      <c r="F47" s="217"/>
      <c r="G47" s="73"/>
      <c r="H47" s="73"/>
      <c r="I47" s="73"/>
      <c r="J47" s="73"/>
      <c r="K47" s="73"/>
      <c r="L47" s="73"/>
      <c r="M47" s="73"/>
      <c r="N47" s="73"/>
      <c r="O47" s="73"/>
      <c r="P47" s="73"/>
      <c r="Q47" s="73"/>
      <c r="R47" s="73"/>
      <c r="S47" s="73"/>
    </row>
    <row r="48" spans="1:19" ht="12.75" customHeight="1" x14ac:dyDescent="0.2">
      <c r="A48" s="217"/>
      <c r="B48" s="217"/>
      <c r="C48" s="217"/>
      <c r="D48" s="217"/>
      <c r="E48" s="217"/>
      <c r="F48" s="217"/>
      <c r="G48" s="73"/>
      <c r="H48" s="73"/>
      <c r="I48" s="73"/>
      <c r="J48" s="73"/>
      <c r="K48" s="73"/>
      <c r="L48" s="73"/>
      <c r="M48" s="73"/>
      <c r="N48" s="73"/>
      <c r="O48" s="73"/>
      <c r="P48" s="73"/>
      <c r="Q48" s="73"/>
      <c r="R48" s="73"/>
      <c r="S48" s="73"/>
    </row>
    <row r="49" spans="1:19" ht="12.75" customHeight="1" x14ac:dyDescent="0.2">
      <c r="A49" s="217"/>
      <c r="B49" s="217"/>
      <c r="C49" s="217"/>
      <c r="D49" s="217"/>
      <c r="E49" s="217"/>
      <c r="F49" s="217"/>
      <c r="G49" s="73"/>
      <c r="H49" s="73"/>
      <c r="I49" s="73"/>
      <c r="J49" s="73"/>
      <c r="K49" s="73"/>
      <c r="L49" s="73"/>
      <c r="M49" s="73"/>
      <c r="N49" s="73"/>
      <c r="O49" s="73"/>
      <c r="P49" s="73"/>
      <c r="Q49" s="73"/>
      <c r="R49" s="73"/>
      <c r="S49" s="73"/>
    </row>
    <row r="50" spans="1:19" ht="12.75" customHeight="1" x14ac:dyDescent="0.2">
      <c r="A50" s="217"/>
      <c r="B50" s="217"/>
      <c r="C50" s="217"/>
      <c r="D50" s="217"/>
      <c r="E50" s="217"/>
      <c r="F50" s="217"/>
      <c r="G50" s="73"/>
      <c r="H50" s="73"/>
      <c r="I50" s="73"/>
      <c r="J50" s="73"/>
      <c r="K50" s="73"/>
      <c r="L50" s="73"/>
      <c r="M50" s="73"/>
      <c r="N50" s="73"/>
      <c r="O50" s="73"/>
      <c r="P50" s="73"/>
      <c r="Q50" s="73"/>
      <c r="R50" s="73"/>
      <c r="S50" s="73"/>
    </row>
    <row r="51" spans="1:19" ht="12.75" customHeight="1" x14ac:dyDescent="0.2">
      <c r="A51" s="217"/>
      <c r="B51" s="217"/>
      <c r="C51" s="217"/>
      <c r="D51" s="217"/>
      <c r="E51" s="217"/>
      <c r="F51" s="217"/>
      <c r="G51" s="73"/>
      <c r="H51" s="73"/>
      <c r="I51" s="73"/>
      <c r="J51" s="73"/>
      <c r="K51" s="73"/>
      <c r="L51" s="73"/>
      <c r="M51" s="73"/>
      <c r="N51" s="73"/>
      <c r="O51" s="73"/>
      <c r="P51" s="73"/>
      <c r="Q51" s="73"/>
      <c r="R51" s="73"/>
      <c r="S51" s="73"/>
    </row>
    <row r="52" spans="1:19" x14ac:dyDescent="0.2">
      <c r="A52" s="73"/>
      <c r="B52" s="73"/>
      <c r="C52" s="73"/>
      <c r="D52" s="73"/>
      <c r="E52" s="73"/>
      <c r="F52" s="73"/>
      <c r="G52" s="73"/>
      <c r="H52" s="73"/>
      <c r="I52" s="73"/>
      <c r="J52" s="73"/>
      <c r="K52" s="73"/>
      <c r="L52" s="73"/>
      <c r="M52" s="73"/>
      <c r="N52" s="73"/>
      <c r="O52" s="73"/>
      <c r="P52" s="73"/>
      <c r="Q52" s="73"/>
      <c r="R52" s="73"/>
      <c r="S52" s="73"/>
    </row>
    <row r="53" spans="1:19" x14ac:dyDescent="0.2">
      <c r="A53" s="73"/>
      <c r="B53" s="73"/>
      <c r="C53" s="73"/>
      <c r="D53" s="73"/>
      <c r="E53" s="73"/>
      <c r="F53" s="73"/>
      <c r="G53" s="73"/>
      <c r="H53" s="73"/>
      <c r="I53" s="73"/>
      <c r="J53" s="73"/>
      <c r="K53" s="73"/>
      <c r="L53" s="73"/>
      <c r="M53" s="73"/>
      <c r="N53" s="73"/>
      <c r="O53" s="73"/>
      <c r="P53" s="73"/>
      <c r="Q53" s="73"/>
      <c r="R53" s="73"/>
      <c r="S53" s="73"/>
    </row>
    <row r="54" spans="1:19" ht="15" x14ac:dyDescent="0.2">
      <c r="A54" s="73"/>
      <c r="B54" s="101"/>
      <c r="C54" s="101"/>
      <c r="D54" s="101"/>
      <c r="E54" s="101"/>
      <c r="F54" s="101"/>
      <c r="G54" s="73"/>
      <c r="H54" s="73"/>
      <c r="I54" s="73"/>
      <c r="J54" s="73"/>
      <c r="K54" s="73"/>
      <c r="L54" s="73"/>
      <c r="M54" s="73"/>
      <c r="N54" s="73"/>
      <c r="O54" s="73"/>
      <c r="P54" s="73"/>
      <c r="Q54" s="73"/>
      <c r="R54" s="73"/>
      <c r="S54" s="73"/>
    </row>
    <row r="55" spans="1:19" ht="15" x14ac:dyDescent="0.2">
      <c r="B55" s="72"/>
      <c r="C55" s="72"/>
      <c r="D55" s="72"/>
      <c r="E55" s="72"/>
      <c r="F55" s="72"/>
    </row>
  </sheetData>
  <mergeCells count="5">
    <mergeCell ref="A1:F2"/>
    <mergeCell ref="A5:A6"/>
    <mergeCell ref="C5:C6"/>
    <mergeCell ref="A29:F30"/>
    <mergeCell ref="A32:F42"/>
  </mergeCells>
  <conditionalFormatting sqref="A3">
    <cfRule type="expression" dxfId="1" priority="1">
      <formula>LEN(TRIM(#REF!))&gt;0</formula>
    </cfRule>
  </conditionalFormatting>
  <pageMargins left="0.74791666666666701" right="0.74791666666666701" top="0.98402777777777795" bottom="0.98402777777777795" header="0.51180555555555496" footer="0.51180555555555496"/>
  <pageSetup paperSize="9" firstPageNumber="0"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3638C-748A-4287-8CDE-C610FE789609}">
  <dimension ref="A1:S55"/>
  <sheetViews>
    <sheetView tabSelected="1" zoomScaleNormal="100" workbookViewId="0">
      <selection activeCell="J12" sqref="J12"/>
    </sheetView>
  </sheetViews>
  <sheetFormatPr baseColWidth="10" defaultColWidth="9.140625" defaultRowHeight="12.75" x14ac:dyDescent="0.2"/>
  <cols>
    <col min="1" max="1" width="15.5703125" customWidth="1"/>
    <col min="2" max="2" width="10.85546875" bestFit="1" customWidth="1"/>
    <col min="3" max="3" width="19" customWidth="1"/>
    <col min="4" max="4" width="19.140625" customWidth="1"/>
    <col min="5" max="5" width="33.85546875" customWidth="1"/>
    <col min="6" max="6" width="18.7109375" customWidth="1"/>
    <col min="7" max="7" width="16.28515625" customWidth="1"/>
    <col min="8" max="1025" width="14.42578125" customWidth="1"/>
  </cols>
  <sheetData>
    <row r="1" spans="1:19" ht="15.75" customHeight="1" x14ac:dyDescent="0.2">
      <c r="A1" s="232" t="s">
        <v>195</v>
      </c>
      <c r="B1" s="232"/>
      <c r="C1" s="232"/>
      <c r="D1" s="232"/>
      <c r="E1" s="232"/>
      <c r="F1" s="232"/>
      <c r="G1" s="73"/>
      <c r="H1" s="73"/>
      <c r="I1" s="73"/>
      <c r="J1" s="73"/>
      <c r="K1" s="73"/>
      <c r="L1" s="73"/>
      <c r="M1" s="73"/>
      <c r="N1" s="73"/>
      <c r="O1" s="73"/>
      <c r="P1" s="73"/>
      <c r="Q1" s="73"/>
      <c r="R1" s="73"/>
      <c r="S1" s="73"/>
    </row>
    <row r="2" spans="1:19" ht="15.75" customHeight="1" x14ac:dyDescent="0.2">
      <c r="A2" s="232"/>
      <c r="B2" s="232"/>
      <c r="C2" s="232"/>
      <c r="D2" s="232"/>
      <c r="E2" s="232"/>
      <c r="F2" s="232"/>
      <c r="G2" s="73"/>
      <c r="H2" s="73"/>
      <c r="I2" s="73"/>
      <c r="J2" s="73"/>
      <c r="K2" s="73"/>
      <c r="L2" s="73"/>
      <c r="M2" s="73"/>
      <c r="N2" s="73"/>
      <c r="O2" s="73"/>
      <c r="P2" s="73"/>
      <c r="Q2" s="73"/>
      <c r="R2" s="73"/>
      <c r="S2" s="73"/>
    </row>
    <row r="3" spans="1:19" ht="15.75" customHeight="1" x14ac:dyDescent="0.25">
      <c r="A3" s="140" t="s">
        <v>1</v>
      </c>
      <c r="B3" s="73"/>
      <c r="C3" s="140" t="s">
        <v>2</v>
      </c>
      <c r="D3" s="75" t="s">
        <v>3</v>
      </c>
      <c r="E3" s="140" t="s">
        <v>4</v>
      </c>
      <c r="F3" s="140" t="s">
        <v>5</v>
      </c>
      <c r="G3" s="73"/>
      <c r="H3" s="73"/>
      <c r="I3" s="73"/>
      <c r="J3" s="73"/>
      <c r="K3" s="73"/>
      <c r="L3" s="73"/>
      <c r="M3" s="73"/>
      <c r="N3" s="73"/>
      <c r="O3" s="73"/>
      <c r="P3" s="73"/>
      <c r="Q3" s="73"/>
      <c r="R3" s="73"/>
      <c r="S3" s="73"/>
    </row>
    <row r="4" spans="1:19" ht="15.75" customHeight="1" x14ac:dyDescent="0.25">
      <c r="A4" s="141">
        <v>43962</v>
      </c>
      <c r="B4" s="133"/>
      <c r="C4" s="134">
        <v>43968</v>
      </c>
      <c r="D4" s="78" t="s">
        <v>6</v>
      </c>
      <c r="E4" s="79">
        <v>0</v>
      </c>
      <c r="F4" s="80">
        <f>'Uke19'!F4 + E4</f>
        <v>1.3368055555555554</v>
      </c>
      <c r="G4" s="73"/>
      <c r="H4" s="189"/>
      <c r="I4" s="142">
        <f>B11-B11</f>
        <v>0</v>
      </c>
      <c r="J4" s="102"/>
      <c r="K4" s="73"/>
      <c r="L4" s="73"/>
      <c r="M4" s="73"/>
      <c r="N4" s="73"/>
      <c r="O4" s="73"/>
      <c r="P4" s="73"/>
      <c r="Q4" s="73"/>
      <c r="R4" s="73"/>
      <c r="S4" s="73"/>
    </row>
    <row r="5" spans="1:19" ht="15" customHeight="1" x14ac:dyDescent="0.25">
      <c r="A5" s="239" t="s">
        <v>7</v>
      </c>
      <c r="B5" s="73"/>
      <c r="C5" s="239" t="s">
        <v>8</v>
      </c>
      <c r="D5" s="82" t="s">
        <v>9</v>
      </c>
      <c r="E5" s="79">
        <f>D15+D16+D18</f>
        <v>6.9444444444444475E-2</v>
      </c>
      <c r="F5" s="80">
        <f>'Uke19'!F5 + E5</f>
        <v>3.3611111111111125</v>
      </c>
      <c r="G5" s="73"/>
      <c r="H5" s="189"/>
      <c r="I5" s="73"/>
      <c r="J5" s="73"/>
      <c r="K5" s="73"/>
      <c r="L5" s="73"/>
      <c r="M5" s="73"/>
      <c r="N5" s="73"/>
      <c r="O5" s="73"/>
      <c r="P5" s="73"/>
      <c r="Q5" s="73"/>
      <c r="R5" s="73"/>
      <c r="S5" s="73"/>
    </row>
    <row r="6" spans="1:19" ht="15.75" customHeight="1" x14ac:dyDescent="0.25">
      <c r="A6" s="239"/>
      <c r="B6" s="73"/>
      <c r="C6" s="239"/>
      <c r="D6" s="83" t="s">
        <v>10</v>
      </c>
      <c r="E6" s="80">
        <f>D11+D12+D13+D14+D17</f>
        <v>7.6388888888888729E-2</v>
      </c>
      <c r="F6" s="80">
        <f>'Uke19'!F6 + E6</f>
        <v>1.9999999999999987</v>
      </c>
      <c r="G6" s="73"/>
      <c r="H6" s="189"/>
      <c r="I6" s="189"/>
      <c r="J6" s="102"/>
      <c r="K6" s="73"/>
      <c r="L6" s="73"/>
      <c r="M6" s="73"/>
      <c r="N6" s="73"/>
      <c r="O6" s="73"/>
      <c r="P6" s="73"/>
      <c r="Q6" s="73"/>
      <c r="R6" s="73"/>
      <c r="S6" s="73"/>
    </row>
    <row r="7" spans="1:19" ht="15.75" x14ac:dyDescent="0.25">
      <c r="A7" s="135">
        <f>SUM(E4:E7)</f>
        <v>0.15972222222222204</v>
      </c>
      <c r="B7" s="133"/>
      <c r="C7" s="135">
        <f>SUM(F4:F7)</f>
        <v>8.6006944444444446</v>
      </c>
      <c r="D7" s="85" t="s">
        <v>46</v>
      </c>
      <c r="E7" s="86">
        <f>D19</f>
        <v>1.388888888888884E-2</v>
      </c>
      <c r="F7" s="84">
        <f>'Uke19'!F7 + E7</f>
        <v>1.902777777777779</v>
      </c>
      <c r="G7" s="73"/>
      <c r="H7" s="189"/>
      <c r="I7" s="189"/>
      <c r="J7" s="102"/>
      <c r="K7" s="73"/>
      <c r="L7" s="73"/>
      <c r="M7" s="73"/>
      <c r="N7" s="73"/>
      <c r="O7" s="73"/>
      <c r="P7" s="73"/>
      <c r="Q7" s="73"/>
      <c r="R7" s="73"/>
      <c r="S7" s="73"/>
    </row>
    <row r="8" spans="1:19" x14ac:dyDescent="0.2">
      <c r="A8" s="73"/>
      <c r="B8" s="73"/>
      <c r="C8" s="73"/>
      <c r="D8" s="73"/>
      <c r="E8" s="73"/>
      <c r="F8" s="73"/>
      <c r="G8" s="73"/>
      <c r="H8" s="73"/>
      <c r="I8" s="73"/>
      <c r="J8" s="73"/>
      <c r="K8" s="73"/>
      <c r="L8" s="73"/>
      <c r="M8" s="73"/>
      <c r="N8" s="73"/>
      <c r="O8" s="73"/>
      <c r="P8" s="73"/>
      <c r="Q8" s="73"/>
      <c r="R8" s="73"/>
      <c r="S8" s="73"/>
    </row>
    <row r="9" spans="1:19" x14ac:dyDescent="0.2">
      <c r="A9" s="73"/>
      <c r="B9" s="73"/>
      <c r="C9" s="73"/>
      <c r="D9" s="73"/>
      <c r="E9" s="73"/>
      <c r="F9" s="73"/>
      <c r="G9" s="73"/>
      <c r="H9" s="73"/>
      <c r="I9" s="73"/>
      <c r="J9" s="73"/>
      <c r="K9" s="73"/>
      <c r="L9" s="73"/>
      <c r="M9" s="73"/>
      <c r="N9" s="73"/>
      <c r="O9" s="73"/>
      <c r="P9" s="73"/>
      <c r="Q9" s="73"/>
      <c r="R9" s="73"/>
      <c r="S9" s="73"/>
    </row>
    <row r="10" spans="1:19" ht="15.75" x14ac:dyDescent="0.25">
      <c r="A10" s="140" t="s">
        <v>12</v>
      </c>
      <c r="B10" s="140" t="s">
        <v>57</v>
      </c>
      <c r="C10" s="140" t="s">
        <v>58</v>
      </c>
      <c r="D10" s="140" t="s">
        <v>59</v>
      </c>
      <c r="E10" s="140" t="s">
        <v>47</v>
      </c>
      <c r="F10" s="140" t="s">
        <v>39</v>
      </c>
      <c r="G10" s="73"/>
      <c r="H10" s="73"/>
      <c r="I10" s="73"/>
      <c r="J10" s="73"/>
      <c r="K10" s="73"/>
      <c r="L10" s="73"/>
      <c r="M10" s="73"/>
      <c r="N10" s="73"/>
      <c r="O10" s="73"/>
      <c r="P10" s="73"/>
      <c r="Q10" s="73"/>
      <c r="R10" s="73"/>
      <c r="S10" s="73"/>
    </row>
    <row r="11" spans="1:19" ht="15.75" x14ac:dyDescent="0.25">
      <c r="A11" s="145">
        <v>43963</v>
      </c>
      <c r="B11" s="146">
        <v>0.54166666666666663</v>
      </c>
      <c r="C11" s="146">
        <v>0.54861111111111105</v>
      </c>
      <c r="D11" s="146">
        <f t="shared" ref="D11" si="0">C11-B11</f>
        <v>6.9444444444444198E-3</v>
      </c>
      <c r="E11" s="208" t="s">
        <v>208</v>
      </c>
      <c r="F11" s="216"/>
      <c r="G11" s="73"/>
      <c r="H11" s="73"/>
      <c r="I11" s="73"/>
      <c r="J11" s="73"/>
      <c r="K11" s="73"/>
      <c r="L11" s="73"/>
      <c r="M11" s="73"/>
      <c r="N11" s="73"/>
      <c r="O11" s="73"/>
      <c r="P11" s="73"/>
      <c r="Q11" s="73"/>
      <c r="R11" s="73"/>
      <c r="S11" s="73"/>
    </row>
    <row r="12" spans="1:19" ht="15.75" x14ac:dyDescent="0.25">
      <c r="A12" s="145">
        <v>43963</v>
      </c>
      <c r="B12" s="146">
        <v>0.57638888888888895</v>
      </c>
      <c r="C12" s="146">
        <v>0.58333333333333337</v>
      </c>
      <c r="D12" s="146">
        <f t="shared" ref="D12" si="1">C12-B12</f>
        <v>6.9444444444444198E-3</v>
      </c>
      <c r="E12" s="208" t="s">
        <v>208</v>
      </c>
      <c r="F12" s="211"/>
      <c r="G12" s="73"/>
      <c r="H12" s="73"/>
      <c r="I12" s="73"/>
      <c r="J12" s="73"/>
      <c r="K12" s="73"/>
      <c r="L12" s="73"/>
      <c r="M12" s="73"/>
      <c r="N12" s="73"/>
      <c r="O12" s="73"/>
      <c r="P12" s="73"/>
      <c r="Q12" s="73"/>
      <c r="R12" s="73"/>
      <c r="S12" s="73"/>
    </row>
    <row r="13" spans="1:19" ht="15.75" x14ac:dyDescent="0.25">
      <c r="A13" s="145">
        <v>43963</v>
      </c>
      <c r="B13" s="146">
        <v>0.58333333333333337</v>
      </c>
      <c r="C13" s="146">
        <v>0.60416666666666663</v>
      </c>
      <c r="D13" s="146">
        <f t="shared" ref="D13" si="2">C13-B13</f>
        <v>2.0833333333333259E-2</v>
      </c>
      <c r="E13" s="208" t="s">
        <v>209</v>
      </c>
      <c r="F13" s="211"/>
      <c r="G13" s="73"/>
      <c r="H13" s="73"/>
      <c r="I13" s="73"/>
      <c r="J13" s="73"/>
      <c r="K13" s="73"/>
      <c r="L13" s="73"/>
      <c r="M13" s="73"/>
      <c r="N13" s="73"/>
      <c r="O13" s="73"/>
      <c r="P13" s="73"/>
      <c r="Q13" s="73"/>
      <c r="R13" s="73"/>
      <c r="S13" s="73"/>
    </row>
    <row r="14" spans="1:19" ht="15.75" x14ac:dyDescent="0.25">
      <c r="A14" s="145">
        <v>43963</v>
      </c>
      <c r="B14" s="146">
        <v>0.60416666666666663</v>
      </c>
      <c r="C14" s="146">
        <v>0.625</v>
      </c>
      <c r="D14" s="146">
        <f t="shared" ref="D14:D15" si="3">C14-B14</f>
        <v>2.083333333333337E-2</v>
      </c>
      <c r="E14" s="208" t="s">
        <v>210</v>
      </c>
      <c r="F14" s="211"/>
      <c r="G14" s="73"/>
      <c r="H14" s="73"/>
      <c r="I14" s="73"/>
      <c r="J14" s="73"/>
      <c r="K14" s="73"/>
      <c r="L14" s="73"/>
      <c r="M14" s="73"/>
      <c r="N14" s="73"/>
      <c r="O14" s="73"/>
      <c r="P14" s="73"/>
      <c r="Q14" s="73"/>
      <c r="R14" s="73"/>
      <c r="S14" s="73"/>
    </row>
    <row r="15" spans="1:19" ht="54.75" customHeight="1" x14ac:dyDescent="0.25">
      <c r="A15" s="193">
        <v>43965</v>
      </c>
      <c r="B15" s="194">
        <v>0.47916666666666669</v>
      </c>
      <c r="C15" s="194">
        <v>0.5</v>
      </c>
      <c r="D15" s="194">
        <f t="shared" si="3"/>
        <v>2.0833333333333315E-2</v>
      </c>
      <c r="E15" s="202" t="s">
        <v>211</v>
      </c>
      <c r="F15" s="211"/>
      <c r="G15" s="73"/>
      <c r="H15" s="73"/>
      <c r="I15" s="73"/>
      <c r="J15" s="73"/>
      <c r="K15" s="73"/>
      <c r="L15" s="73"/>
      <c r="M15" s="73"/>
      <c r="N15" s="73"/>
      <c r="O15" s="73"/>
      <c r="P15" s="73"/>
      <c r="Q15" s="73"/>
      <c r="R15" s="73"/>
      <c r="S15" s="73"/>
    </row>
    <row r="16" spans="1:19" ht="15.75" customHeight="1" x14ac:dyDescent="0.25">
      <c r="A16" s="193">
        <v>43967</v>
      </c>
      <c r="B16" s="194">
        <v>0.85416666666666663</v>
      </c>
      <c r="C16" s="194">
        <v>0.875</v>
      </c>
      <c r="D16" s="194">
        <f t="shared" ref="D16:D17" si="4">C16-B16</f>
        <v>2.083333333333337E-2</v>
      </c>
      <c r="E16" s="202" t="s">
        <v>212</v>
      </c>
      <c r="F16" s="211"/>
      <c r="G16" s="73"/>
      <c r="H16" s="73"/>
      <c r="I16" s="73"/>
      <c r="J16" s="73"/>
      <c r="K16" s="73"/>
      <c r="L16" s="73"/>
      <c r="M16" s="73"/>
      <c r="N16" s="73"/>
      <c r="O16" s="73"/>
      <c r="P16" s="73"/>
      <c r="Q16" s="73"/>
      <c r="R16" s="73"/>
      <c r="S16" s="73"/>
    </row>
    <row r="17" spans="1:19" ht="15.75" x14ac:dyDescent="0.25">
      <c r="A17" s="145">
        <v>43968</v>
      </c>
      <c r="B17" s="146">
        <v>0.58333333333333337</v>
      </c>
      <c r="C17" s="146">
        <v>0.60416666666666663</v>
      </c>
      <c r="D17" s="146">
        <f t="shared" si="4"/>
        <v>2.0833333333333259E-2</v>
      </c>
      <c r="E17" s="208" t="s">
        <v>213</v>
      </c>
      <c r="F17" s="211"/>
      <c r="G17" s="73"/>
      <c r="H17" s="73"/>
      <c r="I17" s="73"/>
      <c r="J17" s="73"/>
      <c r="K17" s="73"/>
      <c r="L17" s="73"/>
      <c r="M17" s="73"/>
      <c r="N17" s="73"/>
      <c r="O17" s="73"/>
      <c r="P17" s="73"/>
      <c r="Q17" s="73"/>
      <c r="R17" s="73"/>
      <c r="S17" s="73"/>
    </row>
    <row r="18" spans="1:19" ht="31.5" x14ac:dyDescent="0.25">
      <c r="A18" s="193">
        <v>43968</v>
      </c>
      <c r="B18" s="194">
        <v>0.60416666666666663</v>
      </c>
      <c r="C18" s="194">
        <v>0.63194444444444442</v>
      </c>
      <c r="D18" s="194">
        <f t="shared" ref="D18:D19" si="5">C18-B18</f>
        <v>2.777777777777779E-2</v>
      </c>
      <c r="E18" s="202" t="s">
        <v>214</v>
      </c>
      <c r="F18" s="211"/>
      <c r="G18" s="73"/>
      <c r="H18" s="73"/>
      <c r="I18" s="73"/>
      <c r="J18" s="73"/>
      <c r="K18" s="73"/>
      <c r="L18" s="73"/>
      <c r="M18" s="73"/>
      <c r="N18" s="73"/>
      <c r="O18" s="73"/>
      <c r="P18" s="73"/>
      <c r="Q18" s="73"/>
      <c r="R18" s="73"/>
      <c r="S18" s="73"/>
    </row>
    <row r="19" spans="1:19" ht="15.75" x14ac:dyDescent="0.25">
      <c r="A19" s="195">
        <v>43968</v>
      </c>
      <c r="B19" s="196">
        <v>0.81944444444444453</v>
      </c>
      <c r="C19" s="196">
        <v>0.83333333333333337</v>
      </c>
      <c r="D19" s="196">
        <f t="shared" si="5"/>
        <v>1.388888888888884E-2</v>
      </c>
      <c r="E19" s="212" t="s">
        <v>206</v>
      </c>
      <c r="F19" s="226"/>
      <c r="G19" s="73"/>
      <c r="H19" s="73"/>
      <c r="I19" s="73"/>
      <c r="J19" s="73"/>
      <c r="K19" s="73"/>
      <c r="L19" s="73"/>
      <c r="M19" s="73"/>
      <c r="N19" s="73"/>
      <c r="O19" s="73"/>
      <c r="P19" s="73"/>
      <c r="Q19" s="73"/>
      <c r="R19" s="73"/>
      <c r="S19" s="73"/>
    </row>
    <row r="20" spans="1:19" ht="15.75" x14ac:dyDescent="0.25">
      <c r="A20" s="187"/>
      <c r="B20" s="188"/>
      <c r="C20" s="188"/>
      <c r="D20" s="188"/>
      <c r="E20" s="186"/>
      <c r="F20" s="225"/>
      <c r="G20" s="73"/>
      <c r="H20" s="73"/>
      <c r="I20" s="73"/>
      <c r="J20" s="73"/>
      <c r="K20" s="73"/>
      <c r="L20" s="73"/>
      <c r="M20" s="73"/>
      <c r="N20" s="73"/>
      <c r="O20" s="73"/>
      <c r="P20" s="73"/>
      <c r="Q20" s="73"/>
      <c r="R20" s="73"/>
      <c r="S20" s="73"/>
    </row>
    <row r="21" spans="1:19" ht="15.75" customHeight="1" x14ac:dyDescent="0.2">
      <c r="A21" s="238" t="s">
        <v>23</v>
      </c>
      <c r="B21" s="238"/>
      <c r="C21" s="238"/>
      <c r="D21" s="238"/>
      <c r="E21" s="238"/>
      <c r="F21" s="238"/>
      <c r="G21" s="73"/>
      <c r="H21" s="73"/>
      <c r="I21" s="73"/>
      <c r="J21" s="73"/>
      <c r="K21" s="73"/>
      <c r="L21" s="73"/>
      <c r="M21" s="73"/>
      <c r="N21" s="73"/>
      <c r="O21" s="73"/>
      <c r="P21" s="73"/>
      <c r="Q21" s="73"/>
      <c r="R21" s="73"/>
      <c r="S21" s="73"/>
    </row>
    <row r="22" spans="1:19" ht="12.75" customHeight="1" x14ac:dyDescent="0.2">
      <c r="A22" s="240"/>
      <c r="B22" s="240"/>
      <c r="C22" s="240"/>
      <c r="D22" s="240"/>
      <c r="E22" s="240"/>
      <c r="F22" s="240"/>
      <c r="G22" s="73"/>
      <c r="H22" s="73"/>
      <c r="I22" s="73"/>
      <c r="J22" s="73"/>
      <c r="K22" s="73"/>
      <c r="L22" s="73"/>
      <c r="M22" s="73"/>
      <c r="N22" s="73"/>
      <c r="O22" s="73"/>
      <c r="P22" s="73"/>
      <c r="Q22" s="73"/>
      <c r="R22" s="73"/>
      <c r="S22" s="73"/>
    </row>
    <row r="23" spans="1:19" ht="12.75" customHeight="1" x14ac:dyDescent="0.25">
      <c r="A23" s="224"/>
      <c r="B23" s="224"/>
      <c r="C23" s="224"/>
      <c r="D23" s="224"/>
      <c r="E23" s="224"/>
      <c r="F23" s="224"/>
      <c r="G23" s="73"/>
      <c r="H23" s="73"/>
      <c r="I23" s="73"/>
      <c r="J23" s="73"/>
      <c r="K23" s="73"/>
      <c r="L23" s="73"/>
      <c r="M23" s="73"/>
      <c r="N23" s="73"/>
      <c r="O23" s="73"/>
      <c r="P23" s="73"/>
      <c r="Q23" s="73"/>
      <c r="R23" s="73"/>
      <c r="S23" s="73"/>
    </row>
    <row r="24" spans="1:19" ht="189" customHeight="1" x14ac:dyDescent="0.2">
      <c r="A24" s="241" t="s">
        <v>215</v>
      </c>
      <c r="B24" s="250"/>
      <c r="C24" s="250"/>
      <c r="D24" s="250"/>
      <c r="E24" s="250"/>
      <c r="F24" s="251"/>
      <c r="G24" s="81"/>
      <c r="H24" s="73"/>
      <c r="I24" s="73"/>
      <c r="J24" s="73"/>
      <c r="K24" s="73"/>
      <c r="L24" s="73"/>
      <c r="M24" s="73"/>
      <c r="N24" s="73"/>
      <c r="O24" s="73"/>
      <c r="P24" s="73"/>
      <c r="Q24" s="73"/>
      <c r="R24" s="73"/>
      <c r="S24" s="73"/>
    </row>
    <row r="25" spans="1:19" ht="12.75" customHeight="1" x14ac:dyDescent="0.2">
      <c r="A25" s="252"/>
      <c r="B25" s="253"/>
      <c r="C25" s="253"/>
      <c r="D25" s="253"/>
      <c r="E25" s="253"/>
      <c r="F25" s="254"/>
      <c r="G25" s="81"/>
      <c r="H25" s="73"/>
      <c r="I25" s="73"/>
      <c r="J25" s="73"/>
      <c r="K25" s="73"/>
      <c r="L25" s="73"/>
      <c r="M25" s="73"/>
      <c r="N25" s="73"/>
      <c r="O25" s="73"/>
      <c r="P25" s="73"/>
      <c r="Q25" s="73"/>
      <c r="R25" s="73"/>
      <c r="S25" s="73"/>
    </row>
    <row r="26" spans="1:19" ht="12.75" customHeight="1" x14ac:dyDescent="0.2">
      <c r="A26" s="252"/>
      <c r="B26" s="253"/>
      <c r="C26" s="253"/>
      <c r="D26" s="253"/>
      <c r="E26" s="253"/>
      <c r="F26" s="254"/>
      <c r="G26" s="81"/>
      <c r="H26" s="73"/>
      <c r="I26" s="73"/>
      <c r="J26" s="73"/>
      <c r="K26" s="73"/>
      <c r="L26" s="73"/>
      <c r="M26" s="73"/>
      <c r="N26" s="73"/>
      <c r="O26" s="73"/>
      <c r="P26" s="73"/>
      <c r="Q26" s="73"/>
      <c r="R26" s="73"/>
      <c r="S26" s="73"/>
    </row>
    <row r="27" spans="1:19" ht="12.75" customHeight="1" x14ac:dyDescent="0.2">
      <c r="A27" s="252"/>
      <c r="B27" s="253"/>
      <c r="C27" s="253"/>
      <c r="D27" s="253"/>
      <c r="E27" s="253"/>
      <c r="F27" s="254"/>
      <c r="G27" s="81"/>
      <c r="H27" s="73"/>
      <c r="I27" s="73"/>
      <c r="J27" s="73"/>
      <c r="K27" s="73"/>
      <c r="L27" s="73"/>
      <c r="M27" s="73"/>
      <c r="N27" s="73"/>
      <c r="O27" s="73"/>
      <c r="P27" s="73"/>
      <c r="Q27" s="73"/>
      <c r="R27" s="73"/>
      <c r="S27" s="73"/>
    </row>
    <row r="28" spans="1:19" ht="12.75" customHeight="1" x14ac:dyDescent="0.2">
      <c r="A28" s="252"/>
      <c r="B28" s="253"/>
      <c r="C28" s="253"/>
      <c r="D28" s="253"/>
      <c r="E28" s="253"/>
      <c r="F28" s="254"/>
      <c r="G28" s="81"/>
      <c r="H28" s="73"/>
      <c r="I28" s="73"/>
      <c r="J28" s="73"/>
      <c r="K28" s="73"/>
      <c r="L28" s="73"/>
      <c r="M28" s="73"/>
      <c r="N28" s="73"/>
      <c r="O28" s="73"/>
      <c r="P28" s="73"/>
      <c r="Q28" s="73"/>
      <c r="R28" s="73"/>
      <c r="S28" s="73"/>
    </row>
    <row r="29" spans="1:19" x14ac:dyDescent="0.2">
      <c r="A29" s="252"/>
      <c r="B29" s="253"/>
      <c r="C29" s="253"/>
      <c r="D29" s="253"/>
      <c r="E29" s="253"/>
      <c r="F29" s="254"/>
      <c r="G29" s="81"/>
      <c r="H29" s="73"/>
      <c r="I29" s="73"/>
      <c r="J29" s="73"/>
      <c r="K29" s="73"/>
      <c r="L29" s="73"/>
      <c r="M29" s="73"/>
      <c r="N29" s="73"/>
      <c r="O29" s="73"/>
      <c r="P29" s="73"/>
      <c r="Q29" s="73"/>
      <c r="R29" s="73"/>
      <c r="S29" s="73"/>
    </row>
    <row r="30" spans="1:19" x14ac:dyDescent="0.2">
      <c r="A30" s="252"/>
      <c r="B30" s="253"/>
      <c r="C30" s="253"/>
      <c r="D30" s="253"/>
      <c r="E30" s="253"/>
      <c r="F30" s="254"/>
      <c r="G30" s="81"/>
      <c r="H30" s="73"/>
      <c r="I30" s="73"/>
      <c r="J30" s="73"/>
      <c r="K30" s="73"/>
      <c r="L30" s="73"/>
      <c r="M30" s="73"/>
      <c r="N30" s="73"/>
      <c r="O30" s="73"/>
      <c r="P30" s="73"/>
      <c r="Q30" s="73"/>
      <c r="R30" s="73"/>
      <c r="S30" s="73"/>
    </row>
    <row r="31" spans="1:19" ht="12.75" customHeight="1" x14ac:dyDescent="0.2">
      <c r="A31" s="252"/>
      <c r="B31" s="253"/>
      <c r="C31" s="253"/>
      <c r="D31" s="253"/>
      <c r="E31" s="253"/>
      <c r="F31" s="254"/>
      <c r="G31" s="81"/>
      <c r="H31" s="73"/>
      <c r="I31" s="73"/>
      <c r="J31" s="73"/>
      <c r="K31" s="73"/>
      <c r="L31" s="73"/>
      <c r="M31" s="73"/>
      <c r="N31" s="73"/>
      <c r="O31" s="73"/>
      <c r="P31" s="73"/>
      <c r="Q31" s="73"/>
      <c r="R31" s="73"/>
      <c r="S31" s="73"/>
    </row>
    <row r="32" spans="1:19" x14ac:dyDescent="0.2">
      <c r="A32" s="252"/>
      <c r="B32" s="253"/>
      <c r="C32" s="253"/>
      <c r="D32" s="253"/>
      <c r="E32" s="253"/>
      <c r="F32" s="254"/>
      <c r="G32" s="81"/>
      <c r="H32" s="73"/>
      <c r="I32" s="73"/>
      <c r="J32" s="73"/>
      <c r="K32" s="73"/>
      <c r="L32" s="73"/>
      <c r="M32" s="73"/>
      <c r="N32" s="73"/>
      <c r="O32" s="73"/>
      <c r="P32" s="73"/>
      <c r="Q32" s="73"/>
      <c r="R32" s="73"/>
      <c r="S32" s="73"/>
    </row>
    <row r="33" spans="1:19" ht="12.75" customHeight="1" x14ac:dyDescent="0.2">
      <c r="A33" s="252"/>
      <c r="B33" s="253"/>
      <c r="C33" s="253"/>
      <c r="D33" s="253"/>
      <c r="E33" s="253"/>
      <c r="F33" s="254"/>
      <c r="G33" s="81"/>
      <c r="H33" s="73"/>
      <c r="I33" s="73"/>
      <c r="J33" s="73"/>
      <c r="K33" s="73"/>
      <c r="L33" s="73"/>
      <c r="M33" s="73"/>
      <c r="N33" s="73"/>
      <c r="O33" s="73"/>
      <c r="P33" s="73"/>
      <c r="Q33" s="73"/>
      <c r="R33" s="73"/>
      <c r="S33" s="73"/>
    </row>
    <row r="34" spans="1:19" ht="12.75" customHeight="1" x14ac:dyDescent="0.2">
      <c r="A34" s="255"/>
      <c r="B34" s="256"/>
      <c r="C34" s="256"/>
      <c r="D34" s="256"/>
      <c r="E34" s="256"/>
      <c r="F34" s="257"/>
      <c r="G34" s="81"/>
      <c r="H34" s="73"/>
      <c r="I34" s="73"/>
      <c r="J34" s="73"/>
      <c r="K34" s="73"/>
      <c r="L34" s="73"/>
      <c r="M34" s="73"/>
      <c r="N34" s="73"/>
      <c r="O34" s="73"/>
      <c r="P34" s="73"/>
      <c r="Q34" s="73"/>
      <c r="R34" s="73"/>
      <c r="S34" s="73"/>
    </row>
    <row r="35" spans="1:19" ht="12.75" customHeight="1" x14ac:dyDescent="0.25">
      <c r="A35" s="224"/>
      <c r="B35" s="224"/>
      <c r="C35" s="224"/>
      <c r="D35" s="224"/>
      <c r="E35" s="224"/>
      <c r="F35" s="224"/>
      <c r="G35" s="81"/>
      <c r="H35" s="73"/>
      <c r="I35" s="73"/>
      <c r="J35" s="73"/>
      <c r="K35" s="73"/>
      <c r="L35" s="73"/>
      <c r="M35" s="73"/>
      <c r="N35" s="73"/>
      <c r="O35" s="73"/>
      <c r="P35" s="73"/>
      <c r="Q35" s="73"/>
      <c r="R35" s="73"/>
      <c r="S35" s="73"/>
    </row>
    <row r="36" spans="1:19" ht="12.75" customHeight="1" x14ac:dyDescent="0.25">
      <c r="A36" s="224"/>
      <c r="B36" s="224"/>
      <c r="C36" s="224"/>
      <c r="D36" s="224"/>
      <c r="E36" s="224"/>
      <c r="F36" s="224"/>
      <c r="G36" s="81"/>
      <c r="H36" s="73"/>
      <c r="I36" s="73"/>
      <c r="J36" s="73"/>
      <c r="K36" s="73"/>
      <c r="L36" s="73"/>
      <c r="M36" s="73"/>
      <c r="N36" s="73"/>
      <c r="O36" s="73"/>
      <c r="P36" s="73"/>
      <c r="Q36" s="73"/>
      <c r="R36" s="73"/>
      <c r="S36" s="73"/>
    </row>
    <row r="37" spans="1:19" ht="12.75" customHeight="1" x14ac:dyDescent="0.25">
      <c r="A37" s="224"/>
      <c r="B37" s="224"/>
      <c r="C37" s="224"/>
      <c r="D37" s="224"/>
      <c r="E37" s="224"/>
      <c r="F37" s="224"/>
      <c r="G37" s="81"/>
      <c r="H37" s="73"/>
      <c r="I37" s="73"/>
      <c r="J37" s="73"/>
      <c r="K37" s="73"/>
      <c r="L37" s="73"/>
      <c r="M37" s="73"/>
      <c r="N37" s="73"/>
      <c r="O37" s="73"/>
      <c r="P37" s="73"/>
      <c r="Q37" s="73"/>
      <c r="R37" s="73"/>
      <c r="S37" s="73"/>
    </row>
    <row r="38" spans="1:19" ht="12.75" customHeight="1" x14ac:dyDescent="0.25">
      <c r="A38" s="224"/>
      <c r="B38" s="224"/>
      <c r="C38" s="224"/>
      <c r="D38" s="224"/>
      <c r="E38" s="224"/>
      <c r="F38" s="224"/>
      <c r="G38" s="81"/>
      <c r="H38" s="73"/>
      <c r="I38" s="73"/>
      <c r="J38" s="73"/>
      <c r="K38" s="73"/>
      <c r="L38" s="73"/>
      <c r="M38" s="73"/>
      <c r="N38" s="73"/>
      <c r="O38" s="73"/>
      <c r="P38" s="73"/>
      <c r="Q38" s="73"/>
      <c r="R38" s="73"/>
      <c r="S38" s="73"/>
    </row>
    <row r="39" spans="1:19" ht="12.75" customHeight="1" x14ac:dyDescent="0.25">
      <c r="A39" s="224"/>
      <c r="B39" s="224"/>
      <c r="C39" s="224"/>
      <c r="D39" s="224"/>
      <c r="E39" s="224"/>
      <c r="F39" s="224"/>
      <c r="G39" s="81"/>
      <c r="H39" s="73"/>
      <c r="I39" s="73"/>
      <c r="J39" s="73"/>
      <c r="K39" s="73"/>
      <c r="L39" s="73"/>
      <c r="M39" s="73"/>
      <c r="N39" s="73"/>
      <c r="O39" s="73"/>
      <c r="P39" s="73"/>
      <c r="Q39" s="73"/>
      <c r="R39" s="73"/>
      <c r="S39" s="73"/>
    </row>
    <row r="40" spans="1:19" ht="18.75" customHeight="1" x14ac:dyDescent="0.25">
      <c r="A40" s="224"/>
      <c r="B40" s="224"/>
      <c r="C40" s="224"/>
      <c r="D40" s="224"/>
      <c r="E40" s="224"/>
      <c r="F40" s="224"/>
      <c r="G40" s="81"/>
      <c r="H40" s="73"/>
      <c r="I40" s="73"/>
      <c r="J40" s="73"/>
      <c r="K40" s="73"/>
      <c r="L40" s="73"/>
      <c r="M40" s="73"/>
      <c r="N40" s="73"/>
      <c r="O40" s="73"/>
      <c r="P40" s="73"/>
      <c r="Q40" s="73"/>
      <c r="R40" s="73"/>
      <c r="S40" s="73"/>
    </row>
    <row r="41" spans="1:19" ht="251.25" hidden="1" customHeight="1" x14ac:dyDescent="0.25">
      <c r="A41" s="224"/>
      <c r="B41" s="224"/>
      <c r="C41" s="224"/>
      <c r="D41" s="224"/>
      <c r="E41" s="224"/>
      <c r="F41" s="224"/>
      <c r="G41" s="81"/>
      <c r="H41" s="73"/>
      <c r="I41" s="73"/>
      <c r="J41" s="73"/>
      <c r="K41" s="73"/>
      <c r="L41" s="73"/>
      <c r="M41" s="73"/>
      <c r="N41" s="73"/>
      <c r="O41" s="73"/>
      <c r="P41" s="73"/>
      <c r="Q41" s="73"/>
      <c r="R41" s="73"/>
      <c r="S41" s="73"/>
    </row>
    <row r="42" spans="1:19" ht="12.75" customHeight="1" x14ac:dyDescent="0.25">
      <c r="A42" s="224"/>
      <c r="B42" s="224"/>
      <c r="C42" s="224"/>
      <c r="D42" s="224"/>
      <c r="E42" s="224"/>
      <c r="F42" s="224"/>
      <c r="G42" s="81"/>
      <c r="H42" s="73"/>
      <c r="I42" s="73"/>
      <c r="J42" s="73"/>
      <c r="K42" s="73"/>
      <c r="L42" s="73"/>
      <c r="M42" s="73"/>
      <c r="N42" s="73"/>
      <c r="O42" s="73"/>
      <c r="P42" s="73"/>
      <c r="Q42" s="73"/>
      <c r="R42" s="73"/>
      <c r="S42" s="73"/>
    </row>
    <row r="43" spans="1:19" ht="12.75" customHeight="1" x14ac:dyDescent="0.2">
      <c r="A43" s="217"/>
      <c r="B43" s="217"/>
      <c r="C43" s="217"/>
      <c r="D43" s="217"/>
      <c r="E43" s="217"/>
      <c r="F43" s="217"/>
      <c r="G43" s="81"/>
      <c r="H43" s="73"/>
      <c r="I43" s="73"/>
      <c r="J43" s="73"/>
      <c r="K43" s="73"/>
      <c r="L43" s="73"/>
      <c r="M43" s="73"/>
      <c r="N43" s="73"/>
      <c r="O43" s="73"/>
      <c r="P43" s="73"/>
      <c r="Q43" s="73"/>
      <c r="R43" s="73"/>
      <c r="S43" s="73"/>
    </row>
    <row r="44" spans="1:19" ht="12.75" customHeight="1" x14ac:dyDescent="0.2">
      <c r="A44" s="217"/>
      <c r="B44" s="217"/>
      <c r="C44" s="217"/>
      <c r="D44" s="217"/>
      <c r="E44" s="217"/>
      <c r="F44" s="217"/>
      <c r="G44" s="81"/>
      <c r="H44" s="73"/>
      <c r="I44" s="73"/>
      <c r="J44" s="73"/>
      <c r="K44" s="73"/>
      <c r="L44" s="73"/>
      <c r="M44" s="73"/>
      <c r="N44" s="73"/>
      <c r="O44" s="73"/>
      <c r="P44" s="73"/>
      <c r="Q44" s="73"/>
      <c r="R44" s="73"/>
      <c r="S44" s="73"/>
    </row>
    <row r="45" spans="1:19" ht="12.75" customHeight="1" x14ac:dyDescent="0.2">
      <c r="A45" s="217"/>
      <c r="B45" s="217"/>
      <c r="C45" s="217"/>
      <c r="D45" s="217"/>
      <c r="E45" s="217"/>
      <c r="F45" s="217"/>
      <c r="G45" s="81"/>
      <c r="H45" s="73"/>
      <c r="I45" s="73"/>
      <c r="J45" s="73"/>
      <c r="K45" s="73"/>
      <c r="L45" s="73"/>
      <c r="M45" s="73"/>
      <c r="N45" s="73"/>
      <c r="O45" s="73"/>
      <c r="P45" s="73"/>
      <c r="Q45" s="73"/>
      <c r="R45" s="73"/>
      <c r="S45" s="73"/>
    </row>
    <row r="46" spans="1:19" ht="12.75" customHeight="1" x14ac:dyDescent="0.2">
      <c r="A46" s="217"/>
      <c r="B46" s="217"/>
      <c r="C46" s="217"/>
      <c r="D46" s="217"/>
      <c r="E46" s="217"/>
      <c r="F46" s="217"/>
      <c r="G46" s="81"/>
      <c r="H46" s="73"/>
      <c r="I46" s="73"/>
      <c r="J46" s="73"/>
      <c r="K46" s="73"/>
      <c r="L46" s="73"/>
      <c r="M46" s="73"/>
      <c r="N46" s="73"/>
      <c r="O46" s="73"/>
      <c r="P46" s="73"/>
      <c r="Q46" s="73"/>
      <c r="R46" s="73"/>
      <c r="S46" s="73"/>
    </row>
    <row r="47" spans="1:19" ht="12.75" customHeight="1" x14ac:dyDescent="0.2">
      <c r="A47" s="217"/>
      <c r="B47" s="217"/>
      <c r="C47" s="217"/>
      <c r="D47" s="217"/>
      <c r="E47" s="217"/>
      <c r="F47" s="217"/>
      <c r="G47" s="81"/>
      <c r="H47" s="73"/>
      <c r="I47" s="73"/>
      <c r="J47" s="73"/>
      <c r="K47" s="73"/>
      <c r="L47" s="73"/>
      <c r="M47" s="73"/>
      <c r="N47" s="73"/>
      <c r="O47" s="73"/>
      <c r="P47" s="73"/>
      <c r="Q47" s="73"/>
      <c r="R47" s="73"/>
      <c r="S47" s="73"/>
    </row>
    <row r="48" spans="1:19" ht="12.75" customHeight="1" x14ac:dyDescent="0.2">
      <c r="A48" s="217"/>
      <c r="B48" s="217"/>
      <c r="C48" s="217"/>
      <c r="D48" s="217"/>
      <c r="E48" s="217"/>
      <c r="F48" s="217"/>
      <c r="G48" s="81"/>
      <c r="H48" s="73"/>
      <c r="I48" s="73"/>
      <c r="J48" s="73"/>
      <c r="K48" s="73"/>
      <c r="L48" s="73"/>
      <c r="M48" s="73"/>
      <c r="N48" s="73"/>
      <c r="O48" s="73"/>
      <c r="P48" s="73"/>
      <c r="Q48" s="73"/>
      <c r="R48" s="73"/>
      <c r="S48" s="73"/>
    </row>
    <row r="49" spans="1:19" ht="12.75" customHeight="1" x14ac:dyDescent="0.2">
      <c r="A49" s="217"/>
      <c r="B49" s="217"/>
      <c r="C49" s="217"/>
      <c r="D49" s="217"/>
      <c r="E49" s="217"/>
      <c r="F49" s="217"/>
      <c r="G49" s="81"/>
      <c r="H49" s="73"/>
      <c r="I49" s="73"/>
      <c r="J49" s="73"/>
      <c r="K49" s="73"/>
      <c r="L49" s="73"/>
      <c r="M49" s="73"/>
      <c r="N49" s="73"/>
      <c r="O49" s="73"/>
      <c r="P49" s="73"/>
      <c r="Q49" s="73"/>
      <c r="R49" s="73"/>
      <c r="S49" s="73"/>
    </row>
    <row r="50" spans="1:19" ht="12.75" customHeight="1" x14ac:dyDescent="0.2">
      <c r="A50" s="217"/>
      <c r="B50" s="217"/>
      <c r="C50" s="217"/>
      <c r="D50" s="217"/>
      <c r="E50" s="217"/>
      <c r="F50" s="217"/>
      <c r="G50" s="73"/>
      <c r="H50" s="73"/>
      <c r="I50" s="73"/>
      <c r="J50" s="73"/>
      <c r="K50" s="73"/>
      <c r="L50" s="73"/>
      <c r="M50" s="73"/>
      <c r="N50" s="73"/>
      <c r="O50" s="73"/>
      <c r="P50" s="73"/>
      <c r="Q50" s="73"/>
      <c r="R50" s="73"/>
      <c r="S50" s="73"/>
    </row>
    <row r="51" spans="1:19" ht="12.75" customHeight="1" x14ac:dyDescent="0.2">
      <c r="A51" s="217"/>
      <c r="B51" s="217"/>
      <c r="C51" s="217"/>
      <c r="D51" s="217"/>
      <c r="E51" s="217"/>
      <c r="F51" s="217"/>
      <c r="G51" s="73"/>
      <c r="H51" s="73"/>
      <c r="I51" s="73"/>
      <c r="J51" s="73"/>
      <c r="K51" s="73"/>
      <c r="L51" s="73"/>
      <c r="M51" s="73"/>
      <c r="N51" s="73"/>
      <c r="O51" s="73"/>
      <c r="P51" s="73"/>
      <c r="Q51" s="73"/>
      <c r="R51" s="73"/>
      <c r="S51" s="73"/>
    </row>
    <row r="52" spans="1:19" x14ac:dyDescent="0.2">
      <c r="A52" s="73"/>
      <c r="B52" s="73"/>
      <c r="C52" s="73"/>
      <c r="D52" s="73"/>
      <c r="E52" s="73"/>
      <c r="F52" s="73"/>
      <c r="G52" s="73"/>
      <c r="H52" s="73"/>
      <c r="I52" s="73"/>
      <c r="J52" s="73"/>
      <c r="K52" s="73"/>
      <c r="L52" s="73"/>
      <c r="M52" s="73"/>
      <c r="N52" s="73"/>
      <c r="O52" s="73"/>
      <c r="P52" s="73"/>
      <c r="Q52" s="73"/>
      <c r="R52" s="73"/>
      <c r="S52" s="73"/>
    </row>
    <row r="53" spans="1:19" x14ac:dyDescent="0.2">
      <c r="A53" s="73"/>
      <c r="B53" s="73"/>
      <c r="C53" s="73"/>
      <c r="D53" s="73"/>
      <c r="E53" s="73"/>
      <c r="F53" s="73"/>
      <c r="G53" s="73"/>
      <c r="H53" s="73"/>
      <c r="I53" s="73"/>
      <c r="J53" s="73"/>
      <c r="K53" s="73"/>
      <c r="L53" s="73"/>
      <c r="M53" s="73"/>
      <c r="N53" s="73"/>
      <c r="O53" s="73"/>
      <c r="P53" s="73"/>
      <c r="Q53" s="73"/>
      <c r="R53" s="73"/>
      <c r="S53" s="73"/>
    </row>
    <row r="54" spans="1:19" ht="15" x14ac:dyDescent="0.2">
      <c r="A54" s="73"/>
      <c r="B54" s="101"/>
      <c r="C54" s="101"/>
      <c r="D54" s="101"/>
      <c r="E54" s="101"/>
      <c r="F54" s="101"/>
      <c r="G54" s="73"/>
      <c r="H54" s="73"/>
      <c r="I54" s="73"/>
      <c r="J54" s="73"/>
      <c r="K54" s="73"/>
      <c r="L54" s="73"/>
      <c r="M54" s="73"/>
      <c r="N54" s="73"/>
      <c r="O54" s="73"/>
      <c r="P54" s="73"/>
      <c r="Q54" s="73"/>
      <c r="R54" s="73"/>
      <c r="S54" s="73"/>
    </row>
    <row r="55" spans="1:19" ht="15" x14ac:dyDescent="0.2">
      <c r="B55" s="72"/>
      <c r="C55" s="72"/>
      <c r="D55" s="72"/>
      <c r="E55" s="72"/>
      <c r="F55" s="72"/>
    </row>
  </sheetData>
  <mergeCells count="5">
    <mergeCell ref="A24:F34"/>
    <mergeCell ref="A1:F2"/>
    <mergeCell ref="A5:A6"/>
    <mergeCell ref="C5:C6"/>
    <mergeCell ref="A21:F22"/>
  </mergeCells>
  <conditionalFormatting sqref="A3">
    <cfRule type="expression" dxfId="0" priority="1">
      <formula>LEN(TRIM(#REF!))&gt;0</formula>
    </cfRule>
  </conditionalFormatting>
  <pageMargins left="0.74791666666666701" right="0.74791666666666701" top="0.98402777777777795" bottom="0.9840277777777779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19</vt:i4>
      </vt:variant>
    </vt:vector>
  </HeadingPairs>
  <TitlesOfParts>
    <vt:vector size="19" baseType="lpstr">
      <vt:lpstr>Info side</vt:lpstr>
      <vt:lpstr>Uke3</vt:lpstr>
      <vt:lpstr>Uke4</vt:lpstr>
      <vt:lpstr>Uke5</vt:lpstr>
      <vt:lpstr>Uke6</vt:lpstr>
      <vt:lpstr>Uke7</vt:lpstr>
      <vt:lpstr>Uke8</vt:lpstr>
      <vt:lpstr>Uke9</vt:lpstr>
      <vt:lpstr>Uke10</vt:lpstr>
      <vt:lpstr>Uke11</vt:lpstr>
      <vt:lpstr>Uke12</vt:lpstr>
      <vt:lpstr>Uke13</vt:lpstr>
      <vt:lpstr>Uke14</vt:lpstr>
      <vt:lpstr>Uke15</vt:lpstr>
      <vt:lpstr>Uke16</vt:lpstr>
      <vt:lpstr>Uke17</vt:lpstr>
      <vt:lpstr>Uke18</vt:lpstr>
      <vt:lpstr>Uke19</vt:lpstr>
      <vt:lpstr>Uke20</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Anders</cp:lastModifiedBy>
  <cp:revision>15</cp:revision>
  <dcterms:created xsi:type="dcterms:W3CDTF">2020-03-15T21:37:14Z</dcterms:created>
  <dcterms:modified xsi:type="dcterms:W3CDTF">2020-05-19T00:03:48Z</dcterms:modified>
  <cp:category/>
  <cp:contentStatus/>
</cp:coreProperties>
</file>